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3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kavi-imp\"/>
    </mc:Choice>
  </mc:AlternateContent>
  <xr:revisionPtr revIDLastSave="0" documentId="8_{F77F837A-2B2A-4F3F-AFA8-21EC1CB4EB8D}" xr6:coauthVersionLast="47" xr6:coauthVersionMax="47" xr10:uidLastSave="{00000000-0000-0000-0000-000000000000}"/>
  <bookViews>
    <workbookView xWindow="4170" yWindow="600" windowWidth="19950" windowHeight="13725" activeTab="4"/>
  </bookViews>
  <sheets>
    <sheet name="gorsmiles-18mo-mar7" sheetId="1" r:id="rId1"/>
    <sheet name="2024-CR" sheetId="9" r:id="rId2"/>
    <sheet name="2024-DB" sheetId="10" r:id="rId3"/>
    <sheet name="PIV1" sheetId="6" r:id="rId4"/>
    <sheet name="cln" sheetId="2" r:id="rId5"/>
    <sheet name="Sheet4" sheetId="5" r:id="rId6"/>
  </sheets>
  <definedNames>
    <definedName name="_xlnm._FilterDatabase" localSheetId="4" hidden="1">cln!$C$1:$L$1144</definedName>
  </definedNames>
  <calcPr calcId="0"/>
  <pivotCaches>
    <pivotCache cacheId="32" r:id="rId7"/>
  </pivotCaches>
</workbook>
</file>

<file path=xl/calcChain.xml><?xml version="1.0" encoding="utf-8"?>
<calcChain xmlns="http://schemas.openxmlformats.org/spreadsheetml/2006/main">
  <c r="A3" i="2" l="1"/>
  <c r="B3" i="2"/>
  <c r="A4" i="2"/>
  <c r="B4" i="2"/>
  <c r="A5" i="2"/>
  <c r="B5" i="2"/>
  <c r="A6" i="2"/>
  <c r="B6" i="2"/>
  <c r="A7" i="2"/>
  <c r="B7" i="2"/>
  <c r="A8" i="2"/>
  <c r="B8" i="2"/>
  <c r="A9" i="2"/>
  <c r="B9" i="2"/>
  <c r="A10" i="2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A26" i="2"/>
  <c r="B26" i="2"/>
  <c r="A27" i="2"/>
  <c r="B27" i="2"/>
  <c r="A28" i="2"/>
  <c r="B28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A39" i="2"/>
  <c r="B39" i="2"/>
  <c r="A40" i="2"/>
  <c r="B40" i="2"/>
  <c r="A41" i="2"/>
  <c r="B41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A52" i="2"/>
  <c r="B52" i="2"/>
  <c r="A53" i="2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A64" i="2"/>
  <c r="B64" i="2"/>
  <c r="A65" i="2"/>
  <c r="B65" i="2"/>
  <c r="A66" i="2"/>
  <c r="B66" i="2"/>
  <c r="A67" i="2"/>
  <c r="B67" i="2"/>
  <c r="A68" i="2"/>
  <c r="B68" i="2"/>
  <c r="A69" i="2"/>
  <c r="B69" i="2"/>
  <c r="A70" i="2"/>
  <c r="B70" i="2"/>
  <c r="A71" i="2"/>
  <c r="B71" i="2"/>
  <c r="A72" i="2"/>
  <c r="B72" i="2"/>
  <c r="A73" i="2"/>
  <c r="B73" i="2"/>
  <c r="A74" i="2"/>
  <c r="B74" i="2"/>
  <c r="A75" i="2"/>
  <c r="B75" i="2"/>
  <c r="A76" i="2"/>
  <c r="B76" i="2"/>
  <c r="A77" i="2"/>
  <c r="B77" i="2"/>
  <c r="A78" i="2"/>
  <c r="B78" i="2"/>
  <c r="A79" i="2"/>
  <c r="B79" i="2"/>
  <c r="A80" i="2"/>
  <c r="B80" i="2"/>
  <c r="A81" i="2"/>
  <c r="B81" i="2"/>
  <c r="A82" i="2"/>
  <c r="B82" i="2"/>
  <c r="A83" i="2"/>
  <c r="B83" i="2"/>
  <c r="A84" i="2"/>
  <c r="B84" i="2"/>
  <c r="A85" i="2"/>
  <c r="B85" i="2"/>
  <c r="A86" i="2"/>
  <c r="B86" i="2"/>
  <c r="A87" i="2"/>
  <c r="B87" i="2"/>
  <c r="A88" i="2"/>
  <c r="B88" i="2"/>
  <c r="A89" i="2"/>
  <c r="B89" i="2"/>
  <c r="A90" i="2"/>
  <c r="B90" i="2"/>
  <c r="A91" i="2"/>
  <c r="B91" i="2"/>
  <c r="A92" i="2"/>
  <c r="B92" i="2"/>
  <c r="A93" i="2"/>
  <c r="B93" i="2"/>
  <c r="A94" i="2"/>
  <c r="B94" i="2"/>
  <c r="A95" i="2"/>
  <c r="B95" i="2"/>
  <c r="A96" i="2"/>
  <c r="B96" i="2"/>
  <c r="A97" i="2"/>
  <c r="B97" i="2"/>
  <c r="A98" i="2"/>
  <c r="B98" i="2"/>
  <c r="A99" i="2"/>
  <c r="B99" i="2"/>
  <c r="A100" i="2"/>
  <c r="B100" i="2"/>
  <c r="A101" i="2"/>
  <c r="B101" i="2"/>
  <c r="A102" i="2"/>
  <c r="B102" i="2"/>
  <c r="A103" i="2"/>
  <c r="B103" i="2"/>
  <c r="A104" i="2"/>
  <c r="B104" i="2"/>
  <c r="A105" i="2"/>
  <c r="B105" i="2"/>
  <c r="A106" i="2"/>
  <c r="B106" i="2"/>
  <c r="A107" i="2"/>
  <c r="B107" i="2"/>
  <c r="A108" i="2"/>
  <c r="B108" i="2"/>
  <c r="A109" i="2"/>
  <c r="B109" i="2"/>
  <c r="A110" i="2"/>
  <c r="B110" i="2"/>
  <c r="A111" i="2"/>
  <c r="B111" i="2"/>
  <c r="A112" i="2"/>
  <c r="B112" i="2"/>
  <c r="A113" i="2"/>
  <c r="B113" i="2"/>
  <c r="A114" i="2"/>
  <c r="B114" i="2"/>
  <c r="A115" i="2"/>
  <c r="B115" i="2"/>
  <c r="A116" i="2"/>
  <c r="B116" i="2"/>
  <c r="A117" i="2"/>
  <c r="B117" i="2"/>
  <c r="A118" i="2"/>
  <c r="B118" i="2"/>
  <c r="A119" i="2"/>
  <c r="B119" i="2"/>
  <c r="A120" i="2"/>
  <c r="B120" i="2"/>
  <c r="A121" i="2"/>
  <c r="B121" i="2"/>
  <c r="A122" i="2"/>
  <c r="B122" i="2"/>
  <c r="A123" i="2"/>
  <c r="B123" i="2"/>
  <c r="A124" i="2"/>
  <c r="B124" i="2"/>
  <c r="A125" i="2"/>
  <c r="B125" i="2"/>
  <c r="A126" i="2"/>
  <c r="B126" i="2"/>
  <c r="A127" i="2"/>
  <c r="B127" i="2"/>
  <c r="A128" i="2"/>
  <c r="B128" i="2"/>
  <c r="A129" i="2"/>
  <c r="B129" i="2"/>
  <c r="A130" i="2"/>
  <c r="B130" i="2"/>
  <c r="A131" i="2"/>
  <c r="B131" i="2"/>
  <c r="A132" i="2"/>
  <c r="B132" i="2"/>
  <c r="A133" i="2"/>
  <c r="B133" i="2"/>
  <c r="A134" i="2"/>
  <c r="B134" i="2"/>
  <c r="A135" i="2"/>
  <c r="B135" i="2"/>
  <c r="A136" i="2"/>
  <c r="B136" i="2"/>
  <c r="A137" i="2"/>
  <c r="B137" i="2"/>
  <c r="A138" i="2"/>
  <c r="B138" i="2"/>
  <c r="A139" i="2"/>
  <c r="B139" i="2"/>
  <c r="A140" i="2"/>
  <c r="B140" i="2"/>
  <c r="A141" i="2"/>
  <c r="B141" i="2"/>
  <c r="A142" i="2"/>
  <c r="B142" i="2"/>
  <c r="A143" i="2"/>
  <c r="B143" i="2"/>
  <c r="A144" i="2"/>
  <c r="B144" i="2"/>
  <c r="A145" i="2"/>
  <c r="B145" i="2"/>
  <c r="A146" i="2"/>
  <c r="B146" i="2"/>
  <c r="A147" i="2"/>
  <c r="B147" i="2"/>
  <c r="A148" i="2"/>
  <c r="B148" i="2"/>
  <c r="A149" i="2"/>
  <c r="B149" i="2"/>
  <c r="A150" i="2"/>
  <c r="B150" i="2"/>
  <c r="A151" i="2"/>
  <c r="B151" i="2"/>
  <c r="A152" i="2"/>
  <c r="B152" i="2"/>
  <c r="A153" i="2"/>
  <c r="B153" i="2"/>
  <c r="A154" i="2"/>
  <c r="B154" i="2"/>
  <c r="A155" i="2"/>
  <c r="B155" i="2"/>
  <c r="A156" i="2"/>
  <c r="B156" i="2"/>
  <c r="A157" i="2"/>
  <c r="B157" i="2"/>
  <c r="A158" i="2"/>
  <c r="B158" i="2"/>
  <c r="A159" i="2"/>
  <c r="B159" i="2"/>
  <c r="A160" i="2"/>
  <c r="B160" i="2"/>
  <c r="A161" i="2"/>
  <c r="B161" i="2"/>
  <c r="A162" i="2"/>
  <c r="B162" i="2"/>
  <c r="A163" i="2"/>
  <c r="B163" i="2"/>
  <c r="A164" i="2"/>
  <c r="B164" i="2"/>
  <c r="A165" i="2"/>
  <c r="B165" i="2"/>
  <c r="A166" i="2"/>
  <c r="B166" i="2"/>
  <c r="A167" i="2"/>
  <c r="B167" i="2"/>
  <c r="A168" i="2"/>
  <c r="B168" i="2"/>
  <c r="A169" i="2"/>
  <c r="B169" i="2"/>
  <c r="A170" i="2"/>
  <c r="B170" i="2"/>
  <c r="A171" i="2"/>
  <c r="B171" i="2"/>
  <c r="A172" i="2"/>
  <c r="B172" i="2"/>
  <c r="A173" i="2"/>
  <c r="B173" i="2"/>
  <c r="A174" i="2"/>
  <c r="B174" i="2"/>
  <c r="A175" i="2"/>
  <c r="B175" i="2"/>
  <c r="A176" i="2"/>
  <c r="B176" i="2"/>
  <c r="A177" i="2"/>
  <c r="B177" i="2"/>
  <c r="A178" i="2"/>
  <c r="B178" i="2"/>
  <c r="A179" i="2"/>
  <c r="B179" i="2"/>
  <c r="A180" i="2"/>
  <c r="B180" i="2"/>
  <c r="A181" i="2"/>
  <c r="B181" i="2"/>
  <c r="A182" i="2"/>
  <c r="B182" i="2"/>
  <c r="A183" i="2"/>
  <c r="B183" i="2"/>
  <c r="A184" i="2"/>
  <c r="B184" i="2"/>
  <c r="A185" i="2"/>
  <c r="B185" i="2"/>
  <c r="A186" i="2"/>
  <c r="B186" i="2"/>
  <c r="A187" i="2"/>
  <c r="B187" i="2"/>
  <c r="A188" i="2"/>
  <c r="B188" i="2"/>
  <c r="A189" i="2"/>
  <c r="B189" i="2"/>
  <c r="A190" i="2"/>
  <c r="B190" i="2"/>
  <c r="A191" i="2"/>
  <c r="B191" i="2"/>
  <c r="A192" i="2"/>
  <c r="B192" i="2"/>
  <c r="A193" i="2"/>
  <c r="B193" i="2"/>
  <c r="A194" i="2"/>
  <c r="B194" i="2"/>
  <c r="A195" i="2"/>
  <c r="B195" i="2"/>
  <c r="A196" i="2"/>
  <c r="B196" i="2"/>
  <c r="A197" i="2"/>
  <c r="B197" i="2"/>
  <c r="A198" i="2"/>
  <c r="B198" i="2"/>
  <c r="A199" i="2"/>
  <c r="B199" i="2"/>
  <c r="A200" i="2"/>
  <c r="B200" i="2"/>
  <c r="A201" i="2"/>
  <c r="B201" i="2"/>
  <c r="A202" i="2"/>
  <c r="B202" i="2"/>
  <c r="A203" i="2"/>
  <c r="B203" i="2"/>
  <c r="A204" i="2"/>
  <c r="B204" i="2"/>
  <c r="A205" i="2"/>
  <c r="B205" i="2"/>
  <c r="A206" i="2"/>
  <c r="B206" i="2"/>
  <c r="A207" i="2"/>
  <c r="B207" i="2"/>
  <c r="A208" i="2"/>
  <c r="B208" i="2"/>
  <c r="A209" i="2"/>
  <c r="B209" i="2"/>
  <c r="A210" i="2"/>
  <c r="B210" i="2"/>
  <c r="A211" i="2"/>
  <c r="B211" i="2"/>
  <c r="A212" i="2"/>
  <c r="B212" i="2"/>
  <c r="A213" i="2"/>
  <c r="B213" i="2"/>
  <c r="A214" i="2"/>
  <c r="B214" i="2"/>
  <c r="A215" i="2"/>
  <c r="B215" i="2"/>
  <c r="A216" i="2"/>
  <c r="B216" i="2"/>
  <c r="A217" i="2"/>
  <c r="B217" i="2"/>
  <c r="A218" i="2"/>
  <c r="B218" i="2"/>
  <c r="A219" i="2"/>
  <c r="B219" i="2"/>
  <c r="A220" i="2"/>
  <c r="B220" i="2"/>
  <c r="A221" i="2"/>
  <c r="B221" i="2"/>
  <c r="A222" i="2"/>
  <c r="B222" i="2"/>
  <c r="A223" i="2"/>
  <c r="B223" i="2"/>
  <c r="A224" i="2"/>
  <c r="B224" i="2"/>
  <c r="A225" i="2"/>
  <c r="B225" i="2"/>
  <c r="A226" i="2"/>
  <c r="B226" i="2"/>
  <c r="A227" i="2"/>
  <c r="B227" i="2"/>
  <c r="A228" i="2"/>
  <c r="B228" i="2"/>
  <c r="A229" i="2"/>
  <c r="B229" i="2"/>
  <c r="A230" i="2"/>
  <c r="B230" i="2"/>
  <c r="A231" i="2"/>
  <c r="B231" i="2"/>
  <c r="A232" i="2"/>
  <c r="B232" i="2"/>
  <c r="A233" i="2"/>
  <c r="B233" i="2"/>
  <c r="A234" i="2"/>
  <c r="B234" i="2"/>
  <c r="A235" i="2"/>
  <c r="B235" i="2"/>
  <c r="A236" i="2"/>
  <c r="B236" i="2"/>
  <c r="A237" i="2"/>
  <c r="B237" i="2"/>
  <c r="A238" i="2"/>
  <c r="B238" i="2"/>
  <c r="A239" i="2"/>
  <c r="B239" i="2"/>
  <c r="A240" i="2"/>
  <c r="B240" i="2"/>
  <c r="A241" i="2"/>
  <c r="B241" i="2"/>
  <c r="A242" i="2"/>
  <c r="B242" i="2"/>
  <c r="A243" i="2"/>
  <c r="B243" i="2"/>
  <c r="A244" i="2"/>
  <c r="B244" i="2"/>
  <c r="A245" i="2"/>
  <c r="B245" i="2"/>
  <c r="A246" i="2"/>
  <c r="B246" i="2"/>
  <c r="A247" i="2"/>
  <c r="B247" i="2"/>
  <c r="A248" i="2"/>
  <c r="B248" i="2"/>
  <c r="A249" i="2"/>
  <c r="B249" i="2"/>
  <c r="A250" i="2"/>
  <c r="B250" i="2"/>
  <c r="A251" i="2"/>
  <c r="B251" i="2"/>
  <c r="A252" i="2"/>
  <c r="B252" i="2"/>
  <c r="A253" i="2"/>
  <c r="B253" i="2"/>
  <c r="A254" i="2"/>
  <c r="B254" i="2"/>
  <c r="A255" i="2"/>
  <c r="B255" i="2"/>
  <c r="A256" i="2"/>
  <c r="B256" i="2"/>
  <c r="A257" i="2"/>
  <c r="B257" i="2"/>
  <c r="A258" i="2"/>
  <c r="B258" i="2"/>
  <c r="A259" i="2"/>
  <c r="B259" i="2"/>
  <c r="A260" i="2"/>
  <c r="B260" i="2"/>
  <c r="A261" i="2"/>
  <c r="B261" i="2"/>
  <c r="A262" i="2"/>
  <c r="B262" i="2"/>
  <c r="A263" i="2"/>
  <c r="B263" i="2"/>
  <c r="A264" i="2"/>
  <c r="B264" i="2"/>
  <c r="A265" i="2"/>
  <c r="B265" i="2"/>
  <c r="A266" i="2"/>
  <c r="B266" i="2"/>
  <c r="A267" i="2"/>
  <c r="B267" i="2"/>
  <c r="A268" i="2"/>
  <c r="B268" i="2"/>
  <c r="A269" i="2"/>
  <c r="B269" i="2"/>
  <c r="A270" i="2"/>
  <c r="B270" i="2"/>
  <c r="A271" i="2"/>
  <c r="B271" i="2"/>
  <c r="A272" i="2"/>
  <c r="B272" i="2"/>
  <c r="A273" i="2"/>
  <c r="B273" i="2"/>
  <c r="A274" i="2"/>
  <c r="B274" i="2"/>
  <c r="A275" i="2"/>
  <c r="B275" i="2"/>
  <c r="A276" i="2"/>
  <c r="B276" i="2"/>
  <c r="A277" i="2"/>
  <c r="B277" i="2"/>
  <c r="A278" i="2"/>
  <c r="B278" i="2"/>
  <c r="A279" i="2"/>
  <c r="B279" i="2"/>
  <c r="A280" i="2"/>
  <c r="B280" i="2"/>
  <c r="A281" i="2"/>
  <c r="B281" i="2"/>
  <c r="A282" i="2"/>
  <c r="B282" i="2"/>
  <c r="A283" i="2"/>
  <c r="B283" i="2"/>
  <c r="A284" i="2"/>
  <c r="B284" i="2"/>
  <c r="A285" i="2"/>
  <c r="B285" i="2"/>
  <c r="A286" i="2"/>
  <c r="B286" i="2"/>
  <c r="A287" i="2"/>
  <c r="B287" i="2"/>
  <c r="A288" i="2"/>
  <c r="B288" i="2"/>
  <c r="A289" i="2"/>
  <c r="B289" i="2"/>
  <c r="A290" i="2"/>
  <c r="B290" i="2"/>
  <c r="A291" i="2"/>
  <c r="B291" i="2"/>
  <c r="A292" i="2"/>
  <c r="B292" i="2"/>
  <c r="A293" i="2"/>
  <c r="B293" i="2"/>
  <c r="A294" i="2"/>
  <c r="B294" i="2"/>
  <c r="A295" i="2"/>
  <c r="B295" i="2"/>
  <c r="A296" i="2"/>
  <c r="B296" i="2"/>
  <c r="A297" i="2"/>
  <c r="B297" i="2"/>
  <c r="A298" i="2"/>
  <c r="B298" i="2"/>
  <c r="A299" i="2"/>
  <c r="B299" i="2"/>
  <c r="A300" i="2"/>
  <c r="B300" i="2"/>
  <c r="A301" i="2"/>
  <c r="B301" i="2"/>
  <c r="A302" i="2"/>
  <c r="B302" i="2"/>
  <c r="A303" i="2"/>
  <c r="B303" i="2"/>
  <c r="A304" i="2"/>
  <c r="B304" i="2"/>
  <c r="A305" i="2"/>
  <c r="B305" i="2"/>
  <c r="A306" i="2"/>
  <c r="B306" i="2"/>
  <c r="A307" i="2"/>
  <c r="B307" i="2"/>
  <c r="A308" i="2"/>
  <c r="B308" i="2"/>
  <c r="A309" i="2"/>
  <c r="B309" i="2"/>
  <c r="A310" i="2"/>
  <c r="B310" i="2"/>
  <c r="A311" i="2"/>
  <c r="B311" i="2"/>
  <c r="A312" i="2"/>
  <c r="B312" i="2"/>
  <c r="A313" i="2"/>
  <c r="B313" i="2"/>
  <c r="A314" i="2"/>
  <c r="B314" i="2"/>
  <c r="A315" i="2"/>
  <c r="B315" i="2"/>
  <c r="A316" i="2"/>
  <c r="B316" i="2"/>
  <c r="A317" i="2"/>
  <c r="B317" i="2"/>
  <c r="A318" i="2"/>
  <c r="B318" i="2"/>
  <c r="A319" i="2"/>
  <c r="B319" i="2"/>
  <c r="A320" i="2"/>
  <c r="B320" i="2"/>
  <c r="A321" i="2"/>
  <c r="B321" i="2"/>
  <c r="A322" i="2"/>
  <c r="B322" i="2"/>
  <c r="A323" i="2"/>
  <c r="B323" i="2"/>
  <c r="A324" i="2"/>
  <c r="B324" i="2"/>
  <c r="A325" i="2"/>
  <c r="B325" i="2"/>
  <c r="A326" i="2"/>
  <c r="B326" i="2"/>
  <c r="A327" i="2"/>
  <c r="B327" i="2"/>
  <c r="A328" i="2"/>
  <c r="B328" i="2"/>
  <c r="A329" i="2"/>
  <c r="B329" i="2"/>
  <c r="A330" i="2"/>
  <c r="B330" i="2"/>
  <c r="A331" i="2"/>
  <c r="B331" i="2"/>
  <c r="A332" i="2"/>
  <c r="B332" i="2"/>
  <c r="A333" i="2"/>
  <c r="B333" i="2"/>
  <c r="A334" i="2"/>
  <c r="B334" i="2"/>
  <c r="A335" i="2"/>
  <c r="B335" i="2"/>
  <c r="A336" i="2"/>
  <c r="B336" i="2"/>
  <c r="A337" i="2"/>
  <c r="B337" i="2"/>
  <c r="A338" i="2"/>
  <c r="B338" i="2"/>
  <c r="A339" i="2"/>
  <c r="B339" i="2"/>
  <c r="A340" i="2"/>
  <c r="B340" i="2"/>
  <c r="A341" i="2"/>
  <c r="B341" i="2"/>
  <c r="A342" i="2"/>
  <c r="B342" i="2"/>
  <c r="A343" i="2"/>
  <c r="B343" i="2"/>
  <c r="A344" i="2"/>
  <c r="B344" i="2"/>
  <c r="A345" i="2"/>
  <c r="B345" i="2"/>
  <c r="A346" i="2"/>
  <c r="B346" i="2"/>
  <c r="A347" i="2"/>
  <c r="B347" i="2"/>
  <c r="A348" i="2"/>
  <c r="B348" i="2"/>
  <c r="A349" i="2"/>
  <c r="B349" i="2"/>
  <c r="A350" i="2"/>
  <c r="B350" i="2"/>
  <c r="A351" i="2"/>
  <c r="B351" i="2"/>
  <c r="A352" i="2"/>
  <c r="B352" i="2"/>
  <c r="A353" i="2"/>
  <c r="B353" i="2"/>
  <c r="A354" i="2"/>
  <c r="B354" i="2"/>
  <c r="A355" i="2"/>
  <c r="B355" i="2"/>
  <c r="A356" i="2"/>
  <c r="B356" i="2"/>
  <c r="A357" i="2"/>
  <c r="B357" i="2"/>
  <c r="A358" i="2"/>
  <c r="B358" i="2"/>
  <c r="A359" i="2"/>
  <c r="B359" i="2"/>
  <c r="A360" i="2"/>
  <c r="B360" i="2"/>
  <c r="A361" i="2"/>
  <c r="B361" i="2"/>
  <c r="A362" i="2"/>
  <c r="B362" i="2"/>
  <c r="A363" i="2"/>
  <c r="B363" i="2"/>
  <c r="A364" i="2"/>
  <c r="B364" i="2"/>
  <c r="A365" i="2"/>
  <c r="B365" i="2"/>
  <c r="A366" i="2"/>
  <c r="B366" i="2"/>
  <c r="A367" i="2"/>
  <c r="B367" i="2"/>
  <c r="A368" i="2"/>
  <c r="B368" i="2"/>
  <c r="A369" i="2"/>
  <c r="B369" i="2"/>
  <c r="A370" i="2"/>
  <c r="B370" i="2"/>
  <c r="A371" i="2"/>
  <c r="B371" i="2"/>
  <c r="A372" i="2"/>
  <c r="B372" i="2"/>
  <c r="A373" i="2"/>
  <c r="B373" i="2"/>
  <c r="A374" i="2"/>
  <c r="B374" i="2"/>
  <c r="A375" i="2"/>
  <c r="B375" i="2"/>
  <c r="A376" i="2"/>
  <c r="B376" i="2"/>
  <c r="A377" i="2"/>
  <c r="B377" i="2"/>
  <c r="A378" i="2"/>
  <c r="B378" i="2"/>
  <c r="A379" i="2"/>
  <c r="B379" i="2"/>
  <c r="A380" i="2"/>
  <c r="B380" i="2"/>
  <c r="A381" i="2"/>
  <c r="B381" i="2"/>
  <c r="A382" i="2"/>
  <c r="B382" i="2"/>
  <c r="A383" i="2"/>
  <c r="B383" i="2"/>
  <c r="A384" i="2"/>
  <c r="B384" i="2"/>
  <c r="A385" i="2"/>
  <c r="B385" i="2"/>
  <c r="A386" i="2"/>
  <c r="B386" i="2"/>
  <c r="A387" i="2"/>
  <c r="B387" i="2"/>
  <c r="A388" i="2"/>
  <c r="B388" i="2"/>
  <c r="A389" i="2"/>
  <c r="B389" i="2"/>
  <c r="A390" i="2"/>
  <c r="B390" i="2"/>
  <c r="A391" i="2"/>
  <c r="B391" i="2"/>
  <c r="A392" i="2"/>
  <c r="B392" i="2"/>
  <c r="A393" i="2"/>
  <c r="B393" i="2"/>
  <c r="A394" i="2"/>
  <c r="B394" i="2"/>
  <c r="A395" i="2"/>
  <c r="B395" i="2"/>
  <c r="A396" i="2"/>
  <c r="B396" i="2"/>
  <c r="A397" i="2"/>
  <c r="B397" i="2"/>
  <c r="A398" i="2"/>
  <c r="B398" i="2"/>
  <c r="A399" i="2"/>
  <c r="B399" i="2"/>
  <c r="A400" i="2"/>
  <c r="B400" i="2"/>
  <c r="A401" i="2"/>
  <c r="B401" i="2"/>
  <c r="A402" i="2"/>
  <c r="B402" i="2"/>
  <c r="A403" i="2"/>
  <c r="B403" i="2"/>
  <c r="A404" i="2"/>
  <c r="B404" i="2"/>
  <c r="A405" i="2"/>
  <c r="B405" i="2"/>
  <c r="A406" i="2"/>
  <c r="B406" i="2"/>
  <c r="A407" i="2"/>
  <c r="B407" i="2"/>
  <c r="A408" i="2"/>
  <c r="B408" i="2"/>
  <c r="A409" i="2"/>
  <c r="B409" i="2"/>
  <c r="A410" i="2"/>
  <c r="B410" i="2"/>
  <c r="A411" i="2"/>
  <c r="B411" i="2"/>
  <c r="A412" i="2"/>
  <c r="B412" i="2"/>
  <c r="A413" i="2"/>
  <c r="B413" i="2"/>
  <c r="A414" i="2"/>
  <c r="B414" i="2"/>
  <c r="A415" i="2"/>
  <c r="B415" i="2"/>
  <c r="A416" i="2"/>
  <c r="B416" i="2"/>
  <c r="A417" i="2"/>
  <c r="B417" i="2"/>
  <c r="A418" i="2"/>
  <c r="B418" i="2"/>
  <c r="A419" i="2"/>
  <c r="B419" i="2"/>
  <c r="A420" i="2"/>
  <c r="B420" i="2"/>
  <c r="A421" i="2"/>
  <c r="B421" i="2"/>
  <c r="A422" i="2"/>
  <c r="B422" i="2"/>
  <c r="A423" i="2"/>
  <c r="B423" i="2"/>
  <c r="A424" i="2"/>
  <c r="B424" i="2"/>
  <c r="A425" i="2"/>
  <c r="B425" i="2"/>
  <c r="A426" i="2"/>
  <c r="B426" i="2"/>
  <c r="A427" i="2"/>
  <c r="B427" i="2"/>
  <c r="A428" i="2"/>
  <c r="B428" i="2"/>
  <c r="A429" i="2"/>
  <c r="B429" i="2"/>
  <c r="A430" i="2"/>
  <c r="B430" i="2"/>
  <c r="A431" i="2"/>
  <c r="B431" i="2"/>
  <c r="A432" i="2"/>
  <c r="B432" i="2"/>
  <c r="A433" i="2"/>
  <c r="B433" i="2"/>
  <c r="A434" i="2"/>
  <c r="B434" i="2"/>
  <c r="A435" i="2"/>
  <c r="B435" i="2"/>
  <c r="A436" i="2"/>
  <c r="B436" i="2"/>
  <c r="A437" i="2"/>
  <c r="B437" i="2"/>
  <c r="A438" i="2"/>
  <c r="B438" i="2"/>
  <c r="A439" i="2"/>
  <c r="B439" i="2"/>
  <c r="A440" i="2"/>
  <c r="B440" i="2"/>
  <c r="A441" i="2"/>
  <c r="B441" i="2"/>
  <c r="A442" i="2"/>
  <c r="B442" i="2"/>
  <c r="A443" i="2"/>
  <c r="B443" i="2"/>
  <c r="A444" i="2"/>
  <c r="B444" i="2"/>
  <c r="A445" i="2"/>
  <c r="B445" i="2"/>
  <c r="A446" i="2"/>
  <c r="B446" i="2"/>
  <c r="A447" i="2"/>
  <c r="B447" i="2"/>
  <c r="A448" i="2"/>
  <c r="B448" i="2"/>
  <c r="A449" i="2"/>
  <c r="B449" i="2"/>
  <c r="A450" i="2"/>
  <c r="B450" i="2"/>
  <c r="A451" i="2"/>
  <c r="B451" i="2"/>
  <c r="A452" i="2"/>
  <c r="B452" i="2"/>
  <c r="A453" i="2"/>
  <c r="B453" i="2"/>
  <c r="A454" i="2"/>
  <c r="B454" i="2"/>
  <c r="A455" i="2"/>
  <c r="B455" i="2"/>
  <c r="A456" i="2"/>
  <c r="B456" i="2"/>
  <c r="A457" i="2"/>
  <c r="B457" i="2"/>
  <c r="A458" i="2"/>
  <c r="B458" i="2"/>
  <c r="A459" i="2"/>
  <c r="B459" i="2"/>
  <c r="A460" i="2"/>
  <c r="B460" i="2"/>
  <c r="A461" i="2"/>
  <c r="B461" i="2"/>
  <c r="A462" i="2"/>
  <c r="B462" i="2"/>
  <c r="A463" i="2"/>
  <c r="B463" i="2"/>
  <c r="A464" i="2"/>
  <c r="B464" i="2"/>
  <c r="A465" i="2"/>
  <c r="B465" i="2"/>
  <c r="A466" i="2"/>
  <c r="B466" i="2"/>
  <c r="A467" i="2"/>
  <c r="B467" i="2"/>
  <c r="A468" i="2"/>
  <c r="B468" i="2"/>
  <c r="A469" i="2"/>
  <c r="B469" i="2"/>
  <c r="A470" i="2"/>
  <c r="B470" i="2"/>
  <c r="A471" i="2"/>
  <c r="B471" i="2"/>
  <c r="A472" i="2"/>
  <c r="B472" i="2"/>
  <c r="A473" i="2"/>
  <c r="B473" i="2"/>
  <c r="A474" i="2"/>
  <c r="B474" i="2"/>
  <c r="A475" i="2"/>
  <c r="B475" i="2"/>
  <c r="A476" i="2"/>
  <c r="B476" i="2"/>
  <c r="A477" i="2"/>
  <c r="B477" i="2"/>
  <c r="A478" i="2"/>
  <c r="B478" i="2"/>
  <c r="A479" i="2"/>
  <c r="B479" i="2"/>
  <c r="A480" i="2"/>
  <c r="B480" i="2"/>
  <c r="A481" i="2"/>
  <c r="B481" i="2"/>
  <c r="A482" i="2"/>
  <c r="B482" i="2"/>
  <c r="A483" i="2"/>
  <c r="B483" i="2"/>
  <c r="A484" i="2"/>
  <c r="B484" i="2"/>
  <c r="A485" i="2"/>
  <c r="B485" i="2"/>
  <c r="A486" i="2"/>
  <c r="B486" i="2"/>
  <c r="A487" i="2"/>
  <c r="B487" i="2"/>
  <c r="A488" i="2"/>
  <c r="B488" i="2"/>
  <c r="A489" i="2"/>
  <c r="B489" i="2"/>
  <c r="A490" i="2"/>
  <c r="B490" i="2"/>
  <c r="A491" i="2"/>
  <c r="B491" i="2"/>
  <c r="A492" i="2"/>
  <c r="B492" i="2"/>
  <c r="A493" i="2"/>
  <c r="B493" i="2"/>
  <c r="A494" i="2"/>
  <c r="B494" i="2"/>
  <c r="A495" i="2"/>
  <c r="B495" i="2"/>
  <c r="A496" i="2"/>
  <c r="B496" i="2"/>
  <c r="A497" i="2"/>
  <c r="B497" i="2"/>
  <c r="A498" i="2"/>
  <c r="B498" i="2"/>
  <c r="A499" i="2"/>
  <c r="B499" i="2"/>
  <c r="A500" i="2"/>
  <c r="B500" i="2"/>
  <c r="A501" i="2"/>
  <c r="B501" i="2"/>
  <c r="A502" i="2"/>
  <c r="B502" i="2"/>
  <c r="A503" i="2"/>
  <c r="B503" i="2"/>
  <c r="A504" i="2"/>
  <c r="B504" i="2"/>
  <c r="A505" i="2"/>
  <c r="B505" i="2"/>
  <c r="A506" i="2"/>
  <c r="B506" i="2"/>
  <c r="A507" i="2"/>
  <c r="B507" i="2"/>
  <c r="A508" i="2"/>
  <c r="B508" i="2"/>
  <c r="A509" i="2"/>
  <c r="B509" i="2"/>
  <c r="A510" i="2"/>
  <c r="B510" i="2"/>
  <c r="A511" i="2"/>
  <c r="B511" i="2"/>
  <c r="A512" i="2"/>
  <c r="B512" i="2"/>
  <c r="A513" i="2"/>
  <c r="B513" i="2"/>
  <c r="A514" i="2"/>
  <c r="B514" i="2"/>
  <c r="A515" i="2"/>
  <c r="B515" i="2"/>
  <c r="A516" i="2"/>
  <c r="B516" i="2"/>
  <c r="A517" i="2"/>
  <c r="B517" i="2"/>
  <c r="A518" i="2"/>
  <c r="B518" i="2"/>
  <c r="A519" i="2"/>
  <c r="B519" i="2"/>
  <c r="A520" i="2"/>
  <c r="B520" i="2"/>
  <c r="A521" i="2"/>
  <c r="B521" i="2"/>
  <c r="A522" i="2"/>
  <c r="B522" i="2"/>
  <c r="A523" i="2"/>
  <c r="B523" i="2"/>
  <c r="A524" i="2"/>
  <c r="B524" i="2"/>
  <c r="A525" i="2"/>
  <c r="B525" i="2"/>
  <c r="A526" i="2"/>
  <c r="B526" i="2"/>
  <c r="A527" i="2"/>
  <c r="B527" i="2"/>
  <c r="A528" i="2"/>
  <c r="B528" i="2"/>
  <c r="A529" i="2"/>
  <c r="B529" i="2"/>
  <c r="A530" i="2"/>
  <c r="B530" i="2"/>
  <c r="A531" i="2"/>
  <c r="B531" i="2"/>
  <c r="A532" i="2"/>
  <c r="B532" i="2"/>
  <c r="A533" i="2"/>
  <c r="B533" i="2"/>
  <c r="A534" i="2"/>
  <c r="B534" i="2"/>
  <c r="A535" i="2"/>
  <c r="B535" i="2"/>
  <c r="A536" i="2"/>
  <c r="B536" i="2"/>
  <c r="A537" i="2"/>
  <c r="B537" i="2"/>
  <c r="A538" i="2"/>
  <c r="B538" i="2"/>
  <c r="A539" i="2"/>
  <c r="B539" i="2"/>
  <c r="A540" i="2"/>
  <c r="B540" i="2"/>
  <c r="A541" i="2"/>
  <c r="B541" i="2"/>
  <c r="A542" i="2"/>
  <c r="B542" i="2"/>
  <c r="A543" i="2"/>
  <c r="B543" i="2"/>
  <c r="A544" i="2"/>
  <c r="B544" i="2"/>
  <c r="A545" i="2"/>
  <c r="B545" i="2"/>
  <c r="A546" i="2"/>
  <c r="B546" i="2"/>
  <c r="A547" i="2"/>
  <c r="B547" i="2"/>
  <c r="A548" i="2"/>
  <c r="B548" i="2"/>
  <c r="A549" i="2"/>
  <c r="B549" i="2"/>
  <c r="A550" i="2"/>
  <c r="B550" i="2"/>
  <c r="A551" i="2"/>
  <c r="B551" i="2"/>
  <c r="A552" i="2"/>
  <c r="B552" i="2"/>
  <c r="A553" i="2"/>
  <c r="B553" i="2"/>
  <c r="A554" i="2"/>
  <c r="B554" i="2"/>
  <c r="A555" i="2"/>
  <c r="B555" i="2"/>
  <c r="A556" i="2"/>
  <c r="B556" i="2"/>
  <c r="A557" i="2"/>
  <c r="B557" i="2"/>
  <c r="A558" i="2"/>
  <c r="B558" i="2"/>
  <c r="A559" i="2"/>
  <c r="B559" i="2"/>
  <c r="A560" i="2"/>
  <c r="B560" i="2"/>
  <c r="A561" i="2"/>
  <c r="B561" i="2"/>
  <c r="A562" i="2"/>
  <c r="B562" i="2"/>
  <c r="A563" i="2"/>
  <c r="B563" i="2"/>
  <c r="A564" i="2"/>
  <c r="B564" i="2"/>
  <c r="A565" i="2"/>
  <c r="B565" i="2"/>
  <c r="A566" i="2"/>
  <c r="B566" i="2"/>
  <c r="A567" i="2"/>
  <c r="B567" i="2"/>
  <c r="A568" i="2"/>
  <c r="B568" i="2"/>
  <c r="A569" i="2"/>
  <c r="B569" i="2"/>
  <c r="A570" i="2"/>
  <c r="B570" i="2"/>
  <c r="A571" i="2"/>
  <c r="B571" i="2"/>
  <c r="A572" i="2"/>
  <c r="B572" i="2"/>
  <c r="A573" i="2"/>
  <c r="B573" i="2"/>
  <c r="A574" i="2"/>
  <c r="B574" i="2"/>
  <c r="A575" i="2"/>
  <c r="B575" i="2"/>
  <c r="A576" i="2"/>
  <c r="B576" i="2"/>
  <c r="A577" i="2"/>
  <c r="B577" i="2"/>
  <c r="A578" i="2"/>
  <c r="B578" i="2"/>
  <c r="A579" i="2"/>
  <c r="B579" i="2"/>
  <c r="A580" i="2"/>
  <c r="B580" i="2"/>
  <c r="A581" i="2"/>
  <c r="B581" i="2"/>
  <c r="A582" i="2"/>
  <c r="B582" i="2"/>
  <c r="A583" i="2"/>
  <c r="B583" i="2"/>
  <c r="A584" i="2"/>
  <c r="B584" i="2"/>
  <c r="A585" i="2"/>
  <c r="B585" i="2"/>
  <c r="A586" i="2"/>
  <c r="B586" i="2"/>
  <c r="A587" i="2"/>
  <c r="B587" i="2"/>
  <c r="A588" i="2"/>
  <c r="B588" i="2"/>
  <c r="A589" i="2"/>
  <c r="B589" i="2"/>
  <c r="A590" i="2"/>
  <c r="B590" i="2"/>
  <c r="A591" i="2"/>
  <c r="B591" i="2"/>
  <c r="A592" i="2"/>
  <c r="B592" i="2"/>
  <c r="A593" i="2"/>
  <c r="B593" i="2"/>
  <c r="A594" i="2"/>
  <c r="B594" i="2"/>
  <c r="A595" i="2"/>
  <c r="B595" i="2"/>
  <c r="A596" i="2"/>
  <c r="B596" i="2"/>
  <c r="A597" i="2"/>
  <c r="B597" i="2"/>
  <c r="A598" i="2"/>
  <c r="B598" i="2"/>
  <c r="A599" i="2"/>
  <c r="B599" i="2"/>
  <c r="A600" i="2"/>
  <c r="B600" i="2"/>
  <c r="A601" i="2"/>
  <c r="B601" i="2"/>
  <c r="A602" i="2"/>
  <c r="B602" i="2"/>
  <c r="A603" i="2"/>
  <c r="B603" i="2"/>
  <c r="A604" i="2"/>
  <c r="B604" i="2"/>
  <c r="A605" i="2"/>
  <c r="B605" i="2"/>
  <c r="A606" i="2"/>
  <c r="B606" i="2"/>
  <c r="A607" i="2"/>
  <c r="B607" i="2"/>
  <c r="A608" i="2"/>
  <c r="B608" i="2"/>
  <c r="A609" i="2"/>
  <c r="B609" i="2"/>
  <c r="A610" i="2"/>
  <c r="B610" i="2"/>
  <c r="A611" i="2"/>
  <c r="B611" i="2"/>
  <c r="A612" i="2"/>
  <c r="B612" i="2"/>
  <c r="A613" i="2"/>
  <c r="B613" i="2"/>
  <c r="A614" i="2"/>
  <c r="B614" i="2"/>
  <c r="A615" i="2"/>
  <c r="B615" i="2"/>
  <c r="A616" i="2"/>
  <c r="B616" i="2"/>
  <c r="A617" i="2"/>
  <c r="B617" i="2"/>
  <c r="A618" i="2"/>
  <c r="B618" i="2"/>
  <c r="A619" i="2"/>
  <c r="B619" i="2"/>
  <c r="A620" i="2"/>
  <c r="B620" i="2"/>
  <c r="A621" i="2"/>
  <c r="B621" i="2"/>
  <c r="A622" i="2"/>
  <c r="B622" i="2"/>
  <c r="A623" i="2"/>
  <c r="B623" i="2"/>
  <c r="A624" i="2"/>
  <c r="B624" i="2"/>
  <c r="A625" i="2"/>
  <c r="B625" i="2"/>
  <c r="A626" i="2"/>
  <c r="B626" i="2"/>
  <c r="A627" i="2"/>
  <c r="B627" i="2"/>
  <c r="A628" i="2"/>
  <c r="B628" i="2"/>
  <c r="A629" i="2"/>
  <c r="B629" i="2"/>
  <c r="A630" i="2"/>
  <c r="B630" i="2"/>
  <c r="A631" i="2"/>
  <c r="B631" i="2"/>
  <c r="A632" i="2"/>
  <c r="B632" i="2"/>
  <c r="A633" i="2"/>
  <c r="B633" i="2"/>
  <c r="A634" i="2"/>
  <c r="B634" i="2"/>
  <c r="A635" i="2"/>
  <c r="B635" i="2"/>
  <c r="A636" i="2"/>
  <c r="B636" i="2"/>
  <c r="A637" i="2"/>
  <c r="B637" i="2"/>
  <c r="A638" i="2"/>
  <c r="B638" i="2"/>
  <c r="A639" i="2"/>
  <c r="B639" i="2"/>
  <c r="A640" i="2"/>
  <c r="B640" i="2"/>
  <c r="A641" i="2"/>
  <c r="B641" i="2"/>
  <c r="A642" i="2"/>
  <c r="B642" i="2"/>
  <c r="A643" i="2"/>
  <c r="B643" i="2"/>
  <c r="A644" i="2"/>
  <c r="B644" i="2"/>
  <c r="A645" i="2"/>
  <c r="B645" i="2"/>
  <c r="A646" i="2"/>
  <c r="B646" i="2"/>
  <c r="A647" i="2"/>
  <c r="B647" i="2"/>
  <c r="A648" i="2"/>
  <c r="B648" i="2"/>
  <c r="A649" i="2"/>
  <c r="B649" i="2"/>
  <c r="A650" i="2"/>
  <c r="B650" i="2"/>
  <c r="A651" i="2"/>
  <c r="B651" i="2"/>
  <c r="A652" i="2"/>
  <c r="B652" i="2"/>
  <c r="A653" i="2"/>
  <c r="B653" i="2"/>
  <c r="A654" i="2"/>
  <c r="B654" i="2"/>
  <c r="A655" i="2"/>
  <c r="B655" i="2"/>
  <c r="A656" i="2"/>
  <c r="B656" i="2"/>
  <c r="A657" i="2"/>
  <c r="B657" i="2"/>
  <c r="A658" i="2"/>
  <c r="B658" i="2"/>
  <c r="A659" i="2"/>
  <c r="B659" i="2"/>
  <c r="A660" i="2"/>
  <c r="B660" i="2"/>
  <c r="A661" i="2"/>
  <c r="B661" i="2"/>
  <c r="A662" i="2"/>
  <c r="B662" i="2"/>
  <c r="A663" i="2"/>
  <c r="B663" i="2"/>
  <c r="A664" i="2"/>
  <c r="B664" i="2"/>
  <c r="A665" i="2"/>
  <c r="B665" i="2"/>
  <c r="A666" i="2"/>
  <c r="B666" i="2"/>
  <c r="A667" i="2"/>
  <c r="B667" i="2"/>
  <c r="A668" i="2"/>
  <c r="B668" i="2"/>
  <c r="A669" i="2"/>
  <c r="B669" i="2"/>
  <c r="A670" i="2"/>
  <c r="B670" i="2"/>
  <c r="A671" i="2"/>
  <c r="B671" i="2"/>
  <c r="A672" i="2"/>
  <c r="B672" i="2"/>
  <c r="A673" i="2"/>
  <c r="B673" i="2"/>
  <c r="A674" i="2"/>
  <c r="B674" i="2"/>
  <c r="A675" i="2"/>
  <c r="B675" i="2"/>
  <c r="A676" i="2"/>
  <c r="B676" i="2"/>
  <c r="A677" i="2"/>
  <c r="B677" i="2"/>
  <c r="A678" i="2"/>
  <c r="B678" i="2"/>
  <c r="A679" i="2"/>
  <c r="B679" i="2"/>
  <c r="A680" i="2"/>
  <c r="B680" i="2"/>
  <c r="A681" i="2"/>
  <c r="B681" i="2"/>
  <c r="A682" i="2"/>
  <c r="B682" i="2"/>
  <c r="A683" i="2"/>
  <c r="B683" i="2"/>
  <c r="A684" i="2"/>
  <c r="B684" i="2"/>
  <c r="A685" i="2"/>
  <c r="B685" i="2"/>
  <c r="A686" i="2"/>
  <c r="B686" i="2"/>
  <c r="A687" i="2"/>
  <c r="B687" i="2"/>
  <c r="A688" i="2"/>
  <c r="B688" i="2"/>
  <c r="A689" i="2"/>
  <c r="B689" i="2"/>
  <c r="A690" i="2"/>
  <c r="B690" i="2"/>
  <c r="A691" i="2"/>
  <c r="B691" i="2"/>
  <c r="A692" i="2"/>
  <c r="B692" i="2"/>
  <c r="A693" i="2"/>
  <c r="B693" i="2"/>
  <c r="A694" i="2"/>
  <c r="B694" i="2"/>
  <c r="A695" i="2"/>
  <c r="B695" i="2"/>
  <c r="A696" i="2"/>
  <c r="B696" i="2"/>
  <c r="A697" i="2"/>
  <c r="B697" i="2"/>
  <c r="A698" i="2"/>
  <c r="B698" i="2"/>
  <c r="A699" i="2"/>
  <c r="B699" i="2"/>
  <c r="A700" i="2"/>
  <c r="B700" i="2"/>
  <c r="A701" i="2"/>
  <c r="B701" i="2"/>
  <c r="A702" i="2"/>
  <c r="B702" i="2"/>
  <c r="A703" i="2"/>
  <c r="B703" i="2"/>
  <c r="A704" i="2"/>
  <c r="B704" i="2"/>
  <c r="A705" i="2"/>
  <c r="B705" i="2"/>
  <c r="A706" i="2"/>
  <c r="B706" i="2"/>
  <c r="A707" i="2"/>
  <c r="B707" i="2"/>
  <c r="A708" i="2"/>
  <c r="B708" i="2"/>
  <c r="A709" i="2"/>
  <c r="B709" i="2"/>
  <c r="A710" i="2"/>
  <c r="B710" i="2"/>
  <c r="A711" i="2"/>
  <c r="B711" i="2"/>
  <c r="A712" i="2"/>
  <c r="B712" i="2"/>
  <c r="A713" i="2"/>
  <c r="B713" i="2"/>
  <c r="A714" i="2"/>
  <c r="B714" i="2"/>
  <c r="A715" i="2"/>
  <c r="B715" i="2"/>
  <c r="A716" i="2"/>
  <c r="B716" i="2"/>
  <c r="A717" i="2"/>
  <c r="B717" i="2"/>
  <c r="A718" i="2"/>
  <c r="B718" i="2"/>
  <c r="A719" i="2"/>
  <c r="B719" i="2"/>
  <c r="A720" i="2"/>
  <c r="B720" i="2"/>
  <c r="A721" i="2"/>
  <c r="B721" i="2"/>
  <c r="A722" i="2"/>
  <c r="B722" i="2"/>
  <c r="A723" i="2"/>
  <c r="B723" i="2"/>
  <c r="A724" i="2"/>
  <c r="B724" i="2"/>
  <c r="A725" i="2"/>
  <c r="B725" i="2"/>
  <c r="A726" i="2"/>
  <c r="B726" i="2"/>
  <c r="A727" i="2"/>
  <c r="B727" i="2"/>
  <c r="A728" i="2"/>
  <c r="B728" i="2"/>
  <c r="A729" i="2"/>
  <c r="B729" i="2"/>
  <c r="A730" i="2"/>
  <c r="B730" i="2"/>
  <c r="A731" i="2"/>
  <c r="B731" i="2"/>
  <c r="A732" i="2"/>
  <c r="B732" i="2"/>
  <c r="A733" i="2"/>
  <c r="B733" i="2"/>
  <c r="A734" i="2"/>
  <c r="B734" i="2"/>
  <c r="A735" i="2"/>
  <c r="B735" i="2"/>
  <c r="A736" i="2"/>
  <c r="B736" i="2"/>
  <c r="A737" i="2"/>
  <c r="B737" i="2"/>
  <c r="A738" i="2"/>
  <c r="B738" i="2"/>
  <c r="A739" i="2"/>
  <c r="B739" i="2"/>
  <c r="A740" i="2"/>
  <c r="B740" i="2"/>
  <c r="A741" i="2"/>
  <c r="B741" i="2"/>
  <c r="A742" i="2"/>
  <c r="B742" i="2"/>
  <c r="A743" i="2"/>
  <c r="B743" i="2"/>
  <c r="A744" i="2"/>
  <c r="B744" i="2"/>
  <c r="A745" i="2"/>
  <c r="B745" i="2"/>
  <c r="A746" i="2"/>
  <c r="B746" i="2"/>
  <c r="A747" i="2"/>
  <c r="B747" i="2"/>
  <c r="A748" i="2"/>
  <c r="B748" i="2"/>
  <c r="A749" i="2"/>
  <c r="B749" i="2"/>
  <c r="A750" i="2"/>
  <c r="B750" i="2"/>
  <c r="A751" i="2"/>
  <c r="B751" i="2"/>
  <c r="A752" i="2"/>
  <c r="B752" i="2"/>
  <c r="A753" i="2"/>
  <c r="B753" i="2"/>
  <c r="A754" i="2"/>
  <c r="B754" i="2"/>
  <c r="A755" i="2"/>
  <c r="B755" i="2"/>
  <c r="A756" i="2"/>
  <c r="B756" i="2"/>
  <c r="A757" i="2"/>
  <c r="B757" i="2"/>
  <c r="A758" i="2"/>
  <c r="B758" i="2"/>
  <c r="A759" i="2"/>
  <c r="B759" i="2"/>
  <c r="A760" i="2"/>
  <c r="B760" i="2"/>
  <c r="A761" i="2"/>
  <c r="B761" i="2"/>
  <c r="A762" i="2"/>
  <c r="B762" i="2"/>
  <c r="A763" i="2"/>
  <c r="B763" i="2"/>
  <c r="A764" i="2"/>
  <c r="B764" i="2"/>
  <c r="A765" i="2"/>
  <c r="B765" i="2"/>
  <c r="A766" i="2"/>
  <c r="B766" i="2"/>
  <c r="A767" i="2"/>
  <c r="B767" i="2"/>
  <c r="A768" i="2"/>
  <c r="B768" i="2"/>
  <c r="A769" i="2"/>
  <c r="B769" i="2"/>
  <c r="A770" i="2"/>
  <c r="B770" i="2"/>
  <c r="A771" i="2"/>
  <c r="B771" i="2"/>
  <c r="A772" i="2"/>
  <c r="B772" i="2"/>
  <c r="A773" i="2"/>
  <c r="B773" i="2"/>
  <c r="A774" i="2"/>
  <c r="B774" i="2"/>
  <c r="A775" i="2"/>
  <c r="B775" i="2"/>
  <c r="A776" i="2"/>
  <c r="B776" i="2"/>
  <c r="A777" i="2"/>
  <c r="B777" i="2"/>
  <c r="A778" i="2"/>
  <c r="B778" i="2"/>
  <c r="A779" i="2"/>
  <c r="B779" i="2"/>
  <c r="A780" i="2"/>
  <c r="B780" i="2"/>
  <c r="A781" i="2"/>
  <c r="B781" i="2"/>
  <c r="A782" i="2"/>
  <c r="B782" i="2"/>
  <c r="A783" i="2"/>
  <c r="B783" i="2"/>
  <c r="A784" i="2"/>
  <c r="B784" i="2"/>
  <c r="A785" i="2"/>
  <c r="B785" i="2"/>
  <c r="A786" i="2"/>
  <c r="B786" i="2"/>
  <c r="A787" i="2"/>
  <c r="B787" i="2"/>
  <c r="A788" i="2"/>
  <c r="B788" i="2"/>
  <c r="A789" i="2"/>
  <c r="B789" i="2"/>
  <c r="A790" i="2"/>
  <c r="B790" i="2"/>
  <c r="A791" i="2"/>
  <c r="B791" i="2"/>
  <c r="A792" i="2"/>
  <c r="B792" i="2"/>
  <c r="A793" i="2"/>
  <c r="B793" i="2"/>
  <c r="A794" i="2"/>
  <c r="B794" i="2"/>
  <c r="A795" i="2"/>
  <c r="B795" i="2"/>
  <c r="A796" i="2"/>
  <c r="B796" i="2"/>
  <c r="A797" i="2"/>
  <c r="B797" i="2"/>
  <c r="A798" i="2"/>
  <c r="B798" i="2"/>
  <c r="A799" i="2"/>
  <c r="B799" i="2"/>
  <c r="A800" i="2"/>
  <c r="B800" i="2"/>
  <c r="A801" i="2"/>
  <c r="B801" i="2"/>
  <c r="A802" i="2"/>
  <c r="B802" i="2"/>
  <c r="A803" i="2"/>
  <c r="B803" i="2"/>
  <c r="A804" i="2"/>
  <c r="B804" i="2"/>
  <c r="A805" i="2"/>
  <c r="B805" i="2"/>
  <c r="A806" i="2"/>
  <c r="B806" i="2"/>
  <c r="A807" i="2"/>
  <c r="B807" i="2"/>
  <c r="A808" i="2"/>
  <c r="B808" i="2"/>
  <c r="A809" i="2"/>
  <c r="B809" i="2"/>
  <c r="A810" i="2"/>
  <c r="B810" i="2"/>
  <c r="A811" i="2"/>
  <c r="B811" i="2"/>
  <c r="A812" i="2"/>
  <c r="B812" i="2"/>
  <c r="A813" i="2"/>
  <c r="B813" i="2"/>
  <c r="A814" i="2"/>
  <c r="B814" i="2"/>
  <c r="A815" i="2"/>
  <c r="B815" i="2"/>
  <c r="A816" i="2"/>
  <c r="B816" i="2"/>
  <c r="A817" i="2"/>
  <c r="B817" i="2"/>
  <c r="A818" i="2"/>
  <c r="B818" i="2"/>
  <c r="A819" i="2"/>
  <c r="B819" i="2"/>
  <c r="A820" i="2"/>
  <c r="B820" i="2"/>
  <c r="A821" i="2"/>
  <c r="B821" i="2"/>
  <c r="A822" i="2"/>
  <c r="B822" i="2"/>
  <c r="A823" i="2"/>
  <c r="B823" i="2"/>
  <c r="A824" i="2"/>
  <c r="B824" i="2"/>
  <c r="A825" i="2"/>
  <c r="B825" i="2"/>
  <c r="A826" i="2"/>
  <c r="B826" i="2"/>
  <c r="A827" i="2"/>
  <c r="B827" i="2"/>
  <c r="A828" i="2"/>
  <c r="B828" i="2"/>
  <c r="A829" i="2"/>
  <c r="B829" i="2"/>
  <c r="A830" i="2"/>
  <c r="B830" i="2"/>
  <c r="A831" i="2"/>
  <c r="B831" i="2"/>
  <c r="A832" i="2"/>
  <c r="B832" i="2"/>
  <c r="A833" i="2"/>
  <c r="B833" i="2"/>
  <c r="A834" i="2"/>
  <c r="B834" i="2"/>
  <c r="A835" i="2"/>
  <c r="B835" i="2"/>
  <c r="A836" i="2"/>
  <c r="B836" i="2"/>
  <c r="A837" i="2"/>
  <c r="B837" i="2"/>
  <c r="A838" i="2"/>
  <c r="B838" i="2"/>
  <c r="A839" i="2"/>
  <c r="B839" i="2"/>
  <c r="A840" i="2"/>
  <c r="B840" i="2"/>
  <c r="A841" i="2"/>
  <c r="B841" i="2"/>
  <c r="A842" i="2"/>
  <c r="B842" i="2"/>
  <c r="A843" i="2"/>
  <c r="B843" i="2"/>
  <c r="A844" i="2"/>
  <c r="B844" i="2"/>
  <c r="A845" i="2"/>
  <c r="B845" i="2"/>
  <c r="A846" i="2"/>
  <c r="B846" i="2"/>
  <c r="A847" i="2"/>
  <c r="B847" i="2"/>
  <c r="A848" i="2"/>
  <c r="B848" i="2"/>
  <c r="A849" i="2"/>
  <c r="B849" i="2"/>
  <c r="A850" i="2"/>
  <c r="B850" i="2"/>
  <c r="A851" i="2"/>
  <c r="B851" i="2"/>
  <c r="A852" i="2"/>
  <c r="B852" i="2"/>
  <c r="A853" i="2"/>
  <c r="B853" i="2"/>
  <c r="A854" i="2"/>
  <c r="B854" i="2"/>
  <c r="A855" i="2"/>
  <c r="B855" i="2"/>
  <c r="A856" i="2"/>
  <c r="B856" i="2"/>
  <c r="A857" i="2"/>
  <c r="B857" i="2"/>
  <c r="A858" i="2"/>
  <c r="B858" i="2"/>
  <c r="A859" i="2"/>
  <c r="B859" i="2"/>
  <c r="A860" i="2"/>
  <c r="B860" i="2"/>
  <c r="A861" i="2"/>
  <c r="B861" i="2"/>
  <c r="A862" i="2"/>
  <c r="B862" i="2"/>
  <c r="A863" i="2"/>
  <c r="B863" i="2"/>
  <c r="A864" i="2"/>
  <c r="B864" i="2"/>
  <c r="A865" i="2"/>
  <c r="B865" i="2"/>
  <c r="A866" i="2"/>
  <c r="B866" i="2"/>
  <c r="A867" i="2"/>
  <c r="B867" i="2"/>
  <c r="A868" i="2"/>
  <c r="B868" i="2"/>
  <c r="A869" i="2"/>
  <c r="B869" i="2"/>
  <c r="A870" i="2"/>
  <c r="B870" i="2"/>
  <c r="A871" i="2"/>
  <c r="B871" i="2"/>
  <c r="A872" i="2"/>
  <c r="B872" i="2"/>
  <c r="A873" i="2"/>
  <c r="B873" i="2"/>
  <c r="A874" i="2"/>
  <c r="B874" i="2"/>
  <c r="A875" i="2"/>
  <c r="B875" i="2"/>
  <c r="A876" i="2"/>
  <c r="B876" i="2"/>
  <c r="A877" i="2"/>
  <c r="B877" i="2"/>
  <c r="A878" i="2"/>
  <c r="B878" i="2"/>
  <c r="A879" i="2"/>
  <c r="B879" i="2"/>
  <c r="A880" i="2"/>
  <c r="B880" i="2"/>
  <c r="A881" i="2"/>
  <c r="B881" i="2"/>
  <c r="A882" i="2"/>
  <c r="B882" i="2"/>
  <c r="A883" i="2"/>
  <c r="B883" i="2"/>
  <c r="A884" i="2"/>
  <c r="B884" i="2"/>
  <c r="A885" i="2"/>
  <c r="B885" i="2"/>
  <c r="A886" i="2"/>
  <c r="B886" i="2"/>
  <c r="A887" i="2"/>
  <c r="B887" i="2"/>
  <c r="A888" i="2"/>
  <c r="B888" i="2"/>
  <c r="A889" i="2"/>
  <c r="B889" i="2"/>
  <c r="A890" i="2"/>
  <c r="B890" i="2"/>
  <c r="A891" i="2"/>
  <c r="B891" i="2"/>
  <c r="A892" i="2"/>
  <c r="B892" i="2"/>
  <c r="A893" i="2"/>
  <c r="B893" i="2"/>
  <c r="A894" i="2"/>
  <c r="B894" i="2"/>
  <c r="A895" i="2"/>
  <c r="B895" i="2"/>
  <c r="A896" i="2"/>
  <c r="B896" i="2"/>
  <c r="A897" i="2"/>
  <c r="B897" i="2"/>
  <c r="A898" i="2"/>
  <c r="B898" i="2"/>
  <c r="A899" i="2"/>
  <c r="B899" i="2"/>
  <c r="A900" i="2"/>
  <c r="B900" i="2"/>
  <c r="A901" i="2"/>
  <c r="B901" i="2"/>
  <c r="A902" i="2"/>
  <c r="B902" i="2"/>
  <c r="A903" i="2"/>
  <c r="B903" i="2"/>
  <c r="A904" i="2"/>
  <c r="B904" i="2"/>
  <c r="A905" i="2"/>
  <c r="B905" i="2"/>
  <c r="A906" i="2"/>
  <c r="B906" i="2"/>
  <c r="A907" i="2"/>
  <c r="B907" i="2"/>
  <c r="A908" i="2"/>
  <c r="B908" i="2"/>
  <c r="A909" i="2"/>
  <c r="B909" i="2"/>
  <c r="A910" i="2"/>
  <c r="B910" i="2"/>
  <c r="A911" i="2"/>
  <c r="B911" i="2"/>
  <c r="A912" i="2"/>
  <c r="B912" i="2"/>
  <c r="A913" i="2"/>
  <c r="B913" i="2"/>
  <c r="A914" i="2"/>
  <c r="B914" i="2"/>
  <c r="A915" i="2"/>
  <c r="B915" i="2"/>
  <c r="A916" i="2"/>
  <c r="B916" i="2"/>
  <c r="A917" i="2"/>
  <c r="B917" i="2"/>
  <c r="A918" i="2"/>
  <c r="B918" i="2"/>
  <c r="A919" i="2"/>
  <c r="B919" i="2"/>
  <c r="A920" i="2"/>
  <c r="B920" i="2"/>
  <c r="A921" i="2"/>
  <c r="B921" i="2"/>
  <c r="A922" i="2"/>
  <c r="B922" i="2"/>
  <c r="A923" i="2"/>
  <c r="B923" i="2"/>
  <c r="A924" i="2"/>
  <c r="B924" i="2"/>
  <c r="A925" i="2"/>
  <c r="B925" i="2"/>
  <c r="A926" i="2"/>
  <c r="B926" i="2"/>
  <c r="A927" i="2"/>
  <c r="B927" i="2"/>
  <c r="A928" i="2"/>
  <c r="B928" i="2"/>
  <c r="A929" i="2"/>
  <c r="B929" i="2"/>
  <c r="A930" i="2"/>
  <c r="B930" i="2"/>
  <c r="A931" i="2"/>
  <c r="B931" i="2"/>
  <c r="A932" i="2"/>
  <c r="B932" i="2"/>
  <c r="A933" i="2"/>
  <c r="B933" i="2"/>
  <c r="A934" i="2"/>
  <c r="B934" i="2"/>
  <c r="A935" i="2"/>
  <c r="B935" i="2"/>
  <c r="A936" i="2"/>
  <c r="B936" i="2"/>
  <c r="A937" i="2"/>
  <c r="B937" i="2"/>
  <c r="A938" i="2"/>
  <c r="B938" i="2"/>
  <c r="A939" i="2"/>
  <c r="B939" i="2"/>
  <c r="A940" i="2"/>
  <c r="B940" i="2"/>
  <c r="A941" i="2"/>
  <c r="B941" i="2"/>
  <c r="A942" i="2"/>
  <c r="B942" i="2"/>
  <c r="A943" i="2"/>
  <c r="B943" i="2"/>
  <c r="A944" i="2"/>
  <c r="B944" i="2"/>
  <c r="A945" i="2"/>
  <c r="B945" i="2"/>
  <c r="A946" i="2"/>
  <c r="B946" i="2"/>
  <c r="A947" i="2"/>
  <c r="B947" i="2"/>
  <c r="A948" i="2"/>
  <c r="B948" i="2"/>
  <c r="A949" i="2"/>
  <c r="B949" i="2"/>
  <c r="A950" i="2"/>
  <c r="B950" i="2"/>
  <c r="A951" i="2"/>
  <c r="B951" i="2"/>
  <c r="A952" i="2"/>
  <c r="B952" i="2"/>
  <c r="A953" i="2"/>
  <c r="B953" i="2"/>
  <c r="A954" i="2"/>
  <c r="B954" i="2"/>
  <c r="A955" i="2"/>
  <c r="B955" i="2"/>
  <c r="A956" i="2"/>
  <c r="B956" i="2"/>
  <c r="A957" i="2"/>
  <c r="B957" i="2"/>
  <c r="A958" i="2"/>
  <c r="B958" i="2"/>
  <c r="A959" i="2"/>
  <c r="B959" i="2"/>
  <c r="A960" i="2"/>
  <c r="B960" i="2"/>
  <c r="A961" i="2"/>
  <c r="B961" i="2"/>
  <c r="A962" i="2"/>
  <c r="B962" i="2"/>
  <c r="A963" i="2"/>
  <c r="B963" i="2"/>
  <c r="A964" i="2"/>
  <c r="B964" i="2"/>
  <c r="A965" i="2"/>
  <c r="B965" i="2"/>
  <c r="A966" i="2"/>
  <c r="B966" i="2"/>
  <c r="A967" i="2"/>
  <c r="B967" i="2"/>
  <c r="A968" i="2"/>
  <c r="B968" i="2"/>
  <c r="A969" i="2"/>
  <c r="B969" i="2"/>
  <c r="A970" i="2"/>
  <c r="B970" i="2"/>
  <c r="A971" i="2"/>
  <c r="B971" i="2"/>
  <c r="A972" i="2"/>
  <c r="B972" i="2"/>
  <c r="A973" i="2"/>
  <c r="B973" i="2"/>
  <c r="A974" i="2"/>
  <c r="B974" i="2"/>
  <c r="A975" i="2"/>
  <c r="B975" i="2"/>
  <c r="A976" i="2"/>
  <c r="B976" i="2"/>
  <c r="A977" i="2"/>
  <c r="B977" i="2"/>
  <c r="A978" i="2"/>
  <c r="B978" i="2"/>
  <c r="A979" i="2"/>
  <c r="B979" i="2"/>
  <c r="A980" i="2"/>
  <c r="B980" i="2"/>
  <c r="A981" i="2"/>
  <c r="B981" i="2"/>
  <c r="A982" i="2"/>
  <c r="B982" i="2"/>
  <c r="A983" i="2"/>
  <c r="B983" i="2"/>
  <c r="A984" i="2"/>
  <c r="B984" i="2"/>
  <c r="A985" i="2"/>
  <c r="B985" i="2"/>
  <c r="A986" i="2"/>
  <c r="B986" i="2"/>
  <c r="A987" i="2"/>
  <c r="B987" i="2"/>
  <c r="A988" i="2"/>
  <c r="B988" i="2"/>
  <c r="A989" i="2"/>
  <c r="B989" i="2"/>
  <c r="A990" i="2"/>
  <c r="B990" i="2"/>
  <c r="A991" i="2"/>
  <c r="B991" i="2"/>
  <c r="A992" i="2"/>
  <c r="B992" i="2"/>
  <c r="A993" i="2"/>
  <c r="B993" i="2"/>
  <c r="A994" i="2"/>
  <c r="B994" i="2"/>
  <c r="A995" i="2"/>
  <c r="B995" i="2"/>
  <c r="A996" i="2"/>
  <c r="B996" i="2"/>
  <c r="A997" i="2"/>
  <c r="B997" i="2"/>
  <c r="A998" i="2"/>
  <c r="B998" i="2"/>
  <c r="A999" i="2"/>
  <c r="B999" i="2"/>
  <c r="A1000" i="2"/>
  <c r="B1000" i="2"/>
  <c r="A1001" i="2"/>
  <c r="B1001" i="2"/>
  <c r="A1002" i="2"/>
  <c r="B1002" i="2"/>
  <c r="A1003" i="2"/>
  <c r="B1003" i="2"/>
  <c r="A1004" i="2"/>
  <c r="B1004" i="2"/>
  <c r="A1005" i="2"/>
  <c r="B1005" i="2"/>
  <c r="A1006" i="2"/>
  <c r="B1006" i="2"/>
  <c r="A1007" i="2"/>
  <c r="B1007" i="2"/>
  <c r="A1008" i="2"/>
  <c r="B1008" i="2"/>
  <c r="A1009" i="2"/>
  <c r="B1009" i="2"/>
  <c r="A1010" i="2"/>
  <c r="B1010" i="2"/>
  <c r="A1011" i="2"/>
  <c r="B1011" i="2"/>
  <c r="A1012" i="2"/>
  <c r="B1012" i="2"/>
  <c r="A1013" i="2"/>
  <c r="B1013" i="2"/>
  <c r="A1014" i="2"/>
  <c r="B1014" i="2"/>
  <c r="A1015" i="2"/>
  <c r="B1015" i="2"/>
  <c r="A1016" i="2"/>
  <c r="B1016" i="2"/>
  <c r="A1017" i="2"/>
  <c r="B1017" i="2"/>
  <c r="A1018" i="2"/>
  <c r="B1018" i="2"/>
  <c r="A1019" i="2"/>
  <c r="B1019" i="2"/>
  <c r="A1020" i="2"/>
  <c r="B1020" i="2"/>
  <c r="A1021" i="2"/>
  <c r="B1021" i="2"/>
  <c r="A1022" i="2"/>
  <c r="B1022" i="2"/>
  <c r="A1023" i="2"/>
  <c r="B1023" i="2"/>
  <c r="A1024" i="2"/>
  <c r="B1024" i="2"/>
  <c r="A1025" i="2"/>
  <c r="B1025" i="2"/>
  <c r="A1026" i="2"/>
  <c r="B1026" i="2"/>
  <c r="A1027" i="2"/>
  <c r="B1027" i="2"/>
  <c r="A1028" i="2"/>
  <c r="B1028" i="2"/>
  <c r="A1029" i="2"/>
  <c r="B1029" i="2"/>
  <c r="A1030" i="2"/>
  <c r="B1030" i="2"/>
  <c r="A1031" i="2"/>
  <c r="B1031" i="2"/>
  <c r="A1032" i="2"/>
  <c r="B1032" i="2"/>
  <c r="A1033" i="2"/>
  <c r="B1033" i="2"/>
  <c r="A1034" i="2"/>
  <c r="B1034" i="2"/>
  <c r="A1035" i="2"/>
  <c r="B1035" i="2"/>
  <c r="A1036" i="2"/>
  <c r="B1036" i="2"/>
  <c r="A1037" i="2"/>
  <c r="B1037" i="2"/>
  <c r="A1038" i="2"/>
  <c r="B1038" i="2"/>
  <c r="A1039" i="2"/>
  <c r="B1039" i="2"/>
  <c r="A1040" i="2"/>
  <c r="B1040" i="2"/>
  <c r="A1041" i="2"/>
  <c r="B1041" i="2"/>
  <c r="A1042" i="2"/>
  <c r="B1042" i="2"/>
  <c r="A1043" i="2"/>
  <c r="B1043" i="2"/>
  <c r="A1044" i="2"/>
  <c r="B1044" i="2"/>
  <c r="A1045" i="2"/>
  <c r="B1045" i="2"/>
  <c r="A1046" i="2"/>
  <c r="B1046" i="2"/>
  <c r="A1047" i="2"/>
  <c r="B1047" i="2"/>
  <c r="A1048" i="2"/>
  <c r="B1048" i="2"/>
  <c r="A1049" i="2"/>
  <c r="B1049" i="2"/>
  <c r="A1050" i="2"/>
  <c r="B1050" i="2"/>
  <c r="A1051" i="2"/>
  <c r="B1051" i="2"/>
  <c r="A1052" i="2"/>
  <c r="B1052" i="2"/>
  <c r="A1053" i="2"/>
  <c r="B1053" i="2"/>
  <c r="A1054" i="2"/>
  <c r="B1054" i="2"/>
  <c r="A1055" i="2"/>
  <c r="B1055" i="2"/>
  <c r="A1056" i="2"/>
  <c r="B1056" i="2"/>
  <c r="A1057" i="2"/>
  <c r="B1057" i="2"/>
  <c r="A1058" i="2"/>
  <c r="B1058" i="2"/>
  <c r="A1059" i="2"/>
  <c r="B1059" i="2"/>
  <c r="A1060" i="2"/>
  <c r="B1060" i="2"/>
  <c r="A1061" i="2"/>
  <c r="B1061" i="2"/>
  <c r="A1062" i="2"/>
  <c r="B1062" i="2"/>
  <c r="A1063" i="2"/>
  <c r="B1063" i="2"/>
  <c r="A1064" i="2"/>
  <c r="B1064" i="2"/>
  <c r="A1065" i="2"/>
  <c r="B1065" i="2"/>
  <c r="A1066" i="2"/>
  <c r="B1066" i="2"/>
  <c r="A1067" i="2"/>
  <c r="B1067" i="2"/>
  <c r="A1068" i="2"/>
  <c r="B1068" i="2"/>
  <c r="A1069" i="2"/>
  <c r="B1069" i="2"/>
  <c r="A1070" i="2"/>
  <c r="B1070" i="2"/>
  <c r="A1071" i="2"/>
  <c r="B1071" i="2"/>
  <c r="A1072" i="2"/>
  <c r="B1072" i="2"/>
  <c r="A1073" i="2"/>
  <c r="B1073" i="2"/>
  <c r="A1074" i="2"/>
  <c r="B1074" i="2"/>
  <c r="A1075" i="2"/>
  <c r="B1075" i="2"/>
  <c r="A1076" i="2"/>
  <c r="B1076" i="2"/>
  <c r="A1077" i="2"/>
  <c r="B1077" i="2"/>
  <c r="A1078" i="2"/>
  <c r="B1078" i="2"/>
  <c r="A1079" i="2"/>
  <c r="B1079" i="2"/>
  <c r="A1080" i="2"/>
  <c r="B1080" i="2"/>
  <c r="A1081" i="2"/>
  <c r="B1081" i="2"/>
  <c r="A1082" i="2"/>
  <c r="B1082" i="2"/>
  <c r="A1083" i="2"/>
  <c r="B1083" i="2"/>
  <c r="A1084" i="2"/>
  <c r="B1084" i="2"/>
  <c r="A1085" i="2"/>
  <c r="B1085" i="2"/>
  <c r="A1086" i="2"/>
  <c r="B1086" i="2"/>
  <c r="A1087" i="2"/>
  <c r="B1087" i="2"/>
  <c r="A1088" i="2"/>
  <c r="B1088" i="2"/>
  <c r="A1089" i="2"/>
  <c r="B1089" i="2"/>
  <c r="A1090" i="2"/>
  <c r="B1090" i="2"/>
  <c r="A1091" i="2"/>
  <c r="B1091" i="2"/>
  <c r="A1092" i="2"/>
  <c r="B1092" i="2"/>
  <c r="A1093" i="2"/>
  <c r="B1093" i="2"/>
  <c r="A1094" i="2"/>
  <c r="B1094" i="2"/>
  <c r="A1095" i="2"/>
  <c r="B1095" i="2"/>
  <c r="A1096" i="2"/>
  <c r="B1096" i="2"/>
  <c r="A1097" i="2"/>
  <c r="B1097" i="2"/>
  <c r="A1098" i="2"/>
  <c r="B1098" i="2"/>
  <c r="A1099" i="2"/>
  <c r="B1099" i="2"/>
  <c r="A1100" i="2"/>
  <c r="B1100" i="2"/>
  <c r="A1101" i="2"/>
  <c r="B1101" i="2"/>
  <c r="A1102" i="2"/>
  <c r="B1102" i="2"/>
  <c r="A1103" i="2"/>
  <c r="B1103" i="2"/>
  <c r="A1104" i="2"/>
  <c r="B1104" i="2"/>
  <c r="A1105" i="2"/>
  <c r="B1105" i="2"/>
  <c r="A1106" i="2"/>
  <c r="B1106" i="2"/>
  <c r="A1107" i="2"/>
  <c r="B1107" i="2"/>
  <c r="A1108" i="2"/>
  <c r="B1108" i="2"/>
  <c r="A1109" i="2"/>
  <c r="B1109" i="2"/>
  <c r="A1110" i="2"/>
  <c r="B1110" i="2"/>
  <c r="A1111" i="2"/>
  <c r="B1111" i="2"/>
  <c r="A1112" i="2"/>
  <c r="B1112" i="2"/>
  <c r="A1113" i="2"/>
  <c r="B1113" i="2"/>
  <c r="A1114" i="2"/>
  <c r="B1114" i="2"/>
  <c r="A1115" i="2"/>
  <c r="B1115" i="2"/>
  <c r="A1116" i="2"/>
  <c r="B1116" i="2"/>
  <c r="A1117" i="2"/>
  <c r="B1117" i="2"/>
  <c r="A1118" i="2"/>
  <c r="B1118" i="2"/>
  <c r="A1119" i="2"/>
  <c r="B1119" i="2"/>
  <c r="A1120" i="2"/>
  <c r="B1120" i="2"/>
  <c r="A1121" i="2"/>
  <c r="B1121" i="2"/>
  <c r="A1122" i="2"/>
  <c r="B1122" i="2"/>
  <c r="A1123" i="2"/>
  <c r="B1123" i="2"/>
  <c r="A1124" i="2"/>
  <c r="B1124" i="2"/>
  <c r="A1125" i="2"/>
  <c r="B1125" i="2"/>
  <c r="A1126" i="2"/>
  <c r="B1126" i="2"/>
  <c r="A1127" i="2"/>
  <c r="B1127" i="2"/>
  <c r="A1128" i="2"/>
  <c r="B1128" i="2"/>
  <c r="A1129" i="2"/>
  <c r="B1129" i="2"/>
  <c r="A1130" i="2"/>
  <c r="B1130" i="2"/>
  <c r="A1131" i="2"/>
  <c r="B1131" i="2"/>
  <c r="A1132" i="2"/>
  <c r="B1132" i="2"/>
  <c r="A1133" i="2"/>
  <c r="B1133" i="2"/>
  <c r="A1134" i="2"/>
  <c r="B1134" i="2"/>
  <c r="A1135" i="2"/>
  <c r="B1135" i="2"/>
  <c r="A1136" i="2"/>
  <c r="B1136" i="2"/>
  <c r="A1137" i="2"/>
  <c r="B1137" i="2"/>
  <c r="A1138" i="2"/>
  <c r="B1138" i="2"/>
  <c r="A1139" i="2"/>
  <c r="B1139" i="2"/>
  <c r="A1140" i="2"/>
  <c r="B1140" i="2"/>
  <c r="A1141" i="2"/>
  <c r="B1141" i="2"/>
  <c r="A1142" i="2"/>
  <c r="B1142" i="2"/>
  <c r="A1143" i="2"/>
  <c r="B1143" i="2"/>
  <c r="A1144" i="2"/>
  <c r="B1144" i="2"/>
  <c r="B2" i="2"/>
  <c r="A2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H3" i="2"/>
  <c r="J3" i="2" s="1"/>
  <c r="H4" i="2"/>
  <c r="J4" i="2" s="1"/>
  <c r="H5" i="2"/>
  <c r="J5" i="2" s="1"/>
  <c r="H6" i="2"/>
  <c r="J6" i="2" s="1"/>
  <c r="H7" i="2"/>
  <c r="J7" i="2" s="1"/>
  <c r="H8" i="2"/>
  <c r="J8" i="2" s="1"/>
  <c r="H9" i="2"/>
  <c r="J9" i="2" s="1"/>
  <c r="H10" i="2"/>
  <c r="J10" i="2" s="1"/>
  <c r="H11" i="2"/>
  <c r="J11" i="2" s="1"/>
  <c r="H12" i="2"/>
  <c r="J12" i="2" s="1"/>
  <c r="H13" i="2"/>
  <c r="J13" i="2" s="1"/>
  <c r="H14" i="2"/>
  <c r="J14" i="2" s="1"/>
  <c r="H15" i="2"/>
  <c r="J15" i="2" s="1"/>
  <c r="H16" i="2"/>
  <c r="J16" i="2" s="1"/>
  <c r="H17" i="2"/>
  <c r="J17" i="2" s="1"/>
  <c r="H18" i="2"/>
  <c r="J18" i="2" s="1"/>
  <c r="H19" i="2"/>
  <c r="J19" i="2" s="1"/>
  <c r="H20" i="2"/>
  <c r="J20" i="2" s="1"/>
  <c r="H21" i="2"/>
  <c r="J21" i="2" s="1"/>
  <c r="H22" i="2"/>
  <c r="J22" i="2" s="1"/>
  <c r="H23" i="2"/>
  <c r="J23" i="2" s="1"/>
  <c r="H24" i="2"/>
  <c r="J24" i="2" s="1"/>
  <c r="H25" i="2"/>
  <c r="J25" i="2" s="1"/>
  <c r="H26" i="2"/>
  <c r="J26" i="2" s="1"/>
  <c r="H27" i="2"/>
  <c r="J27" i="2" s="1"/>
  <c r="H28" i="2"/>
  <c r="J28" i="2" s="1"/>
  <c r="H29" i="2"/>
  <c r="J29" i="2" s="1"/>
  <c r="H30" i="2"/>
  <c r="J30" i="2" s="1"/>
  <c r="H31" i="2"/>
  <c r="J31" i="2" s="1"/>
  <c r="H32" i="2"/>
  <c r="J32" i="2" s="1"/>
  <c r="H33" i="2"/>
  <c r="J33" i="2" s="1"/>
  <c r="H34" i="2"/>
  <c r="J34" i="2" s="1"/>
  <c r="H35" i="2"/>
  <c r="J35" i="2" s="1"/>
  <c r="H36" i="2"/>
  <c r="J36" i="2" s="1"/>
  <c r="H37" i="2"/>
  <c r="J37" i="2" s="1"/>
  <c r="H38" i="2"/>
  <c r="J38" i="2" s="1"/>
  <c r="H39" i="2"/>
  <c r="J39" i="2" s="1"/>
  <c r="H40" i="2"/>
  <c r="J40" i="2" s="1"/>
  <c r="H41" i="2"/>
  <c r="J41" i="2" s="1"/>
  <c r="H42" i="2"/>
  <c r="J42" i="2" s="1"/>
  <c r="H43" i="2"/>
  <c r="J43" i="2" s="1"/>
  <c r="H44" i="2"/>
  <c r="J44" i="2" s="1"/>
  <c r="H45" i="2"/>
  <c r="J45" i="2" s="1"/>
  <c r="H46" i="2"/>
  <c r="J46" i="2" s="1"/>
  <c r="H47" i="2"/>
  <c r="J47" i="2" s="1"/>
  <c r="H48" i="2"/>
  <c r="J48" i="2" s="1"/>
  <c r="H49" i="2"/>
  <c r="J49" i="2" s="1"/>
  <c r="H50" i="2"/>
  <c r="J50" i="2" s="1"/>
  <c r="H51" i="2"/>
  <c r="J51" i="2" s="1"/>
  <c r="H52" i="2"/>
  <c r="J52" i="2" s="1"/>
  <c r="H53" i="2"/>
  <c r="J53" i="2" s="1"/>
  <c r="H54" i="2"/>
  <c r="J54" i="2" s="1"/>
  <c r="H55" i="2"/>
  <c r="J55" i="2" s="1"/>
  <c r="H56" i="2"/>
  <c r="J56" i="2" s="1"/>
  <c r="H57" i="2"/>
  <c r="J57" i="2" s="1"/>
  <c r="H58" i="2"/>
  <c r="J58" i="2" s="1"/>
  <c r="H59" i="2"/>
  <c r="J59" i="2" s="1"/>
  <c r="H60" i="2"/>
  <c r="J60" i="2" s="1"/>
  <c r="H61" i="2"/>
  <c r="J61" i="2" s="1"/>
  <c r="H62" i="2"/>
  <c r="J62" i="2" s="1"/>
  <c r="H63" i="2"/>
  <c r="J63" i="2" s="1"/>
  <c r="H64" i="2"/>
  <c r="J64" i="2" s="1"/>
  <c r="H65" i="2"/>
  <c r="J65" i="2" s="1"/>
  <c r="H66" i="2"/>
  <c r="J66" i="2" s="1"/>
  <c r="H67" i="2"/>
  <c r="J67" i="2" s="1"/>
  <c r="H68" i="2"/>
  <c r="J68" i="2" s="1"/>
  <c r="H69" i="2"/>
  <c r="J69" i="2" s="1"/>
  <c r="H70" i="2"/>
  <c r="J70" i="2" s="1"/>
  <c r="H71" i="2"/>
  <c r="J71" i="2" s="1"/>
  <c r="H72" i="2"/>
  <c r="J72" i="2" s="1"/>
  <c r="H73" i="2"/>
  <c r="J73" i="2" s="1"/>
  <c r="H74" i="2"/>
  <c r="J74" i="2" s="1"/>
  <c r="H75" i="2"/>
  <c r="J75" i="2" s="1"/>
  <c r="H76" i="2"/>
  <c r="J76" i="2" s="1"/>
  <c r="H77" i="2"/>
  <c r="J77" i="2" s="1"/>
  <c r="H78" i="2"/>
  <c r="J78" i="2" s="1"/>
  <c r="H79" i="2"/>
  <c r="J79" i="2" s="1"/>
  <c r="H80" i="2"/>
  <c r="J80" i="2" s="1"/>
  <c r="H81" i="2"/>
  <c r="J81" i="2" s="1"/>
  <c r="H82" i="2"/>
  <c r="J82" i="2" s="1"/>
  <c r="H83" i="2"/>
  <c r="J83" i="2" s="1"/>
  <c r="H84" i="2"/>
  <c r="J84" i="2" s="1"/>
  <c r="H85" i="2"/>
  <c r="J85" i="2" s="1"/>
  <c r="H86" i="2"/>
  <c r="J86" i="2" s="1"/>
  <c r="H87" i="2"/>
  <c r="J87" i="2" s="1"/>
  <c r="H88" i="2"/>
  <c r="J88" i="2" s="1"/>
  <c r="H89" i="2"/>
  <c r="J89" i="2" s="1"/>
  <c r="H90" i="2"/>
  <c r="J90" i="2" s="1"/>
  <c r="H91" i="2"/>
  <c r="J91" i="2" s="1"/>
  <c r="H92" i="2"/>
  <c r="J92" i="2" s="1"/>
  <c r="H93" i="2"/>
  <c r="J93" i="2" s="1"/>
  <c r="H94" i="2"/>
  <c r="J94" i="2" s="1"/>
  <c r="H95" i="2"/>
  <c r="J95" i="2" s="1"/>
  <c r="H96" i="2"/>
  <c r="J96" i="2" s="1"/>
  <c r="H97" i="2"/>
  <c r="J97" i="2" s="1"/>
  <c r="H98" i="2"/>
  <c r="J98" i="2" s="1"/>
  <c r="H99" i="2"/>
  <c r="J99" i="2" s="1"/>
  <c r="H100" i="2"/>
  <c r="J100" i="2" s="1"/>
  <c r="H101" i="2"/>
  <c r="J101" i="2" s="1"/>
  <c r="H102" i="2"/>
  <c r="J102" i="2" s="1"/>
  <c r="H103" i="2"/>
  <c r="J103" i="2" s="1"/>
  <c r="H104" i="2"/>
  <c r="J104" i="2" s="1"/>
  <c r="H105" i="2"/>
  <c r="J105" i="2" s="1"/>
  <c r="H106" i="2"/>
  <c r="J106" i="2" s="1"/>
  <c r="H107" i="2"/>
  <c r="J107" i="2" s="1"/>
  <c r="H108" i="2"/>
  <c r="J108" i="2" s="1"/>
  <c r="H109" i="2"/>
  <c r="J109" i="2" s="1"/>
  <c r="H110" i="2"/>
  <c r="J110" i="2" s="1"/>
  <c r="H111" i="2"/>
  <c r="J111" i="2" s="1"/>
  <c r="H112" i="2"/>
  <c r="J112" i="2" s="1"/>
  <c r="H113" i="2"/>
  <c r="J113" i="2" s="1"/>
  <c r="H114" i="2"/>
  <c r="J114" i="2" s="1"/>
  <c r="H115" i="2"/>
  <c r="J115" i="2" s="1"/>
  <c r="H116" i="2"/>
  <c r="J116" i="2" s="1"/>
  <c r="H117" i="2"/>
  <c r="J117" i="2" s="1"/>
  <c r="H118" i="2"/>
  <c r="J118" i="2" s="1"/>
  <c r="H119" i="2"/>
  <c r="J119" i="2" s="1"/>
  <c r="H120" i="2"/>
  <c r="J120" i="2" s="1"/>
  <c r="H121" i="2"/>
  <c r="J121" i="2" s="1"/>
  <c r="H122" i="2"/>
  <c r="J122" i="2" s="1"/>
  <c r="H123" i="2"/>
  <c r="J123" i="2" s="1"/>
  <c r="H124" i="2"/>
  <c r="J124" i="2" s="1"/>
  <c r="H125" i="2"/>
  <c r="J125" i="2" s="1"/>
  <c r="H126" i="2"/>
  <c r="J126" i="2" s="1"/>
  <c r="H127" i="2"/>
  <c r="J127" i="2" s="1"/>
  <c r="H128" i="2"/>
  <c r="J128" i="2" s="1"/>
  <c r="H129" i="2"/>
  <c r="J129" i="2" s="1"/>
  <c r="H130" i="2"/>
  <c r="J130" i="2" s="1"/>
  <c r="H131" i="2"/>
  <c r="J131" i="2" s="1"/>
  <c r="H132" i="2"/>
  <c r="J132" i="2" s="1"/>
  <c r="H133" i="2"/>
  <c r="J133" i="2" s="1"/>
  <c r="H134" i="2"/>
  <c r="J134" i="2" s="1"/>
  <c r="H135" i="2"/>
  <c r="J135" i="2" s="1"/>
  <c r="H136" i="2"/>
  <c r="J136" i="2" s="1"/>
  <c r="H137" i="2"/>
  <c r="J137" i="2" s="1"/>
  <c r="H138" i="2"/>
  <c r="J138" i="2" s="1"/>
  <c r="H139" i="2"/>
  <c r="J139" i="2" s="1"/>
  <c r="H140" i="2"/>
  <c r="J140" i="2" s="1"/>
  <c r="H141" i="2"/>
  <c r="J141" i="2" s="1"/>
  <c r="H142" i="2"/>
  <c r="J142" i="2" s="1"/>
  <c r="H143" i="2"/>
  <c r="J143" i="2" s="1"/>
  <c r="H144" i="2"/>
  <c r="J144" i="2" s="1"/>
  <c r="H145" i="2"/>
  <c r="J145" i="2" s="1"/>
  <c r="H146" i="2"/>
  <c r="J146" i="2" s="1"/>
  <c r="H147" i="2"/>
  <c r="J147" i="2" s="1"/>
  <c r="H148" i="2"/>
  <c r="J148" i="2" s="1"/>
  <c r="H149" i="2"/>
  <c r="J149" i="2" s="1"/>
  <c r="H150" i="2"/>
  <c r="J150" i="2" s="1"/>
  <c r="H151" i="2"/>
  <c r="J151" i="2" s="1"/>
  <c r="H152" i="2"/>
  <c r="J152" i="2" s="1"/>
  <c r="H153" i="2"/>
  <c r="J153" i="2" s="1"/>
  <c r="H154" i="2"/>
  <c r="J154" i="2" s="1"/>
  <c r="H155" i="2"/>
  <c r="J155" i="2" s="1"/>
  <c r="H156" i="2"/>
  <c r="J156" i="2" s="1"/>
  <c r="H157" i="2"/>
  <c r="J157" i="2" s="1"/>
  <c r="H158" i="2"/>
  <c r="J158" i="2" s="1"/>
  <c r="H159" i="2"/>
  <c r="J159" i="2" s="1"/>
  <c r="H160" i="2"/>
  <c r="J160" i="2" s="1"/>
  <c r="H161" i="2"/>
  <c r="J161" i="2" s="1"/>
  <c r="H162" i="2"/>
  <c r="J162" i="2" s="1"/>
  <c r="H163" i="2"/>
  <c r="J163" i="2" s="1"/>
  <c r="H164" i="2"/>
  <c r="J164" i="2" s="1"/>
  <c r="H165" i="2"/>
  <c r="J165" i="2" s="1"/>
  <c r="H166" i="2"/>
  <c r="J166" i="2" s="1"/>
  <c r="H167" i="2"/>
  <c r="J167" i="2" s="1"/>
  <c r="H168" i="2"/>
  <c r="J168" i="2" s="1"/>
  <c r="H169" i="2"/>
  <c r="J169" i="2" s="1"/>
  <c r="H170" i="2"/>
  <c r="J170" i="2" s="1"/>
  <c r="H171" i="2"/>
  <c r="J171" i="2" s="1"/>
  <c r="H172" i="2"/>
  <c r="J172" i="2" s="1"/>
  <c r="H173" i="2"/>
  <c r="J173" i="2" s="1"/>
  <c r="H174" i="2"/>
  <c r="J174" i="2" s="1"/>
  <c r="H175" i="2"/>
  <c r="J175" i="2" s="1"/>
  <c r="H176" i="2"/>
  <c r="J176" i="2" s="1"/>
  <c r="H177" i="2"/>
  <c r="J177" i="2" s="1"/>
  <c r="H178" i="2"/>
  <c r="J178" i="2" s="1"/>
  <c r="H179" i="2"/>
  <c r="J179" i="2" s="1"/>
  <c r="H180" i="2"/>
  <c r="J180" i="2" s="1"/>
  <c r="H181" i="2"/>
  <c r="J181" i="2" s="1"/>
  <c r="H182" i="2"/>
  <c r="J182" i="2" s="1"/>
  <c r="H183" i="2"/>
  <c r="J183" i="2" s="1"/>
  <c r="H184" i="2"/>
  <c r="J184" i="2" s="1"/>
  <c r="H185" i="2"/>
  <c r="J185" i="2" s="1"/>
  <c r="H186" i="2"/>
  <c r="J186" i="2" s="1"/>
  <c r="H187" i="2"/>
  <c r="J187" i="2" s="1"/>
  <c r="H188" i="2"/>
  <c r="J188" i="2" s="1"/>
  <c r="H189" i="2"/>
  <c r="J189" i="2" s="1"/>
  <c r="H190" i="2"/>
  <c r="J190" i="2" s="1"/>
  <c r="H191" i="2"/>
  <c r="J191" i="2" s="1"/>
  <c r="H192" i="2"/>
  <c r="J192" i="2" s="1"/>
  <c r="H193" i="2"/>
  <c r="J193" i="2" s="1"/>
  <c r="H194" i="2"/>
  <c r="J194" i="2" s="1"/>
  <c r="H195" i="2"/>
  <c r="J195" i="2" s="1"/>
  <c r="H196" i="2"/>
  <c r="J196" i="2" s="1"/>
  <c r="H197" i="2"/>
  <c r="J197" i="2" s="1"/>
  <c r="H198" i="2"/>
  <c r="J198" i="2" s="1"/>
  <c r="H199" i="2"/>
  <c r="J199" i="2" s="1"/>
  <c r="H200" i="2"/>
  <c r="J200" i="2" s="1"/>
  <c r="H201" i="2"/>
  <c r="J201" i="2" s="1"/>
  <c r="H202" i="2"/>
  <c r="J202" i="2" s="1"/>
  <c r="H203" i="2"/>
  <c r="J203" i="2" s="1"/>
  <c r="H204" i="2"/>
  <c r="J204" i="2" s="1"/>
  <c r="H205" i="2"/>
  <c r="J205" i="2" s="1"/>
  <c r="H206" i="2"/>
  <c r="J206" i="2" s="1"/>
  <c r="H207" i="2"/>
  <c r="J207" i="2" s="1"/>
  <c r="H208" i="2"/>
  <c r="J208" i="2" s="1"/>
  <c r="H209" i="2"/>
  <c r="J209" i="2" s="1"/>
  <c r="H210" i="2"/>
  <c r="J210" i="2" s="1"/>
  <c r="H211" i="2"/>
  <c r="J211" i="2" s="1"/>
  <c r="H212" i="2"/>
  <c r="J212" i="2" s="1"/>
  <c r="H213" i="2"/>
  <c r="J213" i="2" s="1"/>
  <c r="H214" i="2"/>
  <c r="J214" i="2" s="1"/>
  <c r="H215" i="2"/>
  <c r="J215" i="2" s="1"/>
  <c r="H216" i="2"/>
  <c r="J216" i="2" s="1"/>
  <c r="H217" i="2"/>
  <c r="J217" i="2" s="1"/>
  <c r="H218" i="2"/>
  <c r="J218" i="2" s="1"/>
  <c r="H219" i="2"/>
  <c r="J219" i="2" s="1"/>
  <c r="H220" i="2"/>
  <c r="J220" i="2" s="1"/>
  <c r="H221" i="2"/>
  <c r="J221" i="2" s="1"/>
  <c r="H222" i="2"/>
  <c r="J222" i="2" s="1"/>
  <c r="H223" i="2"/>
  <c r="J223" i="2" s="1"/>
  <c r="H224" i="2"/>
  <c r="J224" i="2" s="1"/>
  <c r="H225" i="2"/>
  <c r="J225" i="2" s="1"/>
  <c r="H226" i="2"/>
  <c r="J226" i="2" s="1"/>
  <c r="H227" i="2"/>
  <c r="J227" i="2" s="1"/>
  <c r="H228" i="2"/>
  <c r="J228" i="2" s="1"/>
  <c r="H229" i="2"/>
  <c r="J229" i="2" s="1"/>
  <c r="H230" i="2"/>
  <c r="J230" i="2" s="1"/>
  <c r="H231" i="2"/>
  <c r="J231" i="2" s="1"/>
  <c r="H232" i="2"/>
  <c r="J232" i="2" s="1"/>
  <c r="H233" i="2"/>
  <c r="J233" i="2" s="1"/>
  <c r="H234" i="2"/>
  <c r="J234" i="2" s="1"/>
  <c r="H235" i="2"/>
  <c r="J235" i="2" s="1"/>
  <c r="H236" i="2"/>
  <c r="J236" i="2" s="1"/>
  <c r="H237" i="2"/>
  <c r="J237" i="2" s="1"/>
  <c r="H238" i="2"/>
  <c r="J238" i="2" s="1"/>
  <c r="H239" i="2"/>
  <c r="J239" i="2" s="1"/>
  <c r="H240" i="2"/>
  <c r="J240" i="2" s="1"/>
  <c r="H241" i="2"/>
  <c r="J241" i="2" s="1"/>
  <c r="H242" i="2"/>
  <c r="J242" i="2" s="1"/>
  <c r="H243" i="2"/>
  <c r="J243" i="2" s="1"/>
  <c r="H244" i="2"/>
  <c r="J244" i="2" s="1"/>
  <c r="H245" i="2"/>
  <c r="J245" i="2" s="1"/>
  <c r="H246" i="2"/>
  <c r="J246" i="2" s="1"/>
  <c r="H247" i="2"/>
  <c r="J247" i="2" s="1"/>
  <c r="H248" i="2"/>
  <c r="J248" i="2" s="1"/>
  <c r="H249" i="2"/>
  <c r="J249" i="2" s="1"/>
  <c r="H250" i="2"/>
  <c r="J250" i="2" s="1"/>
  <c r="H251" i="2"/>
  <c r="J251" i="2" s="1"/>
  <c r="H252" i="2"/>
  <c r="J252" i="2" s="1"/>
  <c r="H253" i="2"/>
  <c r="J253" i="2" s="1"/>
  <c r="H254" i="2"/>
  <c r="J254" i="2" s="1"/>
  <c r="H255" i="2"/>
  <c r="J255" i="2" s="1"/>
  <c r="H256" i="2"/>
  <c r="J256" i="2" s="1"/>
  <c r="H257" i="2"/>
  <c r="J257" i="2" s="1"/>
  <c r="H258" i="2"/>
  <c r="J258" i="2" s="1"/>
  <c r="H259" i="2"/>
  <c r="J259" i="2" s="1"/>
  <c r="H260" i="2"/>
  <c r="J260" i="2" s="1"/>
  <c r="H261" i="2"/>
  <c r="J261" i="2" s="1"/>
  <c r="H262" i="2"/>
  <c r="J262" i="2" s="1"/>
  <c r="H263" i="2"/>
  <c r="J263" i="2" s="1"/>
  <c r="H264" i="2"/>
  <c r="J264" i="2" s="1"/>
  <c r="H265" i="2"/>
  <c r="J265" i="2" s="1"/>
  <c r="H266" i="2"/>
  <c r="J266" i="2" s="1"/>
  <c r="H267" i="2"/>
  <c r="J267" i="2" s="1"/>
  <c r="H268" i="2"/>
  <c r="J268" i="2" s="1"/>
  <c r="H269" i="2"/>
  <c r="J269" i="2" s="1"/>
  <c r="H270" i="2"/>
  <c r="J270" i="2" s="1"/>
  <c r="H271" i="2"/>
  <c r="J271" i="2" s="1"/>
  <c r="H272" i="2"/>
  <c r="J272" i="2" s="1"/>
  <c r="H273" i="2"/>
  <c r="J273" i="2" s="1"/>
  <c r="H274" i="2"/>
  <c r="J274" i="2" s="1"/>
  <c r="H275" i="2"/>
  <c r="J275" i="2" s="1"/>
  <c r="H276" i="2"/>
  <c r="J276" i="2" s="1"/>
  <c r="H277" i="2"/>
  <c r="J277" i="2" s="1"/>
  <c r="H278" i="2"/>
  <c r="J278" i="2" s="1"/>
  <c r="H279" i="2"/>
  <c r="J279" i="2" s="1"/>
  <c r="H280" i="2"/>
  <c r="J280" i="2" s="1"/>
  <c r="H281" i="2"/>
  <c r="J281" i="2" s="1"/>
  <c r="H282" i="2"/>
  <c r="J282" i="2" s="1"/>
  <c r="H283" i="2"/>
  <c r="J283" i="2" s="1"/>
  <c r="H284" i="2"/>
  <c r="J284" i="2" s="1"/>
  <c r="H285" i="2"/>
  <c r="J285" i="2" s="1"/>
  <c r="H286" i="2"/>
  <c r="J286" i="2" s="1"/>
  <c r="H287" i="2"/>
  <c r="J287" i="2" s="1"/>
  <c r="H288" i="2"/>
  <c r="J288" i="2" s="1"/>
  <c r="H289" i="2"/>
  <c r="J289" i="2" s="1"/>
  <c r="H290" i="2"/>
  <c r="J290" i="2" s="1"/>
  <c r="H291" i="2"/>
  <c r="J291" i="2" s="1"/>
  <c r="H292" i="2"/>
  <c r="J292" i="2" s="1"/>
  <c r="H293" i="2"/>
  <c r="J293" i="2" s="1"/>
  <c r="H294" i="2"/>
  <c r="J294" i="2" s="1"/>
  <c r="H295" i="2"/>
  <c r="J295" i="2" s="1"/>
  <c r="H296" i="2"/>
  <c r="J296" i="2" s="1"/>
  <c r="H297" i="2"/>
  <c r="J297" i="2" s="1"/>
  <c r="H298" i="2"/>
  <c r="J298" i="2" s="1"/>
  <c r="H299" i="2"/>
  <c r="J299" i="2" s="1"/>
  <c r="H300" i="2"/>
  <c r="J300" i="2" s="1"/>
  <c r="H301" i="2"/>
  <c r="J301" i="2" s="1"/>
  <c r="H302" i="2"/>
  <c r="J302" i="2" s="1"/>
  <c r="H303" i="2"/>
  <c r="J303" i="2" s="1"/>
  <c r="H304" i="2"/>
  <c r="J304" i="2" s="1"/>
  <c r="H305" i="2"/>
  <c r="J305" i="2" s="1"/>
  <c r="H306" i="2"/>
  <c r="J306" i="2" s="1"/>
  <c r="H307" i="2"/>
  <c r="J307" i="2" s="1"/>
  <c r="H308" i="2"/>
  <c r="J308" i="2" s="1"/>
  <c r="H309" i="2"/>
  <c r="J309" i="2" s="1"/>
  <c r="H310" i="2"/>
  <c r="J310" i="2" s="1"/>
  <c r="H311" i="2"/>
  <c r="J311" i="2" s="1"/>
  <c r="H312" i="2"/>
  <c r="J312" i="2" s="1"/>
  <c r="H313" i="2"/>
  <c r="J313" i="2" s="1"/>
  <c r="H314" i="2"/>
  <c r="J314" i="2" s="1"/>
  <c r="H315" i="2"/>
  <c r="J315" i="2" s="1"/>
  <c r="H316" i="2"/>
  <c r="J316" i="2" s="1"/>
  <c r="H317" i="2"/>
  <c r="J317" i="2" s="1"/>
  <c r="H318" i="2"/>
  <c r="J318" i="2" s="1"/>
  <c r="H319" i="2"/>
  <c r="J319" i="2" s="1"/>
  <c r="H320" i="2"/>
  <c r="J320" i="2" s="1"/>
  <c r="H321" i="2"/>
  <c r="J321" i="2" s="1"/>
  <c r="H322" i="2"/>
  <c r="J322" i="2" s="1"/>
  <c r="H323" i="2"/>
  <c r="J323" i="2" s="1"/>
  <c r="H324" i="2"/>
  <c r="J324" i="2" s="1"/>
  <c r="H325" i="2"/>
  <c r="J325" i="2" s="1"/>
  <c r="H326" i="2"/>
  <c r="J326" i="2" s="1"/>
  <c r="H327" i="2"/>
  <c r="J327" i="2" s="1"/>
  <c r="H328" i="2"/>
  <c r="J328" i="2" s="1"/>
  <c r="H329" i="2"/>
  <c r="J329" i="2" s="1"/>
  <c r="H330" i="2"/>
  <c r="J330" i="2" s="1"/>
  <c r="H331" i="2"/>
  <c r="J331" i="2" s="1"/>
  <c r="H332" i="2"/>
  <c r="J332" i="2" s="1"/>
  <c r="H333" i="2"/>
  <c r="J333" i="2" s="1"/>
  <c r="H334" i="2"/>
  <c r="J334" i="2" s="1"/>
  <c r="H335" i="2"/>
  <c r="J335" i="2" s="1"/>
  <c r="H336" i="2"/>
  <c r="J336" i="2" s="1"/>
  <c r="H337" i="2"/>
  <c r="J337" i="2" s="1"/>
  <c r="H338" i="2"/>
  <c r="J338" i="2" s="1"/>
  <c r="H339" i="2"/>
  <c r="J339" i="2" s="1"/>
  <c r="H340" i="2"/>
  <c r="J340" i="2" s="1"/>
  <c r="H341" i="2"/>
  <c r="J341" i="2" s="1"/>
  <c r="H342" i="2"/>
  <c r="J342" i="2" s="1"/>
  <c r="H343" i="2"/>
  <c r="J343" i="2" s="1"/>
  <c r="H344" i="2"/>
  <c r="J344" i="2" s="1"/>
  <c r="H345" i="2"/>
  <c r="J345" i="2" s="1"/>
  <c r="H346" i="2"/>
  <c r="J346" i="2" s="1"/>
  <c r="H347" i="2"/>
  <c r="J347" i="2" s="1"/>
  <c r="H348" i="2"/>
  <c r="J348" i="2" s="1"/>
  <c r="H349" i="2"/>
  <c r="J349" i="2" s="1"/>
  <c r="H350" i="2"/>
  <c r="J350" i="2" s="1"/>
  <c r="H351" i="2"/>
  <c r="J351" i="2" s="1"/>
  <c r="H352" i="2"/>
  <c r="J352" i="2" s="1"/>
  <c r="H353" i="2"/>
  <c r="J353" i="2" s="1"/>
  <c r="H354" i="2"/>
  <c r="J354" i="2" s="1"/>
  <c r="H355" i="2"/>
  <c r="J355" i="2" s="1"/>
  <c r="H356" i="2"/>
  <c r="J356" i="2" s="1"/>
  <c r="H357" i="2"/>
  <c r="J357" i="2" s="1"/>
  <c r="H358" i="2"/>
  <c r="J358" i="2" s="1"/>
  <c r="H359" i="2"/>
  <c r="J359" i="2" s="1"/>
  <c r="H360" i="2"/>
  <c r="J360" i="2" s="1"/>
  <c r="H361" i="2"/>
  <c r="J361" i="2" s="1"/>
  <c r="H362" i="2"/>
  <c r="J362" i="2" s="1"/>
  <c r="H363" i="2"/>
  <c r="J363" i="2" s="1"/>
  <c r="H364" i="2"/>
  <c r="J364" i="2" s="1"/>
  <c r="H365" i="2"/>
  <c r="J365" i="2" s="1"/>
  <c r="H366" i="2"/>
  <c r="J366" i="2" s="1"/>
  <c r="H367" i="2"/>
  <c r="J367" i="2" s="1"/>
  <c r="H368" i="2"/>
  <c r="J368" i="2" s="1"/>
  <c r="H369" i="2"/>
  <c r="J369" i="2" s="1"/>
  <c r="H370" i="2"/>
  <c r="J370" i="2" s="1"/>
  <c r="H371" i="2"/>
  <c r="J371" i="2" s="1"/>
  <c r="H372" i="2"/>
  <c r="J372" i="2" s="1"/>
  <c r="H373" i="2"/>
  <c r="J373" i="2" s="1"/>
  <c r="H374" i="2"/>
  <c r="J374" i="2" s="1"/>
  <c r="H375" i="2"/>
  <c r="J375" i="2" s="1"/>
  <c r="H376" i="2"/>
  <c r="J376" i="2" s="1"/>
  <c r="H377" i="2"/>
  <c r="J377" i="2" s="1"/>
  <c r="H378" i="2"/>
  <c r="J378" i="2" s="1"/>
  <c r="H379" i="2"/>
  <c r="J379" i="2" s="1"/>
  <c r="H380" i="2"/>
  <c r="J380" i="2" s="1"/>
  <c r="H381" i="2"/>
  <c r="J381" i="2" s="1"/>
  <c r="H382" i="2"/>
  <c r="J382" i="2" s="1"/>
  <c r="H383" i="2"/>
  <c r="J383" i="2" s="1"/>
  <c r="H384" i="2"/>
  <c r="J384" i="2" s="1"/>
  <c r="H385" i="2"/>
  <c r="J385" i="2" s="1"/>
  <c r="H386" i="2"/>
  <c r="J386" i="2" s="1"/>
  <c r="H387" i="2"/>
  <c r="J387" i="2" s="1"/>
  <c r="H388" i="2"/>
  <c r="J388" i="2" s="1"/>
  <c r="H389" i="2"/>
  <c r="J389" i="2" s="1"/>
  <c r="H390" i="2"/>
  <c r="J390" i="2" s="1"/>
  <c r="H391" i="2"/>
  <c r="J391" i="2" s="1"/>
  <c r="H392" i="2"/>
  <c r="J392" i="2" s="1"/>
  <c r="H393" i="2"/>
  <c r="J393" i="2" s="1"/>
  <c r="H394" i="2"/>
  <c r="J394" i="2" s="1"/>
  <c r="H395" i="2"/>
  <c r="J395" i="2" s="1"/>
  <c r="H396" i="2"/>
  <c r="J396" i="2" s="1"/>
  <c r="H397" i="2"/>
  <c r="J397" i="2" s="1"/>
  <c r="H398" i="2"/>
  <c r="J398" i="2" s="1"/>
  <c r="H399" i="2"/>
  <c r="J399" i="2" s="1"/>
  <c r="H400" i="2"/>
  <c r="J400" i="2" s="1"/>
  <c r="H401" i="2"/>
  <c r="J401" i="2" s="1"/>
  <c r="H402" i="2"/>
  <c r="J402" i="2" s="1"/>
  <c r="H403" i="2"/>
  <c r="J403" i="2" s="1"/>
  <c r="H404" i="2"/>
  <c r="J404" i="2" s="1"/>
  <c r="H405" i="2"/>
  <c r="J405" i="2" s="1"/>
  <c r="H406" i="2"/>
  <c r="J406" i="2" s="1"/>
  <c r="H407" i="2"/>
  <c r="J407" i="2" s="1"/>
  <c r="H408" i="2"/>
  <c r="J408" i="2" s="1"/>
  <c r="H409" i="2"/>
  <c r="J409" i="2" s="1"/>
  <c r="H410" i="2"/>
  <c r="J410" i="2" s="1"/>
  <c r="H411" i="2"/>
  <c r="J411" i="2" s="1"/>
  <c r="H412" i="2"/>
  <c r="J412" i="2" s="1"/>
  <c r="H413" i="2"/>
  <c r="J413" i="2" s="1"/>
  <c r="H414" i="2"/>
  <c r="J414" i="2" s="1"/>
  <c r="H415" i="2"/>
  <c r="J415" i="2" s="1"/>
  <c r="H416" i="2"/>
  <c r="J416" i="2" s="1"/>
  <c r="H417" i="2"/>
  <c r="J417" i="2" s="1"/>
  <c r="H418" i="2"/>
  <c r="J418" i="2" s="1"/>
  <c r="H419" i="2"/>
  <c r="J419" i="2" s="1"/>
  <c r="H420" i="2"/>
  <c r="J420" i="2" s="1"/>
  <c r="H421" i="2"/>
  <c r="J421" i="2" s="1"/>
  <c r="H422" i="2"/>
  <c r="J422" i="2" s="1"/>
  <c r="H423" i="2"/>
  <c r="J423" i="2" s="1"/>
  <c r="H424" i="2"/>
  <c r="J424" i="2" s="1"/>
  <c r="H425" i="2"/>
  <c r="J425" i="2" s="1"/>
  <c r="H426" i="2"/>
  <c r="J426" i="2" s="1"/>
  <c r="H427" i="2"/>
  <c r="J427" i="2" s="1"/>
  <c r="H428" i="2"/>
  <c r="J428" i="2" s="1"/>
  <c r="H429" i="2"/>
  <c r="J429" i="2" s="1"/>
  <c r="H430" i="2"/>
  <c r="J430" i="2" s="1"/>
  <c r="H431" i="2"/>
  <c r="J431" i="2" s="1"/>
  <c r="H432" i="2"/>
  <c r="J432" i="2" s="1"/>
  <c r="H433" i="2"/>
  <c r="J433" i="2" s="1"/>
  <c r="H434" i="2"/>
  <c r="J434" i="2" s="1"/>
  <c r="H435" i="2"/>
  <c r="J435" i="2" s="1"/>
  <c r="H436" i="2"/>
  <c r="J436" i="2" s="1"/>
  <c r="H437" i="2"/>
  <c r="J437" i="2" s="1"/>
  <c r="H438" i="2"/>
  <c r="J438" i="2" s="1"/>
  <c r="H439" i="2"/>
  <c r="J439" i="2" s="1"/>
  <c r="H440" i="2"/>
  <c r="J440" i="2" s="1"/>
  <c r="H441" i="2"/>
  <c r="J441" i="2" s="1"/>
  <c r="H442" i="2"/>
  <c r="J442" i="2" s="1"/>
  <c r="H443" i="2"/>
  <c r="J443" i="2" s="1"/>
  <c r="H444" i="2"/>
  <c r="J444" i="2" s="1"/>
  <c r="H445" i="2"/>
  <c r="J445" i="2" s="1"/>
  <c r="H446" i="2"/>
  <c r="J446" i="2" s="1"/>
  <c r="H447" i="2"/>
  <c r="J447" i="2" s="1"/>
  <c r="H448" i="2"/>
  <c r="J448" i="2" s="1"/>
  <c r="H449" i="2"/>
  <c r="J449" i="2" s="1"/>
  <c r="H450" i="2"/>
  <c r="J450" i="2" s="1"/>
  <c r="H451" i="2"/>
  <c r="J451" i="2" s="1"/>
  <c r="H452" i="2"/>
  <c r="J452" i="2" s="1"/>
  <c r="H453" i="2"/>
  <c r="J453" i="2" s="1"/>
  <c r="H454" i="2"/>
  <c r="J454" i="2" s="1"/>
  <c r="H455" i="2"/>
  <c r="J455" i="2" s="1"/>
  <c r="H456" i="2"/>
  <c r="J456" i="2" s="1"/>
  <c r="H457" i="2"/>
  <c r="J457" i="2" s="1"/>
  <c r="H458" i="2"/>
  <c r="J458" i="2" s="1"/>
  <c r="H459" i="2"/>
  <c r="J459" i="2" s="1"/>
  <c r="H460" i="2"/>
  <c r="J460" i="2" s="1"/>
  <c r="H461" i="2"/>
  <c r="J461" i="2" s="1"/>
  <c r="H462" i="2"/>
  <c r="J462" i="2" s="1"/>
  <c r="H463" i="2"/>
  <c r="J463" i="2" s="1"/>
  <c r="H464" i="2"/>
  <c r="J464" i="2" s="1"/>
  <c r="H465" i="2"/>
  <c r="J465" i="2" s="1"/>
  <c r="H466" i="2"/>
  <c r="J466" i="2" s="1"/>
  <c r="H467" i="2"/>
  <c r="J467" i="2" s="1"/>
  <c r="H468" i="2"/>
  <c r="J468" i="2" s="1"/>
  <c r="H469" i="2"/>
  <c r="J469" i="2" s="1"/>
  <c r="H470" i="2"/>
  <c r="J470" i="2" s="1"/>
  <c r="H471" i="2"/>
  <c r="J471" i="2" s="1"/>
  <c r="H472" i="2"/>
  <c r="J472" i="2" s="1"/>
  <c r="H473" i="2"/>
  <c r="J473" i="2" s="1"/>
  <c r="H474" i="2"/>
  <c r="J474" i="2" s="1"/>
  <c r="H475" i="2"/>
  <c r="J475" i="2" s="1"/>
  <c r="H476" i="2"/>
  <c r="J476" i="2" s="1"/>
  <c r="H477" i="2"/>
  <c r="J477" i="2" s="1"/>
  <c r="H478" i="2"/>
  <c r="J478" i="2" s="1"/>
  <c r="H479" i="2"/>
  <c r="J479" i="2" s="1"/>
  <c r="H480" i="2"/>
  <c r="J480" i="2" s="1"/>
  <c r="H481" i="2"/>
  <c r="J481" i="2" s="1"/>
  <c r="H482" i="2"/>
  <c r="J482" i="2" s="1"/>
  <c r="H483" i="2"/>
  <c r="J483" i="2" s="1"/>
  <c r="H484" i="2"/>
  <c r="J484" i="2" s="1"/>
  <c r="H485" i="2"/>
  <c r="J485" i="2" s="1"/>
  <c r="H486" i="2"/>
  <c r="J486" i="2" s="1"/>
  <c r="H487" i="2"/>
  <c r="J487" i="2" s="1"/>
  <c r="H488" i="2"/>
  <c r="J488" i="2" s="1"/>
  <c r="H489" i="2"/>
  <c r="J489" i="2" s="1"/>
  <c r="H490" i="2"/>
  <c r="J490" i="2" s="1"/>
  <c r="H491" i="2"/>
  <c r="J491" i="2" s="1"/>
  <c r="H492" i="2"/>
  <c r="J492" i="2" s="1"/>
  <c r="H493" i="2"/>
  <c r="J493" i="2" s="1"/>
  <c r="H494" i="2"/>
  <c r="J494" i="2" s="1"/>
  <c r="H495" i="2"/>
  <c r="J495" i="2" s="1"/>
  <c r="H496" i="2"/>
  <c r="J496" i="2" s="1"/>
  <c r="H497" i="2"/>
  <c r="J497" i="2" s="1"/>
  <c r="H498" i="2"/>
  <c r="J498" i="2" s="1"/>
  <c r="H499" i="2"/>
  <c r="J499" i="2" s="1"/>
  <c r="H500" i="2"/>
  <c r="J500" i="2" s="1"/>
  <c r="H501" i="2"/>
  <c r="J501" i="2" s="1"/>
  <c r="H502" i="2"/>
  <c r="J502" i="2" s="1"/>
  <c r="H503" i="2"/>
  <c r="J503" i="2" s="1"/>
  <c r="H504" i="2"/>
  <c r="J504" i="2" s="1"/>
  <c r="H505" i="2"/>
  <c r="J505" i="2" s="1"/>
  <c r="H506" i="2"/>
  <c r="J506" i="2" s="1"/>
  <c r="H507" i="2"/>
  <c r="J507" i="2" s="1"/>
  <c r="H508" i="2"/>
  <c r="J508" i="2" s="1"/>
  <c r="H509" i="2"/>
  <c r="J509" i="2" s="1"/>
  <c r="H510" i="2"/>
  <c r="J510" i="2" s="1"/>
  <c r="H511" i="2"/>
  <c r="J511" i="2" s="1"/>
  <c r="H512" i="2"/>
  <c r="J512" i="2" s="1"/>
  <c r="H513" i="2"/>
  <c r="J513" i="2" s="1"/>
  <c r="H514" i="2"/>
  <c r="J514" i="2" s="1"/>
  <c r="H515" i="2"/>
  <c r="J515" i="2" s="1"/>
  <c r="H516" i="2"/>
  <c r="J516" i="2" s="1"/>
  <c r="H517" i="2"/>
  <c r="J517" i="2" s="1"/>
  <c r="H518" i="2"/>
  <c r="J518" i="2" s="1"/>
  <c r="H519" i="2"/>
  <c r="J519" i="2" s="1"/>
  <c r="H520" i="2"/>
  <c r="J520" i="2" s="1"/>
  <c r="H521" i="2"/>
  <c r="J521" i="2" s="1"/>
  <c r="H522" i="2"/>
  <c r="J522" i="2" s="1"/>
  <c r="H523" i="2"/>
  <c r="J523" i="2" s="1"/>
  <c r="H524" i="2"/>
  <c r="J524" i="2" s="1"/>
  <c r="H525" i="2"/>
  <c r="J525" i="2" s="1"/>
  <c r="H526" i="2"/>
  <c r="J526" i="2" s="1"/>
  <c r="H527" i="2"/>
  <c r="J527" i="2" s="1"/>
  <c r="H528" i="2"/>
  <c r="J528" i="2" s="1"/>
  <c r="H529" i="2"/>
  <c r="J529" i="2" s="1"/>
  <c r="H530" i="2"/>
  <c r="J530" i="2" s="1"/>
  <c r="H531" i="2"/>
  <c r="J531" i="2" s="1"/>
  <c r="H532" i="2"/>
  <c r="J532" i="2" s="1"/>
  <c r="H533" i="2"/>
  <c r="J533" i="2" s="1"/>
  <c r="H534" i="2"/>
  <c r="J534" i="2" s="1"/>
  <c r="H535" i="2"/>
  <c r="J535" i="2" s="1"/>
  <c r="H536" i="2"/>
  <c r="J536" i="2" s="1"/>
  <c r="H537" i="2"/>
  <c r="J537" i="2" s="1"/>
  <c r="H538" i="2"/>
  <c r="J538" i="2" s="1"/>
  <c r="H539" i="2"/>
  <c r="J539" i="2" s="1"/>
  <c r="H540" i="2"/>
  <c r="J540" i="2" s="1"/>
  <c r="H541" i="2"/>
  <c r="J541" i="2" s="1"/>
  <c r="H542" i="2"/>
  <c r="J542" i="2" s="1"/>
  <c r="H543" i="2"/>
  <c r="J543" i="2" s="1"/>
  <c r="H544" i="2"/>
  <c r="J544" i="2" s="1"/>
  <c r="H545" i="2"/>
  <c r="J545" i="2" s="1"/>
  <c r="H546" i="2"/>
  <c r="J546" i="2" s="1"/>
  <c r="H547" i="2"/>
  <c r="J547" i="2" s="1"/>
  <c r="H548" i="2"/>
  <c r="J548" i="2" s="1"/>
  <c r="H549" i="2"/>
  <c r="J549" i="2" s="1"/>
  <c r="H550" i="2"/>
  <c r="J550" i="2" s="1"/>
  <c r="H551" i="2"/>
  <c r="J551" i="2" s="1"/>
  <c r="H552" i="2"/>
  <c r="J552" i="2" s="1"/>
  <c r="H553" i="2"/>
  <c r="J553" i="2" s="1"/>
  <c r="H554" i="2"/>
  <c r="J554" i="2" s="1"/>
  <c r="H555" i="2"/>
  <c r="J555" i="2" s="1"/>
  <c r="H556" i="2"/>
  <c r="J556" i="2" s="1"/>
  <c r="H557" i="2"/>
  <c r="J557" i="2" s="1"/>
  <c r="H558" i="2"/>
  <c r="J558" i="2" s="1"/>
  <c r="H559" i="2"/>
  <c r="J559" i="2" s="1"/>
  <c r="H560" i="2"/>
  <c r="J560" i="2" s="1"/>
  <c r="H561" i="2"/>
  <c r="J561" i="2" s="1"/>
  <c r="H562" i="2"/>
  <c r="J562" i="2" s="1"/>
  <c r="H563" i="2"/>
  <c r="J563" i="2" s="1"/>
  <c r="H564" i="2"/>
  <c r="J564" i="2" s="1"/>
  <c r="H565" i="2"/>
  <c r="J565" i="2" s="1"/>
  <c r="H566" i="2"/>
  <c r="J566" i="2" s="1"/>
  <c r="H567" i="2"/>
  <c r="J567" i="2" s="1"/>
  <c r="H568" i="2"/>
  <c r="J568" i="2" s="1"/>
  <c r="H569" i="2"/>
  <c r="J569" i="2" s="1"/>
  <c r="H570" i="2"/>
  <c r="J570" i="2" s="1"/>
  <c r="H571" i="2"/>
  <c r="J571" i="2" s="1"/>
  <c r="H572" i="2"/>
  <c r="J572" i="2" s="1"/>
  <c r="H573" i="2"/>
  <c r="J573" i="2" s="1"/>
  <c r="H574" i="2"/>
  <c r="J574" i="2" s="1"/>
  <c r="H575" i="2"/>
  <c r="J575" i="2" s="1"/>
  <c r="H576" i="2"/>
  <c r="J576" i="2" s="1"/>
  <c r="H577" i="2"/>
  <c r="J577" i="2" s="1"/>
  <c r="H578" i="2"/>
  <c r="J578" i="2" s="1"/>
  <c r="H579" i="2"/>
  <c r="J579" i="2" s="1"/>
  <c r="H580" i="2"/>
  <c r="J580" i="2" s="1"/>
  <c r="H581" i="2"/>
  <c r="J581" i="2" s="1"/>
  <c r="H582" i="2"/>
  <c r="J582" i="2" s="1"/>
  <c r="H583" i="2"/>
  <c r="J583" i="2" s="1"/>
  <c r="H584" i="2"/>
  <c r="J584" i="2" s="1"/>
  <c r="H585" i="2"/>
  <c r="J585" i="2" s="1"/>
  <c r="H586" i="2"/>
  <c r="J586" i="2" s="1"/>
  <c r="H587" i="2"/>
  <c r="J587" i="2" s="1"/>
  <c r="H588" i="2"/>
  <c r="J588" i="2" s="1"/>
  <c r="H589" i="2"/>
  <c r="J589" i="2" s="1"/>
  <c r="H590" i="2"/>
  <c r="J590" i="2" s="1"/>
  <c r="H591" i="2"/>
  <c r="J591" i="2" s="1"/>
  <c r="H592" i="2"/>
  <c r="J592" i="2" s="1"/>
  <c r="H593" i="2"/>
  <c r="J593" i="2" s="1"/>
  <c r="H594" i="2"/>
  <c r="J594" i="2" s="1"/>
  <c r="H595" i="2"/>
  <c r="J595" i="2" s="1"/>
  <c r="H596" i="2"/>
  <c r="J596" i="2" s="1"/>
  <c r="H597" i="2"/>
  <c r="J597" i="2" s="1"/>
  <c r="H598" i="2"/>
  <c r="J598" i="2" s="1"/>
  <c r="H599" i="2"/>
  <c r="J599" i="2" s="1"/>
  <c r="H600" i="2"/>
  <c r="J600" i="2" s="1"/>
  <c r="H601" i="2"/>
  <c r="J601" i="2" s="1"/>
  <c r="H602" i="2"/>
  <c r="J602" i="2" s="1"/>
  <c r="H603" i="2"/>
  <c r="J603" i="2" s="1"/>
  <c r="H604" i="2"/>
  <c r="J604" i="2" s="1"/>
  <c r="H605" i="2"/>
  <c r="J605" i="2" s="1"/>
  <c r="H606" i="2"/>
  <c r="J606" i="2" s="1"/>
  <c r="H607" i="2"/>
  <c r="J607" i="2" s="1"/>
  <c r="H608" i="2"/>
  <c r="J608" i="2" s="1"/>
  <c r="H609" i="2"/>
  <c r="J609" i="2" s="1"/>
  <c r="H610" i="2"/>
  <c r="J610" i="2" s="1"/>
  <c r="H611" i="2"/>
  <c r="J611" i="2" s="1"/>
  <c r="H612" i="2"/>
  <c r="J612" i="2" s="1"/>
  <c r="H613" i="2"/>
  <c r="J613" i="2" s="1"/>
  <c r="H614" i="2"/>
  <c r="J614" i="2" s="1"/>
  <c r="H615" i="2"/>
  <c r="J615" i="2" s="1"/>
  <c r="H616" i="2"/>
  <c r="J616" i="2" s="1"/>
  <c r="H617" i="2"/>
  <c r="J617" i="2" s="1"/>
  <c r="H618" i="2"/>
  <c r="J618" i="2" s="1"/>
  <c r="H619" i="2"/>
  <c r="J619" i="2" s="1"/>
  <c r="H620" i="2"/>
  <c r="J620" i="2" s="1"/>
  <c r="H621" i="2"/>
  <c r="J621" i="2" s="1"/>
  <c r="H622" i="2"/>
  <c r="J622" i="2" s="1"/>
  <c r="H623" i="2"/>
  <c r="J623" i="2" s="1"/>
  <c r="H624" i="2"/>
  <c r="J624" i="2" s="1"/>
  <c r="H625" i="2"/>
  <c r="J625" i="2" s="1"/>
  <c r="H626" i="2"/>
  <c r="J626" i="2" s="1"/>
  <c r="H627" i="2"/>
  <c r="J627" i="2" s="1"/>
  <c r="H628" i="2"/>
  <c r="J628" i="2" s="1"/>
  <c r="H629" i="2"/>
  <c r="J629" i="2" s="1"/>
  <c r="H630" i="2"/>
  <c r="J630" i="2" s="1"/>
  <c r="H631" i="2"/>
  <c r="J631" i="2" s="1"/>
  <c r="H632" i="2"/>
  <c r="J632" i="2" s="1"/>
  <c r="H633" i="2"/>
  <c r="J633" i="2" s="1"/>
  <c r="H634" i="2"/>
  <c r="J634" i="2" s="1"/>
  <c r="H635" i="2"/>
  <c r="J635" i="2" s="1"/>
  <c r="H636" i="2"/>
  <c r="J636" i="2" s="1"/>
  <c r="H637" i="2"/>
  <c r="J637" i="2" s="1"/>
  <c r="H638" i="2"/>
  <c r="J638" i="2" s="1"/>
  <c r="H639" i="2"/>
  <c r="J639" i="2" s="1"/>
  <c r="H640" i="2"/>
  <c r="J640" i="2" s="1"/>
  <c r="H641" i="2"/>
  <c r="J641" i="2" s="1"/>
  <c r="H642" i="2"/>
  <c r="J642" i="2" s="1"/>
  <c r="H643" i="2"/>
  <c r="J643" i="2" s="1"/>
  <c r="H644" i="2"/>
  <c r="J644" i="2" s="1"/>
  <c r="H645" i="2"/>
  <c r="J645" i="2" s="1"/>
  <c r="H646" i="2"/>
  <c r="J646" i="2" s="1"/>
  <c r="H647" i="2"/>
  <c r="J647" i="2" s="1"/>
  <c r="H648" i="2"/>
  <c r="J648" i="2" s="1"/>
  <c r="H649" i="2"/>
  <c r="J649" i="2" s="1"/>
  <c r="H650" i="2"/>
  <c r="J650" i="2" s="1"/>
  <c r="H651" i="2"/>
  <c r="J651" i="2" s="1"/>
  <c r="H652" i="2"/>
  <c r="J652" i="2" s="1"/>
  <c r="H653" i="2"/>
  <c r="J653" i="2" s="1"/>
  <c r="H654" i="2"/>
  <c r="J654" i="2" s="1"/>
  <c r="H655" i="2"/>
  <c r="J655" i="2" s="1"/>
  <c r="H656" i="2"/>
  <c r="J656" i="2" s="1"/>
  <c r="H657" i="2"/>
  <c r="J657" i="2" s="1"/>
  <c r="H658" i="2"/>
  <c r="J658" i="2" s="1"/>
  <c r="H659" i="2"/>
  <c r="J659" i="2" s="1"/>
  <c r="H660" i="2"/>
  <c r="J660" i="2" s="1"/>
  <c r="H661" i="2"/>
  <c r="J661" i="2" s="1"/>
  <c r="H662" i="2"/>
  <c r="J662" i="2" s="1"/>
  <c r="H663" i="2"/>
  <c r="J663" i="2" s="1"/>
  <c r="H664" i="2"/>
  <c r="J664" i="2" s="1"/>
  <c r="H665" i="2"/>
  <c r="J665" i="2" s="1"/>
  <c r="H666" i="2"/>
  <c r="J666" i="2" s="1"/>
  <c r="H667" i="2"/>
  <c r="J667" i="2" s="1"/>
  <c r="H668" i="2"/>
  <c r="J668" i="2" s="1"/>
  <c r="H669" i="2"/>
  <c r="J669" i="2" s="1"/>
  <c r="H670" i="2"/>
  <c r="J670" i="2" s="1"/>
  <c r="H671" i="2"/>
  <c r="J671" i="2" s="1"/>
  <c r="H672" i="2"/>
  <c r="J672" i="2" s="1"/>
  <c r="H673" i="2"/>
  <c r="J673" i="2" s="1"/>
  <c r="H674" i="2"/>
  <c r="J674" i="2" s="1"/>
  <c r="H675" i="2"/>
  <c r="J675" i="2" s="1"/>
  <c r="H676" i="2"/>
  <c r="J676" i="2" s="1"/>
  <c r="H677" i="2"/>
  <c r="J677" i="2" s="1"/>
  <c r="H678" i="2"/>
  <c r="J678" i="2" s="1"/>
  <c r="H679" i="2"/>
  <c r="J679" i="2" s="1"/>
  <c r="H680" i="2"/>
  <c r="J680" i="2" s="1"/>
  <c r="H681" i="2"/>
  <c r="J681" i="2" s="1"/>
  <c r="H682" i="2"/>
  <c r="J682" i="2" s="1"/>
  <c r="H683" i="2"/>
  <c r="J683" i="2" s="1"/>
  <c r="H684" i="2"/>
  <c r="J684" i="2" s="1"/>
  <c r="H685" i="2"/>
  <c r="J685" i="2" s="1"/>
  <c r="H686" i="2"/>
  <c r="J686" i="2" s="1"/>
  <c r="H687" i="2"/>
  <c r="J687" i="2" s="1"/>
  <c r="H688" i="2"/>
  <c r="J688" i="2" s="1"/>
  <c r="H689" i="2"/>
  <c r="J689" i="2" s="1"/>
  <c r="H690" i="2"/>
  <c r="J690" i="2" s="1"/>
  <c r="H691" i="2"/>
  <c r="J691" i="2" s="1"/>
  <c r="H692" i="2"/>
  <c r="J692" i="2" s="1"/>
  <c r="H693" i="2"/>
  <c r="J693" i="2" s="1"/>
  <c r="H694" i="2"/>
  <c r="J694" i="2" s="1"/>
  <c r="H695" i="2"/>
  <c r="J695" i="2" s="1"/>
  <c r="H696" i="2"/>
  <c r="J696" i="2" s="1"/>
  <c r="H697" i="2"/>
  <c r="J697" i="2" s="1"/>
  <c r="H698" i="2"/>
  <c r="J698" i="2" s="1"/>
  <c r="H699" i="2"/>
  <c r="J699" i="2" s="1"/>
  <c r="H700" i="2"/>
  <c r="J700" i="2" s="1"/>
  <c r="H701" i="2"/>
  <c r="J701" i="2" s="1"/>
  <c r="H702" i="2"/>
  <c r="J702" i="2" s="1"/>
  <c r="H703" i="2"/>
  <c r="J703" i="2" s="1"/>
  <c r="H704" i="2"/>
  <c r="J704" i="2" s="1"/>
  <c r="H705" i="2"/>
  <c r="J705" i="2" s="1"/>
  <c r="H706" i="2"/>
  <c r="J706" i="2" s="1"/>
  <c r="H707" i="2"/>
  <c r="J707" i="2" s="1"/>
  <c r="H708" i="2"/>
  <c r="J708" i="2" s="1"/>
  <c r="H709" i="2"/>
  <c r="J709" i="2" s="1"/>
  <c r="H710" i="2"/>
  <c r="J710" i="2" s="1"/>
  <c r="H711" i="2"/>
  <c r="J711" i="2" s="1"/>
  <c r="H712" i="2"/>
  <c r="J712" i="2" s="1"/>
  <c r="H713" i="2"/>
  <c r="J713" i="2" s="1"/>
  <c r="H714" i="2"/>
  <c r="J714" i="2" s="1"/>
  <c r="H715" i="2"/>
  <c r="J715" i="2" s="1"/>
  <c r="H716" i="2"/>
  <c r="J716" i="2" s="1"/>
  <c r="H717" i="2"/>
  <c r="J717" i="2" s="1"/>
  <c r="H718" i="2"/>
  <c r="J718" i="2" s="1"/>
  <c r="H719" i="2"/>
  <c r="J719" i="2" s="1"/>
  <c r="H720" i="2"/>
  <c r="J720" i="2" s="1"/>
  <c r="H721" i="2"/>
  <c r="J721" i="2" s="1"/>
  <c r="H722" i="2"/>
  <c r="J722" i="2" s="1"/>
  <c r="H723" i="2"/>
  <c r="J723" i="2" s="1"/>
  <c r="H724" i="2"/>
  <c r="J724" i="2" s="1"/>
  <c r="H725" i="2"/>
  <c r="J725" i="2" s="1"/>
  <c r="H726" i="2"/>
  <c r="J726" i="2" s="1"/>
  <c r="H727" i="2"/>
  <c r="J727" i="2" s="1"/>
  <c r="H728" i="2"/>
  <c r="J728" i="2" s="1"/>
  <c r="H729" i="2"/>
  <c r="J729" i="2" s="1"/>
  <c r="H730" i="2"/>
  <c r="J730" i="2" s="1"/>
  <c r="H731" i="2"/>
  <c r="J731" i="2" s="1"/>
  <c r="H732" i="2"/>
  <c r="J732" i="2" s="1"/>
  <c r="H733" i="2"/>
  <c r="J733" i="2" s="1"/>
  <c r="H734" i="2"/>
  <c r="J734" i="2" s="1"/>
  <c r="H735" i="2"/>
  <c r="J735" i="2" s="1"/>
  <c r="H736" i="2"/>
  <c r="J736" i="2" s="1"/>
  <c r="H737" i="2"/>
  <c r="J737" i="2" s="1"/>
  <c r="H738" i="2"/>
  <c r="J738" i="2" s="1"/>
  <c r="H739" i="2"/>
  <c r="J739" i="2" s="1"/>
  <c r="H740" i="2"/>
  <c r="J740" i="2" s="1"/>
  <c r="H741" i="2"/>
  <c r="J741" i="2" s="1"/>
  <c r="H742" i="2"/>
  <c r="J742" i="2" s="1"/>
  <c r="H743" i="2"/>
  <c r="J743" i="2" s="1"/>
  <c r="H744" i="2"/>
  <c r="J744" i="2" s="1"/>
  <c r="H745" i="2"/>
  <c r="J745" i="2" s="1"/>
  <c r="H746" i="2"/>
  <c r="J746" i="2" s="1"/>
  <c r="H747" i="2"/>
  <c r="J747" i="2" s="1"/>
  <c r="H748" i="2"/>
  <c r="J748" i="2" s="1"/>
  <c r="H749" i="2"/>
  <c r="J749" i="2" s="1"/>
  <c r="H750" i="2"/>
  <c r="J750" i="2" s="1"/>
  <c r="H751" i="2"/>
  <c r="J751" i="2" s="1"/>
  <c r="H752" i="2"/>
  <c r="J752" i="2" s="1"/>
  <c r="H753" i="2"/>
  <c r="J753" i="2" s="1"/>
  <c r="H754" i="2"/>
  <c r="J754" i="2" s="1"/>
  <c r="H755" i="2"/>
  <c r="J755" i="2" s="1"/>
  <c r="H756" i="2"/>
  <c r="J756" i="2" s="1"/>
  <c r="H757" i="2"/>
  <c r="J757" i="2" s="1"/>
  <c r="H758" i="2"/>
  <c r="J758" i="2" s="1"/>
  <c r="H759" i="2"/>
  <c r="J759" i="2" s="1"/>
  <c r="H760" i="2"/>
  <c r="J760" i="2" s="1"/>
  <c r="H761" i="2"/>
  <c r="J761" i="2" s="1"/>
  <c r="H762" i="2"/>
  <c r="J762" i="2" s="1"/>
  <c r="H763" i="2"/>
  <c r="J763" i="2" s="1"/>
  <c r="H764" i="2"/>
  <c r="J764" i="2" s="1"/>
  <c r="H765" i="2"/>
  <c r="J765" i="2" s="1"/>
  <c r="H766" i="2"/>
  <c r="J766" i="2" s="1"/>
  <c r="H767" i="2"/>
  <c r="J767" i="2" s="1"/>
  <c r="H768" i="2"/>
  <c r="J768" i="2" s="1"/>
  <c r="H769" i="2"/>
  <c r="J769" i="2" s="1"/>
  <c r="H770" i="2"/>
  <c r="J770" i="2" s="1"/>
  <c r="H771" i="2"/>
  <c r="J771" i="2" s="1"/>
  <c r="H772" i="2"/>
  <c r="J772" i="2" s="1"/>
  <c r="H773" i="2"/>
  <c r="J773" i="2" s="1"/>
  <c r="H774" i="2"/>
  <c r="J774" i="2" s="1"/>
  <c r="H775" i="2"/>
  <c r="J775" i="2" s="1"/>
  <c r="H776" i="2"/>
  <c r="J776" i="2" s="1"/>
  <c r="H777" i="2"/>
  <c r="J777" i="2" s="1"/>
  <c r="H778" i="2"/>
  <c r="J778" i="2" s="1"/>
  <c r="H779" i="2"/>
  <c r="J779" i="2" s="1"/>
  <c r="H780" i="2"/>
  <c r="J780" i="2" s="1"/>
  <c r="H781" i="2"/>
  <c r="J781" i="2" s="1"/>
  <c r="H782" i="2"/>
  <c r="J782" i="2" s="1"/>
  <c r="H783" i="2"/>
  <c r="J783" i="2" s="1"/>
  <c r="H784" i="2"/>
  <c r="J784" i="2" s="1"/>
  <c r="H785" i="2"/>
  <c r="J785" i="2" s="1"/>
  <c r="H786" i="2"/>
  <c r="J786" i="2" s="1"/>
  <c r="H787" i="2"/>
  <c r="J787" i="2" s="1"/>
  <c r="H788" i="2"/>
  <c r="J788" i="2" s="1"/>
  <c r="H789" i="2"/>
  <c r="J789" i="2" s="1"/>
  <c r="H790" i="2"/>
  <c r="J790" i="2" s="1"/>
  <c r="H791" i="2"/>
  <c r="J791" i="2" s="1"/>
  <c r="H792" i="2"/>
  <c r="J792" i="2" s="1"/>
  <c r="H793" i="2"/>
  <c r="J793" i="2" s="1"/>
  <c r="H794" i="2"/>
  <c r="J794" i="2" s="1"/>
  <c r="H795" i="2"/>
  <c r="J795" i="2" s="1"/>
  <c r="H796" i="2"/>
  <c r="J796" i="2" s="1"/>
  <c r="H797" i="2"/>
  <c r="J797" i="2" s="1"/>
  <c r="H798" i="2"/>
  <c r="J798" i="2" s="1"/>
  <c r="H799" i="2"/>
  <c r="J799" i="2" s="1"/>
  <c r="H800" i="2"/>
  <c r="J800" i="2" s="1"/>
  <c r="H801" i="2"/>
  <c r="J801" i="2" s="1"/>
  <c r="H802" i="2"/>
  <c r="J802" i="2" s="1"/>
  <c r="H803" i="2"/>
  <c r="J803" i="2" s="1"/>
  <c r="H804" i="2"/>
  <c r="J804" i="2" s="1"/>
  <c r="H805" i="2"/>
  <c r="J805" i="2" s="1"/>
  <c r="H806" i="2"/>
  <c r="J806" i="2" s="1"/>
  <c r="H807" i="2"/>
  <c r="J807" i="2" s="1"/>
  <c r="H808" i="2"/>
  <c r="J808" i="2" s="1"/>
  <c r="H809" i="2"/>
  <c r="J809" i="2" s="1"/>
  <c r="H810" i="2"/>
  <c r="J810" i="2" s="1"/>
  <c r="H811" i="2"/>
  <c r="J811" i="2" s="1"/>
  <c r="H812" i="2"/>
  <c r="J812" i="2" s="1"/>
  <c r="H813" i="2"/>
  <c r="J813" i="2" s="1"/>
  <c r="H814" i="2"/>
  <c r="J814" i="2" s="1"/>
  <c r="H815" i="2"/>
  <c r="J815" i="2" s="1"/>
  <c r="H816" i="2"/>
  <c r="J816" i="2" s="1"/>
  <c r="H817" i="2"/>
  <c r="J817" i="2" s="1"/>
  <c r="H818" i="2"/>
  <c r="J818" i="2" s="1"/>
  <c r="H819" i="2"/>
  <c r="J819" i="2" s="1"/>
  <c r="H820" i="2"/>
  <c r="J820" i="2" s="1"/>
  <c r="H821" i="2"/>
  <c r="J821" i="2" s="1"/>
  <c r="H822" i="2"/>
  <c r="J822" i="2" s="1"/>
  <c r="H823" i="2"/>
  <c r="J823" i="2" s="1"/>
  <c r="H824" i="2"/>
  <c r="J824" i="2" s="1"/>
  <c r="H825" i="2"/>
  <c r="J825" i="2" s="1"/>
  <c r="H826" i="2"/>
  <c r="J826" i="2" s="1"/>
  <c r="H827" i="2"/>
  <c r="J827" i="2" s="1"/>
  <c r="H828" i="2"/>
  <c r="J828" i="2" s="1"/>
  <c r="H829" i="2"/>
  <c r="J829" i="2" s="1"/>
  <c r="H830" i="2"/>
  <c r="J830" i="2" s="1"/>
  <c r="H831" i="2"/>
  <c r="J831" i="2" s="1"/>
  <c r="H832" i="2"/>
  <c r="J832" i="2" s="1"/>
  <c r="H833" i="2"/>
  <c r="J833" i="2" s="1"/>
  <c r="H834" i="2"/>
  <c r="J834" i="2" s="1"/>
  <c r="H835" i="2"/>
  <c r="J835" i="2" s="1"/>
  <c r="H836" i="2"/>
  <c r="J836" i="2" s="1"/>
  <c r="H837" i="2"/>
  <c r="J837" i="2" s="1"/>
  <c r="H838" i="2"/>
  <c r="J838" i="2" s="1"/>
  <c r="H839" i="2"/>
  <c r="J839" i="2" s="1"/>
  <c r="H840" i="2"/>
  <c r="J840" i="2" s="1"/>
  <c r="H841" i="2"/>
  <c r="J841" i="2" s="1"/>
  <c r="H842" i="2"/>
  <c r="J842" i="2" s="1"/>
  <c r="H843" i="2"/>
  <c r="J843" i="2" s="1"/>
  <c r="H844" i="2"/>
  <c r="J844" i="2" s="1"/>
  <c r="H845" i="2"/>
  <c r="J845" i="2" s="1"/>
  <c r="H846" i="2"/>
  <c r="J846" i="2" s="1"/>
  <c r="H847" i="2"/>
  <c r="J847" i="2" s="1"/>
  <c r="H848" i="2"/>
  <c r="J848" i="2" s="1"/>
  <c r="H849" i="2"/>
  <c r="J849" i="2" s="1"/>
  <c r="H850" i="2"/>
  <c r="J850" i="2" s="1"/>
  <c r="H851" i="2"/>
  <c r="J851" i="2" s="1"/>
  <c r="H852" i="2"/>
  <c r="J852" i="2" s="1"/>
  <c r="H853" i="2"/>
  <c r="J853" i="2" s="1"/>
  <c r="H854" i="2"/>
  <c r="J854" i="2" s="1"/>
  <c r="H855" i="2"/>
  <c r="J855" i="2" s="1"/>
  <c r="H856" i="2"/>
  <c r="J856" i="2" s="1"/>
  <c r="H857" i="2"/>
  <c r="J857" i="2" s="1"/>
  <c r="H858" i="2"/>
  <c r="J858" i="2" s="1"/>
  <c r="H859" i="2"/>
  <c r="J859" i="2" s="1"/>
  <c r="H860" i="2"/>
  <c r="J860" i="2" s="1"/>
  <c r="H861" i="2"/>
  <c r="J861" i="2" s="1"/>
  <c r="H862" i="2"/>
  <c r="J862" i="2" s="1"/>
  <c r="H863" i="2"/>
  <c r="J863" i="2" s="1"/>
  <c r="H864" i="2"/>
  <c r="J864" i="2" s="1"/>
  <c r="H865" i="2"/>
  <c r="J865" i="2" s="1"/>
  <c r="H866" i="2"/>
  <c r="J866" i="2" s="1"/>
  <c r="H867" i="2"/>
  <c r="J867" i="2" s="1"/>
  <c r="H868" i="2"/>
  <c r="J868" i="2" s="1"/>
  <c r="H869" i="2"/>
  <c r="J869" i="2" s="1"/>
  <c r="H870" i="2"/>
  <c r="J870" i="2" s="1"/>
  <c r="H871" i="2"/>
  <c r="J871" i="2" s="1"/>
  <c r="H872" i="2"/>
  <c r="J872" i="2" s="1"/>
  <c r="H873" i="2"/>
  <c r="J873" i="2" s="1"/>
  <c r="H874" i="2"/>
  <c r="J874" i="2" s="1"/>
  <c r="H875" i="2"/>
  <c r="J875" i="2" s="1"/>
  <c r="H876" i="2"/>
  <c r="J876" i="2" s="1"/>
  <c r="H877" i="2"/>
  <c r="J877" i="2" s="1"/>
  <c r="H878" i="2"/>
  <c r="J878" i="2" s="1"/>
  <c r="H879" i="2"/>
  <c r="J879" i="2" s="1"/>
  <c r="H880" i="2"/>
  <c r="J880" i="2" s="1"/>
  <c r="H881" i="2"/>
  <c r="J881" i="2" s="1"/>
  <c r="H882" i="2"/>
  <c r="J882" i="2" s="1"/>
  <c r="H883" i="2"/>
  <c r="J883" i="2" s="1"/>
  <c r="H884" i="2"/>
  <c r="J884" i="2" s="1"/>
  <c r="H885" i="2"/>
  <c r="J885" i="2" s="1"/>
  <c r="H2" i="2"/>
  <c r="J2" i="2" s="1"/>
</calcChain>
</file>

<file path=xl/sharedStrings.xml><?xml version="1.0" encoding="utf-8"?>
<sst xmlns="http://schemas.openxmlformats.org/spreadsheetml/2006/main" count="6362" uniqueCount="914">
  <si>
    <t>Description</t>
  </si>
  <si>
    <t>Summary Amt.</t>
  </si>
  <si>
    <t>Beginning balance as of 09/07/2023</t>
  </si>
  <si>
    <t>Total credits</t>
  </si>
  <si>
    <t>Total debits</t>
  </si>
  <si>
    <t>Ending balance as of 03/07/2025</t>
  </si>
  <si>
    <t>Date</t>
  </si>
  <si>
    <t>Amount</t>
  </si>
  <si>
    <t>Running Bal.</t>
  </si>
  <si>
    <t>STAPLES 00100065 09/05 PURCHASE WEST SPRINGFI MA DEBIT CARD *1171</t>
  </si>
  <si>
    <t>PAYCHEX INC. DES:PAYROLL ID:03839200015394X INDN:KRAY PC CO ID:1161124166 CCD</t>
  </si>
  <si>
    <t>PAYCHEX TPS DES:TAXES ID:03835100009878X INDN:KRAY PC CO ID:1161124166 CCD</t>
  </si>
  <si>
    <t>PAYCHEX INC. DES:PAYROLL ID:h3zxuey8p6GLDJW INDN:KRAY PC CO ID:1161124166 CCD</t>
  </si>
  <si>
    <t>AUTHORIZE.NET 09/08 PURCHASE 877-4473938 CA DEBIT CARD *1171</t>
  </si>
  <si>
    <t>CHECK ORDER00493 DES:FEE ID:14HU6338 INDN:GORGEOUS SMILES DENTAL CO ID:0000000493 PPD PMT INFO: PRODUCT(S): 38.27 S&amp;H: 0.00 MA TAX: 2.39</t>
  </si>
  <si>
    <t>THE HOME DEPOT 09/15 PURCHASE MANCHESTER CT DEBIT CARD *1171</t>
  </si>
  <si>
    <t>THE HOME DEPOT 09/15 PURCHASE W SPRINGFIELD MA DEBIT CARD *1171</t>
  </si>
  <si>
    <t>Check 10001</t>
  </si>
  <si>
    <t>BHATIA AND BHATI DES:Biweekly C ID:KRAY PC INDN:GORGEOUS SMILES CO ID:263503360 PPD PMT INFO:BI-WEEKLY PAYCHEX PAYROLL FEES</t>
  </si>
  <si>
    <t>BKOFAMERICA MOBILE 09/21 3769727340 DEPOSIT *MOBILE MA</t>
  </si>
  <si>
    <t>PAYCHEX TPS DES:TAXES ID:03993900020835X INDN:KRAY PC CO ID:1161124166 CCD</t>
  </si>
  <si>
    <t>PAYCHEX INC. DES:PAYROLL ID:03995800024737X INDN:KRAY PC CO ID:1161124166 CCD</t>
  </si>
  <si>
    <t>Counter Credit</t>
  </si>
  <si>
    <t>Check 102</t>
  </si>
  <si>
    <t>Check 103</t>
  </si>
  <si>
    <t>RETURN OF POSTED CHECK / ITEM (RECEIVED ON 09-22) CHECK #0000000102</t>
  </si>
  <si>
    <t>Deposit</t>
  </si>
  <si>
    <t>Check 10005</t>
  </si>
  <si>
    <t>CARGUS INTERNATIONAL 09/25 PURCHASE 012-345-6789 NY DEBIT CARD *1171</t>
  </si>
  <si>
    <t>8X8, INC. 09/25 PURCHASE 888-898-8733 CA DEBIT CARD *1171</t>
  </si>
  <si>
    <t>COMCAST BOSTON 10/03 PURCHASE 800-266-2278 NH DEBIT CARD *1171</t>
  </si>
  <si>
    <t>WIRE TYPE:WIRE OUT DATE:231004 TIME:1340 ET TRN:2023100400380813 SERVICE REF:010752 BNF:NORTHGATE CENTER, LLC ID:1982312456 BNF BK:FLO RENCE BANK ID:211871688 PMT DET:458655994 SEPT AND OCT 2023</t>
  </si>
  <si>
    <t>BHATIA AND BHATI DES:BiweeklyMo ID:KRAY PC INDN:GORGEOUS SMILES CO ID:263503360 PPD PMT INFO:MONTHLY PAYROLL CHECK PROC. FEES - AUG 2 023</t>
  </si>
  <si>
    <t>Wire Transfer Fee</t>
  </si>
  <si>
    <t>SPI*EVERSOURCE. 10/03 PURCHASE 877-659-6326 CT DEBIT CARD *1171</t>
  </si>
  <si>
    <t>SPI*EVERSOURCE PAYMEN 10/03 PURCHASE 800-688-6160 MA DEBIT CARD *1171</t>
  </si>
  <si>
    <t>EDGE ENDO LLC 10/04 PURCHASE 855-985-3636 NM DEBIT CARD *1171</t>
  </si>
  <si>
    <t>CARGUS INTERNATIONAL 10/04 PURCHASE 012-345-6789 NY DEBIT CARD *1171</t>
  </si>
  <si>
    <t>PAYCHEX INC. DES:PAYROLL ID:04178300007043X INDN:KRAY PC CO ID:1161124166 CCD</t>
  </si>
  <si>
    <t>PAYCHEX TPS DES:TAXES ID:04178600022583X INDN:KRAY PC CO ID:1161124166 CCD</t>
  </si>
  <si>
    <t>WIRE TYPE:BOOK IN DATE:231006 TIME:1654 ET TRN:2023100600479017 SNDR REF:459094862 ORIG:GORGEOUS SMILES DENTAL PC ID:466018149665 PMT DET:LOAN SPFLD</t>
  </si>
  <si>
    <t>REPUBLIC SERVICES TRASH 10/05 PURCHASE 866-576-5548 AZ DEBIT CARD *1171</t>
  </si>
  <si>
    <t>GOOGLE*GSUITE NGFAMILY 10/05 PURCHASE CC GOOGLE.COM CA DEBIT CARD *1171</t>
  </si>
  <si>
    <t>Check 104</t>
  </si>
  <si>
    <t>NEA, Inc. DES:Payment ID:3769470 INDN:Gorgeous Smiles - Spri CO ID:7593399754 PPD</t>
  </si>
  <si>
    <t>CARGUS INTERNATIONAL 10/10 PURCHASE 012-345-6789 NY DEBIT CARD *1171</t>
  </si>
  <si>
    <t>Check 10009</t>
  </si>
  <si>
    <t>READYREFRESH/WATERSERV 10/12 PURCHASE 800-274-5282 CA DEBIT CARD *1171</t>
  </si>
  <si>
    <t>MESA LABS 10/12 PURCHASE 303-9878000 CO DEBIT CARD *1171</t>
  </si>
  <si>
    <t>AUTHORIZE.NET 10/13 PURCHASE 877-4473938 CA DEBIT CARD *1171</t>
  </si>
  <si>
    <t>AMZN Mktp US*TD6DR8F40 10/13 PURCHASE Amzn.com/bill WA DEBIT CARD *1171</t>
  </si>
  <si>
    <t>CARGUS INTERNATIONAL 10/17 PURCHASE 012-345-6789 NY DEBIT CARD *1171</t>
  </si>
  <si>
    <t>COMCAST CABLE COMM 10/18 PURCHASE 800-COMCAST NH DEBIT CARD *1171</t>
  </si>
  <si>
    <t>PAYCHEX INC. DES:PAYROLL ID:04365500025811X INDN:KRAY PC CO ID:1161124166 CCD</t>
  </si>
  <si>
    <t>PAYCHEX TPS DES:TAXES ID:04366900011789X INDN:KRAY PC CO ID:1161124166 CCD</t>
  </si>
  <si>
    <t>eBay O*21-10702-58531 10/26 PURCHASE San Jose CA DEBIT CARD *1171</t>
  </si>
  <si>
    <t>TRANSFER KRAY PC:Northgate Center, LL Confirmation# 0584091349</t>
  </si>
  <si>
    <t>Check 10007</t>
  </si>
  <si>
    <t>BHATIA AND BHATI DES:BiweeklyMo ID:KRAY PC INDN:GORGEOUS SMILES CO ID:263503360 PPD PMT INFO:MONTHLY PAYROLL CHECK PROC. FEES - SEP 2 023</t>
  </si>
  <si>
    <t>GOOGLE*GSUITE NGFAMILY 11/01 PURCHASE CC GOOGLE.COM CA DEBIT CARD *1171</t>
  </si>
  <si>
    <t>PAYCHEX INC. DES:PAYROLL ID:04510000000334X INDN:KRAY PC CO ID:1161124166 CCD</t>
  </si>
  <si>
    <t>PAYCHEX TPS DES:TAXES ID:04506500018295X INDN:KRAY PC CO ID:1161124166 CCD</t>
  </si>
  <si>
    <t>AUTHNET GATEWAY DES:BILLING ID:132410919 INDN:GORGEOUS SMILES DENTAL CO ID:1870568569 CCD</t>
  </si>
  <si>
    <t>External transfer fee - 3 Day - 11/01/2023 Confirmation: 462523586</t>
  </si>
  <si>
    <t>Staples Inc 11/01 PURCHASE staples.com MA DEBIT CARD *1171</t>
  </si>
  <si>
    <t>8X8, INC. 11/02 PURCHASE 888-898-8733 CA DEBIT CARD *1171</t>
  </si>
  <si>
    <t>READYREFRESH/WATERSERV 11/07 PURCHASE 800-274-5282 CA DEBIT CARD *1171</t>
  </si>
  <si>
    <t>REALISTICDNTLCREATIONS 11/09 PURCHASE 413-7851866 MA DEBIT CARD *1171</t>
  </si>
  <si>
    <t>CEBULA ELECTRONICS CORP 11/09 PURCHASE 413-594-9916 MA DEBIT CARD *1171</t>
  </si>
  <si>
    <t>EVERSOURCE DES:WEB_PAY ID:23798537111423 INDN:RAYMOND BELISLE CO ID:4120181050 CCD</t>
  </si>
  <si>
    <t>PAYCHEX INC. DES:PAYROLL ID:04695600012399X INDN:KRAY PC CO ID:1161124166 CCD</t>
  </si>
  <si>
    <t>PAYCHEX TPS DES:TAXES ID:04693300022732X INDN:KRAY PC CO ID:1161124166 CCD</t>
  </si>
  <si>
    <t>ADTSECURITY MYADT.COM 11/16 PURCHASE 800-238-2727 FL DEBIT CARD *1171</t>
  </si>
  <si>
    <t>CARGUS INTERNATIONAL 11/16 PURCHASE 012-345-6789 NY DEBIT CARD *1171</t>
  </si>
  <si>
    <t>DC DENTAL 11/16 PURCHASE 410-653-7500 MD DEBIT CARD *1171</t>
  </si>
  <si>
    <t>LIBERTY MUTUAL 11/17 PURCHASE 866-290-2920 NH DEBIT CARD *1171</t>
  </si>
  <si>
    <t>BTS*PattersonDental 11/17 PURCHASE 800-3285536 MN DEBIT CARD *1171</t>
  </si>
  <si>
    <t>COMCAST CABLE COMM 11/18 PURCHASE 800-COMCAST NH DEBIT CARD *1171</t>
  </si>
  <si>
    <t>READYREFRESH/WATERSERV 11/20 PURCHASE 800-274-5282 CA DEBIT CARD *1171</t>
  </si>
  <si>
    <t>TRANSFER KRAY PC:Northgate Center, LL Confirmation# 0317588166</t>
  </si>
  <si>
    <t>External transfer fee - 3 Day - 11/28/2023 Confirmation: 466176540</t>
  </si>
  <si>
    <t>NOBLE DENTAL SUPPLIES 11/29 PURCHASE 012-345-6789 NY DEBIT CARD *1171</t>
  </si>
  <si>
    <t>BHATIA AND BHATI DES:BiweeklyMo ID:KRAY PC INDN:GORGEOUS SMILES CO ID:263503360 PPD PMT INFO:MONTHLY PAYROLL CHECK PROC. FEES - OCT 2 023</t>
  </si>
  <si>
    <t>TRANSFER KRAY PC:Northgate Center, LL Confirmation# 0544325615</t>
  </si>
  <si>
    <t>PAYCHEX INC. DES:PAYROLL ID:04877200034787X INDN:KRAY PC CO ID:1161124166 CCD</t>
  </si>
  <si>
    <t>PAYCHEX TPS DES:TAXES ID:04879000010421X INDN:KRAY PC CO ID:1161124166 CCD</t>
  </si>
  <si>
    <t>GOOGLE GSUITE_ngfamily 12/01 PURCHASE 650-2530000 CA DEBIT CARD *1171</t>
  </si>
  <si>
    <t>8X8, INC. 12/02 PURCHASE 888-898-8733 CA DEBIT CARD *1171</t>
  </si>
  <si>
    <t>AUTHNET GATEWAY DES:BILLING ID:132626384 INDN:GORGEOUS SMILES DENTAL CO ID:1870568569 CCD</t>
  </si>
  <si>
    <t>External transfer fee - 3 Day - 12/01/2023 Confirmation: 466928034</t>
  </si>
  <si>
    <t>READYREFRESH/WATERSERV 12/04 PURCHASE 800-274-5282 CA DEBIT CARD *1171</t>
  </si>
  <si>
    <t>FASTSIGNS MANCHESTER 12/05 PURCHASE 860-6445700 CT DEBIT CARD *1171</t>
  </si>
  <si>
    <t>ADT MOBILITY/ECOMM 12/07 PURCHASE 800-238-2727 FL DEBIT CARD *1171</t>
  </si>
  <si>
    <t>EDGE ENDO LLC 12/07 PURCHASE 855-985-3636 NM DEBIT CARD *1171</t>
  </si>
  <si>
    <t>AMAZON.COM*8L1T82TT3 12/07 PURCHASE SEATTLE WA DEBIT CARD *1171</t>
  </si>
  <si>
    <t>AMAZON.COM*FZ6Y50IN3 12/08 PURCHASE SEATTLE WA DEBIT CARD *1171</t>
  </si>
  <si>
    <t>NOBLE DENTAL SUPPLIES 12/11 PURCHASE 012-345-6789 NY DEBIT CARD *1171</t>
  </si>
  <si>
    <t>HF ACQUISITION CO LLC 12/13 PURCHASE 800-331-1984 WA DEBIT CARD *1171</t>
  </si>
  <si>
    <t>REALISTICDNTLCREATIONS 12/13 PURCHASE 413-7851866 MA DEBIT CARD *1171</t>
  </si>
  <si>
    <t>PAYCHEX INC. DES:PAYROLL ID:05034400015071X INDN:KRAY PC CO ID:1161124166 CCD</t>
  </si>
  <si>
    <t>PAYCHEX TPS DES:TAXES ID:05036100026216X INDN:KRAY PC CO ID:1161124166 CCD</t>
  </si>
  <si>
    <t>EVERSOURCE DES:WEB_PAY ID:27437976121423 INDN:RAYMOND BELISLE CO ID:4120181050 CCD</t>
  </si>
  <si>
    <t>Staples Inc 12/15 PURCHASE staples.com MA DEBIT CARD *1171</t>
  </si>
  <si>
    <t>COMCAST CABLE COMM 12/18 PURCHASE 800-COMCAST NH DEBIT CARD *1171</t>
  </si>
  <si>
    <t>NOBLE DENTAL SUPPLIES 12/18 PURCHASE 012-345-6789 NY DEBIT CARD *1171</t>
  </si>
  <si>
    <t>REPUBLIC SERVICES TRASH 12/18 PURCHASE 866-576-5548 AZ DEBIT CARD *1171</t>
  </si>
  <si>
    <t>SPI*EVERSOURCE PAYMEN 12/18 PURCHASE 800-688-6160 MA DEBIT CARD *1171</t>
  </si>
  <si>
    <t>READYREFRESH/WATERSERV 12/18 PURCHASE 800-274-5282 CA DEBIT CARD *1171</t>
  </si>
  <si>
    <t>Check 10014</t>
  </si>
  <si>
    <t>Check 10019</t>
  </si>
  <si>
    <t>BHATIA AND BHATI DES:Biweekly C ID:KRAY PC INDN:GORGEOUS SMILES CO ID:263503360 PPD PMT INFO:BI-WEEKLY PAYCHEX/ADP FEES</t>
  </si>
  <si>
    <t>AMZN MKTP US*VO2FX9OY3 12/27 PURCHASE SEATTLE WA DEBIT CARD *1171</t>
  </si>
  <si>
    <t>WIRE TYPE:BOOK OUT DATE:231228 TIME:0701 ET TRN:2023122800266587 RELATED REF:470688842 BNF:GORGEOUS SMILES DENTAL PC ID:466018149665 PMT DET:TRUE UP MANCHESTER LOAN</t>
  </si>
  <si>
    <t>PAYCHEX INC. DES:PAYROLL ID:05217000024401X INDN:KRAY PC CO ID:1161124166 CCD</t>
  </si>
  <si>
    <t>PAYCHEX TPS DES:TAXES ID:05220400031962X INDN:KRAY PC CO ID:1161124166 CCD</t>
  </si>
  <si>
    <t>PAYCHEX TPS DES:TAXES ID:05224600036308X INDN:KRAY PC CO ID:1161124166 CCD</t>
  </si>
  <si>
    <t>AMAZON.COM*R81L85KJ3 12/27 PURCHASE SEATTLE WA DEBIT CARD *1171</t>
  </si>
  <si>
    <t>eBay O*16-10981-80910 12/29 PURCHASE San Jose CA DEBIT CARD *1171</t>
  </si>
  <si>
    <t>GOOGLE GSUITE_ngfamily 01/01 PURCHASE 650-2530000 CA DEBIT CARD *1171</t>
  </si>
  <si>
    <t>TRANSFER KRAY PC:Northgate Center, LL Confirmation# 1320325077</t>
  </si>
  <si>
    <t>AUTHNET GATEWAY DES:BILLING ID:132926533 INDN:GORGEOUS SMILES DENTAL CO ID:1870568569 CCD</t>
  </si>
  <si>
    <t>LIBERTY MUTUAL 01/01 PURCHASE 866-290-2920 NH DEBIT CARD *1171</t>
  </si>
  <si>
    <t>External transfer fee - 3 Day - 01/02/2024 Confirmation: 471460300</t>
  </si>
  <si>
    <t>8X8, INC. 01/02 PURCHASE 888-898-8733 CA DEBIT CARD *1171</t>
  </si>
  <si>
    <t>NOBLE DENTAL SUPPLIES 01/03 PURCHASE 012-345-6789 NY DEBIT CARD *1171</t>
  </si>
  <si>
    <t>Check 178</t>
  </si>
  <si>
    <t>READYREFRESH/WATERSERV 01/03 PURCHASE 800-274-5282 CA DEBIT CARD *1171</t>
  </si>
  <si>
    <t>BHATIA AND BHATI DES:BiweeklyMo ID:KRAY PC INDN:GORGEOUS SMILES CO ID:263503360 PPD PMT INFO:MONTHLY PAYROLL CHECK PROC. FEES - NOV 2 023</t>
  </si>
  <si>
    <t>NOBLE DENTAL SUPPLIES 01/05 PURCHASE 012-345-6789 NY DEBIT CARD *1171</t>
  </si>
  <si>
    <t>ADT SECURITY*404889768 01/07 PURCHASE WWW.ADT.COM FL DEBIT CARD *1171</t>
  </si>
  <si>
    <t>REALISTICDNTLCREATIONS 01/08 PURCHASE 413-7851866 MA DEBIT CARD *1171</t>
  </si>
  <si>
    <t>NOBLE DENTAL SUPPLIES 01/08 PURCHASE 012-345-6789 NY DEBIT CARD *1171</t>
  </si>
  <si>
    <t>WIRE TYPE:BOOK OUT DATE:240110 TIME:1047 ET TRN:2024011000320151 RELATED REF:472759884 BNF:GORGEOUS SMILES DENTAL PC ID:466018149665 PMT DET:LOAN</t>
  </si>
  <si>
    <t>BKOFAMERICA MOBILE 01/11 3647230030 DEPOSIT *MOBILE MA</t>
  </si>
  <si>
    <t>BTS*PattersonDental 01/10 PURCHASE 800-3285536 MN DEBIT CARD *1171</t>
  </si>
  <si>
    <t>BENCO DENTAL CO 01/10 PURCHASE 800-462-3626 PA DEBIT CARD *1171</t>
  </si>
  <si>
    <t>NOBLE DENTAL SUPPLIES 01/10 PURCHASE 012-345-6789 NY DEBIT CARD *1171</t>
  </si>
  <si>
    <t>BIANCA SIGNS PLUS LLC 01/10 PURCHASE 860-2238778 CT DEBIT CARD *1171</t>
  </si>
  <si>
    <t>CT SECRETARY OF STATE 01/10 PURCHASE 860-5096151 CT DEBIT CARD *1171</t>
  </si>
  <si>
    <t>PAYCHEX INC. DES:PAYROLL ID:05610500018768X INDN:KRAY PC CO ID:1161124166 CCD</t>
  </si>
  <si>
    <t>PAYCHEX TPS DES:TAXES ID:05615200010475X INDN:KRAY PC CO ID:1161124166 CCD</t>
  </si>
  <si>
    <t>Staples Inc 01/12 PURCHASE staples.com MA DEBIT CARD *1171</t>
  </si>
  <si>
    <t>AMZN Mktp US*RT1P63NR1 01/12 PURCHASE Amzn.com/bill WA DEBIT CARD *1171</t>
  </si>
  <si>
    <t>READYREFRESH/WATERSERV 01/12 PURCHASE 800-274-5282 CA DEBIT CARD *1171</t>
  </si>
  <si>
    <t>NOBLE DENTAL SUPPLIES 01/15 PURCHASE 012-345-6789 NY DEBIT CARD *1171</t>
  </si>
  <si>
    <t>EDGE ENDO LLC 01/15 PURCHASE 855-985-3636 NM DEBIT CARD *1171</t>
  </si>
  <si>
    <t>AMZN MKTP US*RT1FU16R1 01/12 PURCHASE SEATTLE WA DEBIT CARD *1171</t>
  </si>
  <si>
    <t>Check 151</t>
  </si>
  <si>
    <t>EVERSOURCE DES:WEB_PAY ID:31189969011724 INDN:RAYMOND BELISLE CO ID:4120181050 CCD</t>
  </si>
  <si>
    <t>COMCAST CABLE COMM 01/18 PURCHASE 800-COMCAST NH DEBIT CARD *1171</t>
  </si>
  <si>
    <t>PAYCHEX TPS DES:TAXES ID:05800400191302X INDN:KRAY PC CO ID:1161124166 CCD</t>
  </si>
  <si>
    <t>BKOFAMERICA ATM 01/23 #000004756 DEPOSIT VERNON CIRCLE VERNON CT CKCD 4135715006731171</t>
  </si>
  <si>
    <t>STAPLES 00100065 01/22 PURCHASE WEST SPRINGFI MA DEBIT CARD *1171</t>
  </si>
  <si>
    <t>NOBLE DENTAL SUPPLIES 01/23 PURCHASE 012-345-6789 NY DEBIT CARD *1171</t>
  </si>
  <si>
    <t>eBay O*11-11090-72920 01/23 PURCHASE 408-3766151 CA DEBIT CARD *1171</t>
  </si>
  <si>
    <t>PAYCHEX INC. DES:PAYROLL ID:05923800041260X INDN:KRAY PC CO ID:1161124166 CCD</t>
  </si>
  <si>
    <t>PAYCHEX TPS DES:TAXES ID:05924000020138X INDN:KRAY PC CO ID:1161124166 CCD</t>
  </si>
  <si>
    <t>AMZN MKTP US*R08WR9C61 01/24 PURCHASE SEATTLE WA DEBIT CARD *1171</t>
  </si>
  <si>
    <t>AMAZON RET* 113-374050 01/24 PURCHASE WWW.AMAZON.CO WA DEBIT CARD *1171</t>
  </si>
  <si>
    <t>NOBLE DENTAL SUPPLIES 01/26 PURCHASE 012-345-6789 NY DEBIT CARD *1171</t>
  </si>
  <si>
    <t>Amazon Prime*R065X1YE0 01/26 PURCHASE Amzn.com/bill WA DEBIT CARD *1171</t>
  </si>
  <si>
    <t>AMZN Mktp US*R03OP8BV2 01/27 PURCHASE Amzn.com/bill WA DEBIT CARD *1171</t>
  </si>
  <si>
    <t>Google ADS6512412543 01/27 PURCHASE 650-2530000 CA DEBIT CARD *1171</t>
  </si>
  <si>
    <t>NET32* PA DENTAL 01/24 PURCHASE HTTPSWWW.NET3 NC DEBIT CARD *1171</t>
  </si>
  <si>
    <t>AMZN MKTP US*R090X5HH1 01/28 PURCHASE SEATTLE WA DEBIT CARD *1171</t>
  </si>
  <si>
    <t>AMZN Mktp US*R02070HB1 01/28 PURCHASE Amzn.com/bill WA DEBIT CARD *1171</t>
  </si>
  <si>
    <t>NOBLE DENTAL SUPPLIES 01/30 PURCHASE 012-345-6789 NY DEBIT CARD *1171</t>
  </si>
  <si>
    <t>TRANSFER KRAY PC:Northgate Center, LL Confirmation# 3079378308</t>
  </si>
  <si>
    <t>Liberty Mutual Insuranc 02/01 PURCHASE Boston MA DEBIT CARD *1171</t>
  </si>
  <si>
    <t>GOOGLE *GSUITE_ngfamil 02/01 PURCHASE cc@google.com CA DEBIT CARD *1171</t>
  </si>
  <si>
    <t>Google ADS6512412543 02/01 PURCHASE 650-2530000 CA DEBIT CARD *1171</t>
  </si>
  <si>
    <t>AUTHNET GATEWAY DES:BILLING ID:134283344 INDN:GORGEOUS SMILES DENTAL CO ID:1870568569 CCD</t>
  </si>
  <si>
    <t>External transfer fee - 3 Day - 02/01/2024 Confirmation: 475910366</t>
  </si>
  <si>
    <t>NOBLE DENTAL SUPPLIES 02/02 PURCHASE 012-345-6789 NY DEBIT CARD *1171</t>
  </si>
  <si>
    <t>VYNE DENTAL 02/02 PURCHASE 800-7825150 GA DEBIT CARD *1171</t>
  </si>
  <si>
    <t>8X8, INC. 02/03 PURCHASE 888-898-8733 CA DEBIT CARD *1171</t>
  </si>
  <si>
    <t>AMZN MKTP US*RB5XX4D10 02/06 PURCHASE SEATTLE WA DEBIT CARD *1171</t>
  </si>
  <si>
    <t>AMZN Mktp US*RB58R4Q60 02/06 PURCHASE Amzn.com/bill WA DEBIT CARD *1171</t>
  </si>
  <si>
    <t>ADT SECURITY*404889768 02/07 PURCHASE WWW.ADT.COM FL DEBIT CARD *1171</t>
  </si>
  <si>
    <t>PAYCHEX INC. DES:PAYROLL ID:06176100029093X INDN:KRAY PC CO ID:1161124166 CCD</t>
  </si>
  <si>
    <t>PAYCHEX TPS DES:TAXES ID:06176400019446X INDN:KRAY PC CO ID:1161124166 CCD</t>
  </si>
  <si>
    <t>Google ADS6512412543 02/09 PURCHASE 650-2530000 CA DEBIT CARD *1171</t>
  </si>
  <si>
    <t>REPUBLIC SERVICES TRASH 02/12 PURCHASE 866-576-5548 AZ DEBIT CARD *1171</t>
  </si>
  <si>
    <t>MCCORMICK ALLUM LLC 02/12 PURCHASE 413-737-1196 MA DEBIT CARD *1171</t>
  </si>
  <si>
    <t>REALISTICDNTLCREATIONS 02/12 PURCHASE 413-7851866 MA DEBIT CARD *1171</t>
  </si>
  <si>
    <t>SPI*EVERSOURCE PAYMEN 02/12 PURCHASE 800-688-6160 MA DEBIT CARD *1171</t>
  </si>
  <si>
    <t>Google ADS6512412543 02/14 PURCHASE 650-2530000 CA DEBIT CARD *1171</t>
  </si>
  <si>
    <t>EVERSOURCE DES:WEB_PAY ID:34685086021424 INDN:RAYMOND BELISLE CO ID:4120181050 CCD</t>
  </si>
  <si>
    <t>SYNCHRONY BANK DES:MTOT DEP ID:534812122061717 INDN:FIRST LINE DENTAL CO ID:3061537262 CCD</t>
  </si>
  <si>
    <t>AMZN MKTP US*RI9RZ3TV1 02/15 PURCHASE SEATTLE WA DEBIT CARD *1171</t>
  </si>
  <si>
    <t>COMCAST CABLE COMM 02/18 PURCHASE 800-COMCAST NH DEBIT CARD *1171</t>
  </si>
  <si>
    <t>Google ADS6512412543 02/20 PURCHASE 650-2530000 CA DEBIT CARD *1171</t>
  </si>
  <si>
    <t>PAYCHEX INC. DES:PAYROLL ID:06341300044059X INDN:KRAY PC CO ID:1161124166 CCD</t>
  </si>
  <si>
    <t>PAYCHEX TPS DES:TAXES ID:06342000021148X INDN:KRAY PC CO ID:1161124166 CCD</t>
  </si>
  <si>
    <t>AMZN MKTP US*RW1XC5RU0 02/21 PURCHASE SEATTLE WA DEBIT CARD *1171</t>
  </si>
  <si>
    <t>NOBLE DENTAL SUPPLIES 02/22 PURCHASE 012-345-6789 NY DEBIT CARD *1171</t>
  </si>
  <si>
    <t>COMM OF MASS DES:HCCLAIMPMT ID:VC0000968599 INDN:KRAY PC CO ID:A046002284 CCD PMT INFO:TRN*1*0000054I4010615*1046002284*1058029 39\</t>
  </si>
  <si>
    <t>NOBLE DENTAL SUPPLIES 02/26 PURCHASE 012-345-6789 NY DEBIT CARD *1171</t>
  </si>
  <si>
    <t>Amazon Prime*RW8N13ID2 02/26 PURCHASE Amzn.com/bill WA DEBIT CARD *1171</t>
  </si>
  <si>
    <t>Check 180</t>
  </si>
  <si>
    <t>BHATIA AND BHATI DES:BiweeklyMo ID:KRAY PC INDN:GORGEOUS SMILES CO ID:263503360 PPD PMT INFO:MONTHLY PAYROLL CHECK PROC. FEES - JAN 2 024</t>
  </si>
  <si>
    <t>Google ADS6512412543 02/27 PURCHASE 650-2530000 CA DEBIT CARD *1171</t>
  </si>
  <si>
    <t>NOBLE DENTAL SUPPLIES 02/28 PURCHASE 012-345-6789 NY DEBIT CARD *1171</t>
  </si>
  <si>
    <t>TRANSFER KRAY PC:Northgate Center, LL Confirmation# 0530158124</t>
  </si>
  <si>
    <t>COMM OF MASS DES:HCCLAIMPMT ID:VC0000968599 INDN:KRAY PC CO ID:A046002284 CCD PMT INFO:TRN*1*0000061I4005755*1046002284*1058103 52\</t>
  </si>
  <si>
    <t>Liberty Mutual Insuranc 03/01 PURCHASE Boston MA DEBIT CARD *1171</t>
  </si>
  <si>
    <t>Indeed 89668314 03/01 PURCHASE 800-4625842 TX DEBIT CARD *1171</t>
  </si>
  <si>
    <t>GOOGLE GSUITE_ngfamily 03/01 PURCHASE 650-2530000 CA DEBIT CARD *1171</t>
  </si>
  <si>
    <t>Google ADS6512412543 03/01 PURCHASE 650-2530000 CA DEBIT CARD *1171</t>
  </si>
  <si>
    <t>8X8, INC. 03/02 PURCHASE 888-898-8733 CA DEBIT CARD *1171</t>
  </si>
  <si>
    <t>AUTHNET GATEWAY DES:BILLING ID:134713245 INDN:GORGEOUS SMILES DENTAL CO ID:1870568569 CCD</t>
  </si>
  <si>
    <t>External transfer fee - 3 Day - 03/01/2024 Confirmation: 480391242</t>
  </si>
  <si>
    <t>READYREFRESH/WATERSERV 03/04 PURCHASE 800-274-5282 CA DEBIT CARD *1171</t>
  </si>
  <si>
    <t>PAYCHEX INC. DES:PAYROLL ID:06518900045952X INDN:KRAY PC CO ID:1161124166 CCD</t>
  </si>
  <si>
    <t>PAYCHEX TPS DES:TAXES ID:06516800020291X INDN:KRAY PC CO ID:1161124166 CCD</t>
  </si>
  <si>
    <t>VYNE DENTAL 03/05 PURCHASE 800-7825150 GA DEBIT CARD *1171</t>
  </si>
  <si>
    <t>ADT SECURITY*404889768 03/07 PURCHASE WWW.ADT.COM FL DEBIT CARD *1171</t>
  </si>
  <si>
    <t>NOBLE DENTAL SUPPLIES 03/07 PURCHASE 012-345-6789 NY DEBIT CARD *1171</t>
  </si>
  <si>
    <t>REALISTICDNTLCREATIONS 03/07 PURCHASE 413-7851866 MA DEBIT CARD *1171</t>
  </si>
  <si>
    <t>PAYCHEX-HRS DES:401(K) ID:0000044014125 INDN:KRAY PC CO ID:9540920001 CCD</t>
  </si>
  <si>
    <t>BHATIA AND BHATI DES:SINGLE CLI ID:KRAY PC INDN:KRAY PC CO ID:263503360 PPD PMT INFO:2023 EXTENSION PREP AND FILING FEES</t>
  </si>
  <si>
    <t>BHATIA AND BHATI DES:BiweeklyMo ID:KRAY PC INDN:GORGEOUS SMILES CO ID:263503360 PPD PMT INFO:PAYROLL CHECK PROC. FEES MARCH 6, 2024</t>
  </si>
  <si>
    <t>COMM OF MASS DES:HCCLAIMPMT ID:VC0000968599 INDN:KRAY PC CO ID:A046002284 CCD PMT INFO:TRN*1*0000068I4001773*1046002284*1058173 16\</t>
  </si>
  <si>
    <t>THE HANOVER INSU CE G 03/08 PURCHASE 517-546-2160 MA DEBIT CARD *1171</t>
  </si>
  <si>
    <t>Staples Inc 03/08 PURCHASE staples.com MA DEBIT CARD *1171</t>
  </si>
  <si>
    <t>REPUBLIC SERVICES TRASH 03/08 PURCHASE 866-576-5548 AZ DEBIT CARD *1171</t>
  </si>
  <si>
    <t>NOBLE DENTAL SUPPLIES 03/08 PURCHASE 012-345-6789 NY DEBIT CARD *1171</t>
  </si>
  <si>
    <t>READYREFRESH/WATERSERV 03/08 PURCHASE 800-274-5282 CA DEBIT CARD *1171</t>
  </si>
  <si>
    <t>Google ADS6512412543 03/11 PURCHASE 650-2530000 CA DEBIT CARD *1171</t>
  </si>
  <si>
    <t>AMZN MKTP US*RN67S8BY1 03/11 PURCHASE SEATTLE WA DEBIT CARD *1171</t>
  </si>
  <si>
    <t>COMM OF MASS EFT DES:MA DOR PAY ID:1546297024 INDN:KRAY PC CO ID:4602285821 CCD</t>
  </si>
  <si>
    <t>PAYCHEX-HRS DES:HRS PMT ID:45209622 INDN:KRAY PC CO ID:2555124166 CCD</t>
  </si>
  <si>
    <t>COMM OF MASS DES:HCCLAIMPMT ID:VC0000968599 INDN:KRAY PC CO ID:A046002284 CCD PMT INFO:TRN*1*0000075I4008465*1046002284*1058241 97\</t>
  </si>
  <si>
    <t>NOBLE DENTAL SUPPLIES 03/15 PURCHASE 012-345-6789 NY DEBIT CARD *1171</t>
  </si>
  <si>
    <t>AMAZON RET* 113-860873 03/15 PURCHASE WWW.AMAZON.CO WA DEBIT CARD *1171</t>
  </si>
  <si>
    <t>EVERSOURCE DES:WEB_PAY ID:38498216031524 INDN:RAYMOND BELISLE CO ID:4120181050 CCD</t>
  </si>
  <si>
    <t>AMZN Mktp US*RH75M4372 03/15 PURCHASE Amzn.com/bill WA DEBIT CARD *1171</t>
  </si>
  <si>
    <t>COMCAST CABLE COMM 03/18 PURCHASE 800-COMCAST NH DEBIT CARD *1171</t>
  </si>
  <si>
    <t>PAYCHEX INC. DES:PAYROLL ID:06696700049397X INDN:KRAY PC CO ID:1161124166 CCD</t>
  </si>
  <si>
    <t>PAYCHEX TPS DES:TAXES ID:06698600020270X INDN:KRAY PC CO ID:1161124166 CCD</t>
  </si>
  <si>
    <t>PAYCHEX-HRS DES:401(K) ID:0000044139021 INDN:KRAY PC CO ID:9540920001 CCD</t>
  </si>
  <si>
    <t>COMM OF MASS DES:HCCLAIMPMT ID:VC0000968599 INDN:KRAY PC CO ID:A046002284 CCD PMT INFO:TRN*1*0000082I4004455*1046002284*1058310 52\</t>
  </si>
  <si>
    <t>Indeed 90372912 03/23 PURCHASE 800-4625842 TX DEBIT CARD *1171</t>
  </si>
  <si>
    <t>Check 105</t>
  </si>
  <si>
    <t>BHATIA AND BHATI DES:BiweeklyMo ID:GORGEOUS SPRING INDN:KRAY PC CO ID:263503360 PPD PMT INFO:PAYROLL CHECK PROC. FEES MARCH 20, 2024</t>
  </si>
  <si>
    <t>Amazon Prime*RH6PO0SN1 03/26 PURCHASE Amzn.com/bill WA DEBIT CARD *1171</t>
  </si>
  <si>
    <t>AMZN Mktp US*RO4473RC3 03/26 PURCHASE Amzn.com/bill WA DEBIT CARD *1171</t>
  </si>
  <si>
    <t>JAZZ IMAGING 03/26 PURCHASE 800-555-5299 CA DEBIT CARD *1171</t>
  </si>
  <si>
    <t>AMAZON.COM*RH4E01WN1 03/26 PURCHASE SEATTLE WA DEBIT CARD *1171</t>
  </si>
  <si>
    <t>AMAZON.COM*3K69R1S83 03/26 PURCHASE SEATTLE WA DEBIT CARD *1171</t>
  </si>
  <si>
    <t>AMZN Mktp US*RH48N29F1 03/26 PURCHASE Amzn.com/bill WA DEBIT CARD *1171</t>
  </si>
  <si>
    <t>AMZN MKTP US*0Q49U58C3 03/26 PURCHASE SEATTLE WA DEBIT CARD *1171</t>
  </si>
  <si>
    <t>NOBLE DENTAL SUPPLIES 03/27 PURCHASE 012-345-6789 NY DEBIT CARD *1171</t>
  </si>
  <si>
    <t>eBay O*03-11373-55116 03/27 PURCHASE 408-3766151 CA DEBIT CARD *1171</t>
  </si>
  <si>
    <t>eBay O*03-11373-55117 03/27 PURCHASE 408-3766151 CA DEBIT CARD *1171</t>
  </si>
  <si>
    <t>BHATIA AND BHATI DES:BiweeklyMo ID:KRAY PC INDN:GORGEOUS SMILES CO ID:263503360 PPD PMT INFO:MONTHLY PAYROLL CHECK PROC. FEES - FEB 2 023</t>
  </si>
  <si>
    <t>AMAZON.COM*RA37K38A2 03/27 PURCHASE SEATTLE WA DEBIT CARD *1171</t>
  </si>
  <si>
    <t>COMM OF MASS DES:HCCLAIMPMT ID:VC0000968599 INDN:KRAY PC CO ID:A046002284 CCD PMT INFO:TRN*1*0000089I4000549*1046002284*1058377 36\</t>
  </si>
  <si>
    <t>eBay O*12-11378-24358 03/30 PURCHASE 408-3766151 CA DEBIT CARD *1171</t>
  </si>
  <si>
    <t>TRANSFER KRAY PC:Northgate Center, LL Confirmation# 1797490655</t>
  </si>
  <si>
    <t>Indeed 90878139 04/01 PURCHASE 800-4625842 TX DEBIT CARD *1171</t>
  </si>
  <si>
    <t>Liberty Mutual Insuranc 04/01 PURCHASE Boston MA DEBIT CARD *1171</t>
  </si>
  <si>
    <t>GOOGLE GSUITE_ngfamily 04/01 PURCHASE 650-2530000 CA DEBIT CARD *1171</t>
  </si>
  <si>
    <t>GOOGLE *ADS6512412543 04/01 PURCHASE cc@google.com CA DEBIT CARD *1171</t>
  </si>
  <si>
    <t>AUTHNET GATEWAY DES:BILLING ID:135068073 INDN:GORGEOUS SMILES DENTAL CO ID:1870568569 CCD</t>
  </si>
  <si>
    <t>External transfer fee - 3 Day - 04/01/2024 Confirmation: 485022358</t>
  </si>
  <si>
    <t>8X8, INC. 04/02 PURCHASE 888-898-8733 CA DEBIT CARD *1171</t>
  </si>
  <si>
    <t>NOBLE DENTAL SUPPLIES 04/03 PURCHASE 012-345-6789 NY DEBIT CARD *1171</t>
  </si>
  <si>
    <t>PAYCHEX INC. DES:PAYROLL ID:06901200046831X INDN:KRAY PC CO ID:1161124166 CCD</t>
  </si>
  <si>
    <t>PAYCHEX TPS DES:TAXES ID:06904300008658X INDN:KRAY PC CO ID:1161124166 CCD</t>
  </si>
  <si>
    <t>PAYCHEX-HRS DES:401(K) ID:0000044279193 INDN:KRAY PC CO ID:9540920001 CCD</t>
  </si>
  <si>
    <t>BHATIA AND BHATI DES:BiweeklyMo ID:GORGEOUS SPRING INDN:KRAY PC CO ID:263503360 PPD PMT INFO:PAYROLL CHECK PROC. FEES 4/3/24</t>
  </si>
  <si>
    <t>COMM OF MASS DES:HCCLAIMPMT ID:VC0000968599 INDN:KRAY PC CO ID:A046002284 CCD PMT INFO:TRN*1*0000096I4002481*1046002284*1058445 16\</t>
  </si>
  <si>
    <t>VYNE DENTAL 04/04 PURCHASE 800-7825150 GA DEBIT CARD *1171</t>
  </si>
  <si>
    <t>AMZN Mktp US*J45E58003 04/04 PURCHASE Amzn.com/bill WA DEBIT CARD *1171</t>
  </si>
  <si>
    <t>ADT SECURITY*404889768 04/07 PURCHASE WWW.ADT.COM FL DEBIT CARD *1171</t>
  </si>
  <si>
    <t>BKOFAMERICA ATM 04/11 #000005292 DEPOSIT VERNON CIRCLE VERNON CT CKCD 4135715006731171</t>
  </si>
  <si>
    <t>AMZN Mktp US*8L0RA0383 04/10 PURCHASE Amzn.com/bill WA DEBIT CARD *1171</t>
  </si>
  <si>
    <t>PAYCHEX-HRS DES:HRS PMT ID:45570412 INDN:KRAY PC CO ID:2555124166 CCD</t>
  </si>
  <si>
    <t>COMM OF MASS DES:HCCLAIMPMT ID:VC0000968599 INDN:KRAY PC CO ID:A046002284 CCD PMT INFO:TRN*1*0000103I4001153*1046002284*1058515 20\</t>
  </si>
  <si>
    <t>Staples Inc 04/12 PURCHASE staples.com MA DEBIT CARD *1171</t>
  </si>
  <si>
    <t>REALISTICDNTLCREATIONS 04/12 PURCHASE 413-7851866 MA DEBIT CARD *1171</t>
  </si>
  <si>
    <t>BKOFAMERICA BC 04/17 #000001725 TO CHKG 243 Hartford Tpke Vernon CT</t>
  </si>
  <si>
    <t>AMZN Mktp US*442HM8EB3 04/17 PURCHASE Amzn.com/bill WA DEBIT CARD *1171</t>
  </si>
  <si>
    <t>AMZN Mktp US*SD30O2YZ3 04/17 PURCHASE Amzn.com/bill WA DEBIT CARD *1171</t>
  </si>
  <si>
    <t>PAYCHEX INC. DES:PAYROLL ID:07077800002167X INDN:KRAY PC CO ID:1161124166 CCD</t>
  </si>
  <si>
    <t>PAYCHEX TPS DES:TAXES ID:07074600020400X INDN:KRAY PC CO ID:1161124166 CCD</t>
  </si>
  <si>
    <t>EVERSOURCE DES:WEB_PAY ID:42411971041724 INDN:RAYMOND BELISLE CO ID:4120181050 CCD</t>
  </si>
  <si>
    <t>BKOFAMERICA MOBILE 04/19 3706787003 DEPOSIT *MOBILE MA</t>
  </si>
  <si>
    <t>BTS*NATIONALDENTEX 04/18 PURCHASE 833-299-0696 FL DEBIT CARD *1171</t>
  </si>
  <si>
    <t>PAYCHEX-HRS DES:401(K) ID:0000044394732 INDN:KRAY PC CO ID:9540920001 CCD</t>
  </si>
  <si>
    <t>COMM OF MASS DES:HCCLAIMPMT ID:VC0000968599 INDN:KRAY PC CO ID:A046002284 CCD PMT INFO:TRN*1*0000110I4010289*1046002284*1058585 17\</t>
  </si>
  <si>
    <t>COMCAST CABLE COMM 04/18 PURCHASE 800-COMCAST NH DEBIT CARD *1171</t>
  </si>
  <si>
    <t>AMZN Mktp US*3H4PW7YA3 04/18 PURCHASE Amzn.com/bill WA DEBIT CARD *1171</t>
  </si>
  <si>
    <t>PAYCHEX TPS DES:TAXES ID:07103000211284X INDN:KRAY PC CO ID:1161124166 CCD</t>
  </si>
  <si>
    <t>NOBLE DENTAL SUPPLIES 04/22 PURCHASE 012-345-6789 NY DEBIT CARD *1171</t>
  </si>
  <si>
    <t>BHATIA AND BHATI DES:BiweeklyMo ID:GORGEOUS SPRING INDN:KRAY PC CO ID:263503360 PPD PMT INFO:PAYROLL CHECK PROC. FEES APRIL 17, 2024</t>
  </si>
  <si>
    <t>AMZN Mktp US*4157R5373 04/23 PURCHASE Amzn.com/bill WA DEBIT CARD *1171</t>
  </si>
  <si>
    <t>NOBLE DENTAL SUPPLIES 04/24 PURCHASE 012-345-6789 NY DEBIT CARD *1171</t>
  </si>
  <si>
    <t>Check 107</t>
  </si>
  <si>
    <t>Indeed 91679227 04/25 PURCHASE 800-4625842 TX DEBIT CARD *1171</t>
  </si>
  <si>
    <t>COMM OF MASS DES:HCCLAIMPMT ID:VC0000968599 INDN:KRAY PC CO ID:A046002284 CCD PMT INFO:TRN*1*0000117I4006949*1046002284*1058654 18\</t>
  </si>
  <si>
    <t>REPUBLIC SERVICES TRASH 04/26 PURCHASE 866-576-5548 AZ DEBIT CARD *1171</t>
  </si>
  <si>
    <t>JAZZ IMAGING 04/26 PURCHASE 800-555-5299 CA DEBIT CARD *1171</t>
  </si>
  <si>
    <t>Amazon Prime*RL3D54OM3 04/26 PURCHASE Amzn.com/bill WA DEBIT CARD *1171</t>
  </si>
  <si>
    <t>Check 181</t>
  </si>
  <si>
    <t>NOBLE DENTAL SUPPLIES 04/29 PURCHASE 012-345-6789 NY DEBIT CARD *1171</t>
  </si>
  <si>
    <t>TRANSFER KRAY PC:Northgate Center, LL Confirmation# 0156523902</t>
  </si>
  <si>
    <t>HRTLAND PMT SYS DES:TXNS/FEES ID:650000013016038 INDN:GORGEOUS SMILES DENTAL CO ID:WFBEHPS001 CCD</t>
  </si>
  <si>
    <t>BKOFAMERICA BC 05/02 #000003936 FR CHKG 900 Enfield St Enfield CT</t>
  </si>
  <si>
    <t>LIBERTY MUTUAL 04/30 PURCHASE 866-290-2920 NH DEBIT CARD *1171</t>
  </si>
  <si>
    <t>Liberty Mutual Insuranc 05/01 PURCHASE Boston MA DEBIT CARD *1171</t>
  </si>
  <si>
    <t>Indeed 92144944 05/01 PURCHASE 800-4625842 TX DEBIT CARD *1171</t>
  </si>
  <si>
    <t>GOOGLE *GSUITE_ngfamil 05/01 PURCHASE cc@google.com CA DEBIT CARD *1171</t>
  </si>
  <si>
    <t>AUTHNET GATEWAY DES:BILLING ID:136293871 INDN:GORGEOUS SMILES DENTAL CO ID:1870568569 CCD</t>
  </si>
  <si>
    <t>External transfer fee - 3 Day - 05/01/2024 Confirmation: 489841864</t>
  </si>
  <si>
    <t>PAYCHEX INC. DES:PAYROLL ID:07272300009421X INDN:KRAY PC CO ID:1161124166 CCD</t>
  </si>
  <si>
    <t>PAYCHEX TPS DES:TAXES ID:07272900009266X INDN:KRAY PC CO ID:1161124166 CCD</t>
  </si>
  <si>
    <t>PAYCHEX-HRS DES:401(K) ID:0000044534834 INDN:KRAY PC CO ID:9540920001 CCD</t>
  </si>
  <si>
    <t>COMM OF MASS DES:HCCLAIMPMT ID:VC0000968599 INDN:KRAY PC CO ID:A046002284 CCD PMT INFO:TRN*1*0000124I4008555*1046002284*1058721 14\</t>
  </si>
  <si>
    <t>8X8, INC. 05/02 PURCHASE 888-898-8733 CA DEBIT CARD *1171</t>
  </si>
  <si>
    <t>READYREFRESH/WATERSERV 05/02 PURCHASE 800-274-5282 CA DEBIT CARD *1171</t>
  </si>
  <si>
    <t>NOBLE DENTAL SUPPLIES 05/03 PURCHASE 012-345-6789 NY DEBIT CARD *1171</t>
  </si>
  <si>
    <t>VYNE DENTAL 05/03 PURCHASE 800-7825150 GA DEBIT CARD *1171</t>
  </si>
  <si>
    <t>BKOFAMERICA BC 05/06 #000005176 TO CHKG 354 Middle Tpke W Manchester CT</t>
  </si>
  <si>
    <t>Heartland Paymen DES:EDI PYMNTS ID:3233257 INDN:GORGEOUS SMILES DENTAL CO ID:1223755714 CCD PMT INFO:RMR*IV*CCO650000013016038Customer Acc\</t>
  </si>
  <si>
    <t>BHATIA AND BHATI DES:BiweeklyMo ID:GORGEOUS SPRING INDN:KRAY PC CO ID:263503360 PPD PMT INFO:PAYROLL CHECK PROC. FEES MAY 2, 2024</t>
  </si>
  <si>
    <t>ADT SECURITY*404889768 05/07 PURCHASE WWW.ADT.COM FL DEBIT CARD *1171</t>
  </si>
  <si>
    <t>AMZN Mktp US*Q21ZH5613 05/08 PURCHASE Amzn.com/bill WA DEBIT CARD *1171</t>
  </si>
  <si>
    <t>AMZN Mktp US*R18371O90 05/08 PURCHASE Amzn.com/bill WA DEBIT CARD *1171</t>
  </si>
  <si>
    <t>PAYCHEX-HRS DES:HRS PMT ID:45783373 INDN:KRAY PC CO ID:2555124166 CCD</t>
  </si>
  <si>
    <t>COMM OF MASS DES:HCCLAIMPMT ID:VC0000968599 INDN:KRAY PC CO ID:A046002284 CCD PMT INFO:TRN*1*0000131I4004813*1046002284*1058789 40\</t>
  </si>
  <si>
    <t>VISTAPRINT 05/10 PURCHASE 866-207-4955 MA DEBIT CARD *1171</t>
  </si>
  <si>
    <t>BKOFAMERICA BC 05/15 #000001033 FR CHKG 243 Hartford Tpke Vernon CT</t>
  </si>
  <si>
    <t>BKOFAMERICA BC 05/15 #000001037 FR CHKG 243 Hartford Tpke Vernon CT</t>
  </si>
  <si>
    <t>AMZN Mktp US*5K9QW0KI3 05/14 PURCHASE Amzn.com/bill WA DEBIT CARD *1171</t>
  </si>
  <si>
    <t>BKOFAMERICA MOBILE 05/17 3717387243 DEPOSIT *MOBILE MA</t>
  </si>
  <si>
    <t>AMAZON RET* 114-609620 05/15 PURCHASE WWW.AMAZON.CO WA DEBIT CARD *1171</t>
  </si>
  <si>
    <t>PAYCHEX INC. DES:PAYROLL ID:07442500002252X INDN:KRAY PC CO ID:1161124166 CCD</t>
  </si>
  <si>
    <t>PAYCHEX TPS DES:TAXES ID:07440200010749X INDN:KRAY PC CO ID:1161124166 CCD</t>
  </si>
  <si>
    <t>EVERSOURCE DES:WEB_PAY ID:46081145051624 INDN:RAYMOND BELISLE CO ID:4120181050 CCD</t>
  </si>
  <si>
    <t>PAYCHEX-HRS DES:401(K) ID:0000044660174 INDN:KRAY PC CO ID:9540920001 CCD</t>
  </si>
  <si>
    <t>COMM OF MASS DES:HCCLAIMPMT ID:VC0000968599 INDN:KRAY PC CO ID:A046002284 CCD PMT INFO:TRN*1*0000138I4006223*1046002284*1058857 68\</t>
  </si>
  <si>
    <t>COMCAST CABLE COMM 05/18 PURCHASE 800-COMCAST NH DEBIT CARD *1171</t>
  </si>
  <si>
    <t>BHATIA AND BHATI DES:BiweeklyMo ID:GORGEOUS SPRING INDN:KRAY PC CO ID:263503360 PPD PMT INFO:PAYROLL CHECK PROC. FEES MAY 16, 2024</t>
  </si>
  <si>
    <t>AMAZON.COM*P66UM06M3 05/21 PURCHASE SEATTLE WA DEBIT CARD *1171</t>
  </si>
  <si>
    <t>AMAZON RET* 113-860873 05/23 REFUND WWW.AMAZON.CO WA DEBIT CARD *1171</t>
  </si>
  <si>
    <t>Check 106</t>
  </si>
  <si>
    <t>COMM OF MASS DES:HCCLAIMPMT ID:VC0000968599 INDN:KRAY PC CO ID:A046002284 CCD PMT INFO:TRN*1*0000145I4003621*1046002284*1058926 77\</t>
  </si>
  <si>
    <t>Staples Inc 05/22 PURCHASE staples.com MA DEBIT CARD *1171</t>
  </si>
  <si>
    <t>AMAZON.COM*CK6L102B3 05/23 PURCHASE SEATTLE WA DEBIT CARD *1171</t>
  </si>
  <si>
    <t>NOBLE DENTAL SUPPLIES 05/24 PURCHASE 012-345-6789 NY DEBIT CARD *1171</t>
  </si>
  <si>
    <t>BENCO DENTAL CO 05/24 PURCHASE 800-462-3626 PA DEBIT CARD *1171</t>
  </si>
  <si>
    <t>Indeed 92934370 05/26 PURCHASE 800-4625842 TX DEBIT CARD *1171</t>
  </si>
  <si>
    <t>JAZZ IMAGING 05/26 PURCHASE 800-555-5299 CA DEBIT CARD *1171</t>
  </si>
  <si>
    <t>Amazon Prime*M83XF72N3 05/26 PURCHASE Amzn.com/bill WA DEBIT CARD *1171</t>
  </si>
  <si>
    <t>REALISTICDNTLCREATIONS 05/28 PURCHASE 413-7851866 MA DEBIT CARD *1171</t>
  </si>
  <si>
    <t>BKOFAMERICA BC 05/30 #000006610 FR CHKG 243 Hartford Tpke Vernon CT</t>
  </si>
  <si>
    <t>BENCO DENTAL CO 05/30 PURCHASE 800-462-3626 PA DEBIT CARD *1171</t>
  </si>
  <si>
    <t>PAYCHEX INC. DES:PAYROLL ID:07598900014942X INDN:KRAY PC CO ID:1161124166 CCD</t>
  </si>
  <si>
    <t>PAYCHEX TPS DES:TAXES ID:07601400012069X INDN:KRAY PC CO ID:1161124166 CCD</t>
  </si>
  <si>
    <t>PAYCHEX-HRS DES:401(K) ID:0000044782749 INDN:KRAY PC CO ID:9540920001 CCD</t>
  </si>
  <si>
    <t>AMZN Mktp US*3O1LF3FZ3 05/30 PURCHASE Amzn.com/bill WA DEBIT CARD *1171</t>
  </si>
  <si>
    <t>GOOGLE GSUITE_ngfamily 06/01 PURCHASE 650-2530000 CA DEBIT CARD *1171</t>
  </si>
  <si>
    <t>Indeed 93450677 06/01 PURCHASE 800-4625842 TX DEBIT CARD *1171</t>
  </si>
  <si>
    <t>TRANSFER KRAY PC:Northgate Center, LL Confirmation# 1541773849</t>
  </si>
  <si>
    <t>BHATIA AND BHATI DES:BiweeklyMo ID:GORGEOUS SPRING INDN:KRAY PC CO ID:263503360 PPD PMT INFO:PAYROLL CHECK PROC. FEES MAY 30, 2024</t>
  </si>
  <si>
    <t>AMZN Mktp US*2F3WU12L3 05/31 PURCHASE Amzn.com/bill WA DEBIT CARD *1171</t>
  </si>
  <si>
    <t>8X8, INC. 06/02 PURCHASE 888-898-8733 CA DEBIT CARD *1171</t>
  </si>
  <si>
    <t>Liberty Mutual Insuranc 06/03 PURCHASE Boston MA DEBIT CARD *1171</t>
  </si>
  <si>
    <t>AUTHNET GATEWAY DES:BILLING ID:136488644 INDN:GORGEOUS SMILES DENTAL CO ID:1870568569 CCD</t>
  </si>
  <si>
    <t>External transfer fee - 3 Day - 06/03/2024 Confirmation: 494885066</t>
  </si>
  <si>
    <t>READYREFRESH/WATERSERV 06/04 PURCHASE 800-274-5282 CA DEBIT CARD *1171</t>
  </si>
  <si>
    <t>VYNE DENTAL 06/05 PURCHASE 800-7825150 GA DEBIT CARD *1171</t>
  </si>
  <si>
    <t>COMM OF MASS DES:HCCLAIMPMT ID:VC0000968599 INDN:KRAY PC CO ID:A046002284 CCD PMT INFO:TRN*1*0000159I4018461*1046002284*1059064 38\</t>
  </si>
  <si>
    <t>ADT SECURITY*404889768 06/07 PURCHASE WWW.ADT.COM FL DEBIT CARD *1171</t>
  </si>
  <si>
    <t>AMZN Mktp US*725DL1VT3 06/07 PURCHASE Amzn.com/bill WA DEBIT CARD *1171</t>
  </si>
  <si>
    <t>Staples Inc 06/10 PURCHASE staples.com MA DEBIT CARD *1171</t>
  </si>
  <si>
    <t>Check 182</t>
  </si>
  <si>
    <t>Check 183</t>
  </si>
  <si>
    <t>PAYCHEX INC. DES:PAYROLL ID:07751700021672X INDN:KRAY PC CO ID:1161124166 CCD</t>
  </si>
  <si>
    <t>PAYCHEX TPS DES:TAXES ID:07752400024908X INDN:KRAY PC CO ID:1161124166 CCD</t>
  </si>
  <si>
    <t>NOBLE DENTAL SUPPLIES 06/13 PURCHASE 012-345-6789 NY DEBIT CARD *1171</t>
  </si>
  <si>
    <t>PAYCHEX-HRS DES:HRS PMT ID:45994892 INDN:KRAY PC CO ID:2555124166 CCD</t>
  </si>
  <si>
    <t>PAYCHEX-HRS DES:401(K) ID:0000044900557 INDN:KRAY PC CO ID:9540920001 CCD</t>
  </si>
  <si>
    <t>BHATIA AND BHATI DES:BiweeklyMo ID:GORGEOUS SPRING INDN:KRAY PC CO ID:263503360 PPD PMT INFO:PAYROLL CHECK PROC. FEES JUNE 12, 2024</t>
  </si>
  <si>
    <t>COMM OF MASS DES:HCCLAIMPMT ID:VC0000968599 INDN:KRAY PC CO ID:A046002284 CCD PMT INFO:TRN*1*0000166I4003111*1046002284*1059137 32\</t>
  </si>
  <si>
    <t>AMAZON MKTPL*GO9SO68V3 06/13 PURCHASE Amzn.com/bill WA DEBIT CARD *1171</t>
  </si>
  <si>
    <t>Google ADS6512412543 06/14 PURCHASE 650-2530000 CA DEBIT CARD *1171</t>
  </si>
  <si>
    <t>EVERSOURCE DES:WEB_PAY ID:49520764061424 INDN:RAYMOND BELISLE CO ID:4120181050 CCD</t>
  </si>
  <si>
    <t>NOBLE DENTAL SUPPLIES 06/17 PURCHASE 012-345-6789 NY DEBIT CARD *1171</t>
  </si>
  <si>
    <t>Heartland Paymen DES:EDI PYMNTS ID:3312283 INDN:GORGEOUS SMILES DENTAL CO ID:1223755714 CCD PMT INFO:RMR*IV*CCO650000013016038Customer Acc\</t>
  </si>
  <si>
    <t>BKOFAMERICA ATM 06/19 #000005406 DEPOSIT VERNON CIRCLE VERNON CT CKCD 4135715006731171</t>
  </si>
  <si>
    <t>COMCAST CABLE COMM 06/18 PURCHASE 800-COMCAST NH DEBIT CARD *1171</t>
  </si>
  <si>
    <t>NOBLE DENTAL SUPPLIES 06/19 PURCHASE 012-345-6789 NY DEBIT CARD *1171</t>
  </si>
  <si>
    <t>MIDWEST DENTAL ARTS 06/19 PURCHASE 319-8574030 IA DEBIT CARD *1171</t>
  </si>
  <si>
    <t>COMM OF MASS DES:HCCLAIMPMT ID:VC0000968599 INDN:KRAY PC CO ID:A046002284 CCD PMT INFO:TRN*1*0000173I4007025*1046002284*1059208 93\</t>
  </si>
  <si>
    <t>Google ADS6512412543 06/21 PURCHASE 650-2530000 CA DEBIT CARD *1171</t>
  </si>
  <si>
    <t>Indeed 94173067 06/25 PURCHASE 800-4625842 TX DEBIT CARD *1171</t>
  </si>
  <si>
    <t>NOBLE DENTAL SUPPLIES 06/25 PURCHASE 012-345-6789 NY DEBIT CARD *1171</t>
  </si>
  <si>
    <t>SQ *DESIGN DENTAL LAB 06/26 PURCHASE Suffield CT DEBIT CARD *1171</t>
  </si>
  <si>
    <t>REALISTICDNTLCREATIONS 06/26 PURCHASE 413-7851866 MA DEBIT CARD *1171</t>
  </si>
  <si>
    <t>REPUBLIC SERVICES TRASH 06/26 PURCHASE 866-576-5548 AZ DEBIT CARD *1171</t>
  </si>
  <si>
    <t>Amazon Prime*RC3545LI1 06/26 PURCHASE Amzn.com/bill WA DEBIT CARD *1171</t>
  </si>
  <si>
    <t>PAYCHEX INC. DES:PAYROLL ID:07910000000532X INDN:KRAY PC CO ID:1161124166 CCD</t>
  </si>
  <si>
    <t>PAYCHEX TPS DES:TAXES ID:07909700026168X INDN:KRAY PC CO ID:1161124166 CCD</t>
  </si>
  <si>
    <t>BHATIA AND BHATI DES:BiweeklyMo ID:GORGEOUS SPRING INDN:KRAY PC CO ID:263503360 PPD PMT INFO:PAYROLL CHECK PROC FEES JUNE 25, 2024</t>
  </si>
  <si>
    <t>Staples Inc 06/25 PURCHASE staples.com MA DEBIT CARD *1171</t>
  </si>
  <si>
    <t>JAZZ IMAGING 06/26 PURCHASE 800-555-5299 CA DEBIT CARD *1171</t>
  </si>
  <si>
    <t>BTS*PattersonDental 06/27 PURCHASE 800-3285536 MN DEBIT CARD *1171</t>
  </si>
  <si>
    <t>NOBLE DENTAL SUPPLIES 06/27 PURCHASE 012-345-6789 NY DEBIT CARD *1171</t>
  </si>
  <si>
    <t>PAYCHEX INC. DES:PAYROLL ID:07942000045066X INDN:KRAY PC CO ID:1161124166 CCD</t>
  </si>
  <si>
    <t>PAYCHEX-HRS DES:401(K) ID:0000045028292 INDN:KRAY PC CO ID:9540920001 CCD</t>
  </si>
  <si>
    <t>COMM OF MASS DES:HCCLAIMPMT ID:VC0000968599 INDN:KRAY PC CO ID:A046002284 CCD PMT INFO:TRN*1*0000180I4002785*1046002284*1059281 61\</t>
  </si>
  <si>
    <t>Staples Inc 06/26 PURCHASE staples.com MA DEBIT CARD *1171</t>
  </si>
  <si>
    <t>Staples Inc 06/27 PURCHASE staples.com MA DEBIT CARD *1171</t>
  </si>
  <si>
    <t>TRANSFER KRAY PC:Northgate Center, LL Confirmation# 3083821163</t>
  </si>
  <si>
    <t>PAYCHEX TPS DES:TAXES ID:07945400005631X INDN:KRAY PC CO ID:1161124166 CCD</t>
  </si>
  <si>
    <t>PAYCHEX-HRS DES:401(K) ID:0000045048196 INDN:KRAY PC CO ID:9540920001 CCD</t>
  </si>
  <si>
    <t>Indeed 94385736 07/01 PURCHASE 800-4625842 TX DEBIT CARD *1171</t>
  </si>
  <si>
    <t>Liberty Mutual Insuranc 07/01 PURCHASE Boston MA DEBIT CARD *1171</t>
  </si>
  <si>
    <t>Google LLC GSUITE_ngfam 07/01 PURCHASE 650-2530000 CA DEBIT CARD *1171</t>
  </si>
  <si>
    <t>Google ADS6512412543 07/01 PURCHASE 650-2530000 CA DEBIT CARD *1171</t>
  </si>
  <si>
    <t>BHATIA AND BHATI DES:BiweeklyMo ID:GORGEOUS SPRING INDN:KRAY PC CO ID:263503360 PPD PMT INFO:PAYROLL CHECK PROC. FEES JUNE 28, 2024</t>
  </si>
  <si>
    <t>AUTHNET GATEWAY DES:BILLING ID:137054874 INDN:GORGEOUS SMILES DENTAL CO ID:1870568569 CCD</t>
  </si>
  <si>
    <t>External transfer fee - 3 Day - 07/01/2024 Confirmation: 499317022</t>
  </si>
  <si>
    <t>8X8, INC. 07/02 PURCHASE 888-898-8733 CA DEBIT CARD *1171</t>
  </si>
  <si>
    <t>READYREFRESH/WATERSERV 07/02 PURCHASE 800-274-5282 CA DEBIT CARD *1171</t>
  </si>
  <si>
    <t>COMM OF MASS DES:HCCLAIMPMT ID:VC0000968599 INDN:KRAY PC CO ID:A046002284 CCD PMT INFO:TRN*1*0000186I4000577*1046002284*1059353 42\</t>
  </si>
  <si>
    <t>BENCO DENTAL CO 07/05 PURCHASE 800-462-3626 PA DEBIT CARD *1171</t>
  </si>
  <si>
    <t>ADT SECURITY*404889768 07/07 PURCHASE WWW.ADT.COM FL DEBIT CARD *1171</t>
  </si>
  <si>
    <t>Google ADS6512412543 07/08 PURCHASE 650-2530000 CA DEBIT CARD *1171</t>
  </si>
  <si>
    <t>NOBLE DENTAL SUPPLIES 07/08 PURCHASE 012-345-6789 NY DEBIT CARD *1171</t>
  </si>
  <si>
    <t>VYNE DENTAL 07/08 PURCHASE 800-7825150 GA DEBIT CARD *1171</t>
  </si>
  <si>
    <t>PAYCHEX INC. DES:PAYROLL ID:08090600027052X INDN:KRAY PC CO ID:1161124166 CCD</t>
  </si>
  <si>
    <t>PAYCHEX TPS DES:TAXES ID:08090800014934X INDN:KRAY PC CO ID:1161124166 CCD</t>
  </si>
  <si>
    <t>PAYCHEX-HRS DES:HRS PMT ID:46226012 INDN:KRAY PC CO ID:2555124166 CCD</t>
  </si>
  <si>
    <t>PAYCHEX-HRS DES:401(K) ID:0000045167040 INDN:KRAY PC CO ID:9540920001 CCD</t>
  </si>
  <si>
    <t>COMM OF MASS DES:HCCLAIMPMT ID:VC0000968599 INDN:KRAY PC CO ID:A046002284 CCD PMT INFO:TRN*1*0000194I4004403*1046002284*1059425 25\</t>
  </si>
  <si>
    <t>Google ADS6512412543 07/12 PURCHASE 650-2530000 CA DEBIT CARD *1171</t>
  </si>
  <si>
    <t>AMAZON MKTPL*RY4IQ6941 07/12 PURCHASE Amzn.com/bill WA DEBIT CARD *1171</t>
  </si>
  <si>
    <t>BHATIA AND BHATI DES:BiweeklyMo ID:GORGEOUS SPRING INDN:KRAY PC CO ID:263503360 PPD PMT INFO:PAYROLL CHECK PROC. FEES JULY 11, 2024</t>
  </si>
  <si>
    <t>SQ *DESIGN DENTAL LAB 07/15 PURCHASE Suffield CT DEBIT CARD *1171</t>
  </si>
  <si>
    <t>THE HANOVER INSU CE G 07/15 PURCHASE 517-546-2160 MA DEBIT CARD *1171</t>
  </si>
  <si>
    <t>Check 109</t>
  </si>
  <si>
    <t>Heartland Paymen DES:EDI PYMNTS ID:3351863 INDN:GORGEOUS SMILES DENTAL CO ID:1223755714 CCD PMT INFO:RMR*IV*CCO650000013016038Customer Acc\</t>
  </si>
  <si>
    <t>NET32* RIVER DENTAL SU 07/17 PURCHASE HTTPSWWW.NET3 NC DEBIT CARD *1171</t>
  </si>
  <si>
    <t>THE HANOVER INSU CE G 07/17 PURCHASE 517-546-2160 MA DEBIT CARD *1171</t>
  </si>
  <si>
    <t>STAPLES 0006 07/18 PURCHASE W SPRINGFIELD MA DEBIT CARD *1171</t>
  </si>
  <si>
    <t>EVERSOURCE DES:WEB_PAY ID:53430836071824 INDN:RAYMOND BELISLE CO ID:4120181050 CCD</t>
  </si>
  <si>
    <t>COMM OF MASS DES:HCCLAIMPMT ID:VC0000968599 INDN:KRAY PC CO ID:A046002284 CCD PMT INFO:TRN*1*0000201I4003773*1046002284*1059497 73\</t>
  </si>
  <si>
    <t>COMCAST CABLE COMM 07/18 PURCHASE 800-COMCAST NH DEBIT CARD *1171</t>
  </si>
  <si>
    <t>AMZN Mktp US*RS22Z5WH2 07/19 PURCHASE Amzn.com/bill WA DEBIT CARD *1171</t>
  </si>
  <si>
    <t>Check 110</t>
  </si>
  <si>
    <t>Check 8111</t>
  </si>
  <si>
    <t>NOBLE DENTAL SUPPLIES 07/22 PURCHASE 012-345-6789 NY DEBIT CARD *1171</t>
  </si>
  <si>
    <t>AMAZON MKTPL*RJ8TW85K2 07/22 PURCHASE Amzn.com/bill WA DEBIT CARD *1171</t>
  </si>
  <si>
    <t>Check 112</t>
  </si>
  <si>
    <t>AMAZON MKTPL*RJ7MM7XF1 07/22 PURCHASE Amzn.com/bill WA DEBIT CARD *1171</t>
  </si>
  <si>
    <t>SWEDEN &amp; MARTINA INC. 07/23 PURCHASE 714-3714067 IL DEBIT CARD *1171</t>
  </si>
  <si>
    <t>AMAZON MKTPL*RJ3ZM1DC1 07/24 PURCHASE Amzn.com/bill WA DEBIT CARD *1171</t>
  </si>
  <si>
    <t>PAYCHEX INC. DES:PAYROLL ID:08239900024248X INDN:KRAY PC CO ID:1161124166 CCD</t>
  </si>
  <si>
    <t>PAYCHEX TPS DES:TAXES ID:08235800018092X INDN:KRAY PC CO ID:1161124166 CCD</t>
  </si>
  <si>
    <t>REPUBLIC SERVICES TRASH 07/25 PURCHASE 866-576-5548 AZ DEBIT CARD *1171</t>
  </si>
  <si>
    <t>HF ACQUISITION CO LLC 07/25 PURCHASE 800-331-1984 WA DEBIT CARD *1171</t>
  </si>
  <si>
    <t>BTS*PattersonDental 07/25 PURCHASE 800-3285536 MN DEBIT CARD *1171</t>
  </si>
  <si>
    <t>Indeed 95370381 07/25 PURCHASE 800-4625842 TX DEBIT CARD *1171</t>
  </si>
  <si>
    <t>PAYCHEX-HRS DES:401(K) ID:0000045277970 INDN:KRAY PC CO ID:9540920001 CCD</t>
  </si>
  <si>
    <t>BHATIA AND BHATI DES:BiweeklyMo ID:GORGEOUS SPRING INDN:KRAY PC CO ID:263503360 PPD PMT INFO:PAYROLL CHECK PROC. FEES JULY 24, 2024</t>
  </si>
  <si>
    <t>COMM OF MASS DES:HCCLAIMPMT ID:VC0000968599 INDN:KRAY PC CO ID:A046002284 CCD PMT INFO:TRN*1*0000208I4006965*1046002284*1059566 31\</t>
  </si>
  <si>
    <t>JAZZ IMAGING 07/26 PURCHASE 800-555-5299 CA DEBIT CARD *1171</t>
  </si>
  <si>
    <t>Amazon Prime*RV0WF1A22 07/26 PURCHASE Amzn.com/bill WA DEBIT CARD *1171</t>
  </si>
  <si>
    <t>AMAZON MKTPL*RV93P45C2 07/26 PURCHASE Amzn.com/bill WA DEBIT CARD *1171</t>
  </si>
  <si>
    <t>AMZN Mktp US*RV8KG0GA0 07/27 PURCHASE Amzn.com/bill WA DEBIT CARD *1171</t>
  </si>
  <si>
    <t>AMZN Mktp US*RV8OC7PW0 07/27 PURCHASE Amzn.com/bill WA DEBIT CARD *1171</t>
  </si>
  <si>
    <t>AMZN Mktp US*RV7LT8G10 07/27 PURCHASE Amzn.com/bill WA DEBIT CARD *1171</t>
  </si>
  <si>
    <t>AMAZON MARK* RV1WL8VB1 07/27 PURCHASE HTTPSAMAZON.C WA DEBIT CARD *1171</t>
  </si>
  <si>
    <t>NOBLE DENTAL SUPPLIES 07/29 PURCHASE 012-345-6789 NY DEBIT CARD *1171</t>
  </si>
  <si>
    <t>AMAZON MKTPL*RV46K0R82 07/29 PURCHASE Amzn.com/bill WA DEBIT CARD *1171</t>
  </si>
  <si>
    <t>IN *BIOSERV, INC- CONNE 07/30 PURCHASE 203-7585550 CT DEBIT CARD *1171</t>
  </si>
  <si>
    <t>AMAZON MKTPL*RV1TJ39Y0 07/30 PURCHASE Amzn.com/bill WA DEBIT CARD *1171</t>
  </si>
  <si>
    <t>TRANSFER KRAY PC:Northgate Center, LL Confirmation# 2751487641</t>
  </si>
  <si>
    <t>Liberty Mutual Insuranc 08/01 PURCHASE Boston MA DEBIT CARD *1171</t>
  </si>
  <si>
    <t>Indeed 95647573 08/01 PURCHASE 800-4625842 TX DEBIT CARD *1171</t>
  </si>
  <si>
    <t>GOOGLE GSUITE_ngfamily 08/01 PURCHASE 650-2530000 CA DEBIT CARD *1171</t>
  </si>
  <si>
    <t>Indeed 95844180 08/01 PURCHASE 800-4625842 TX DEBIT CARD *1171</t>
  </si>
  <si>
    <t>GOOGLE *ADS6512412543 08/01 PURCHASE cc@google.com CA DEBIT CARD *1171</t>
  </si>
  <si>
    <t>REALISTICDNTLCREATIONS 08/01 PURCHASE 413-7851866 MA DEBIT CARD *1171</t>
  </si>
  <si>
    <t>AUTHNET GATEWAY DES:BILLING ID:137194972 INDN:GORGEOUS SMILES DENTAL CO ID:1870568569 CCD</t>
  </si>
  <si>
    <t>External transfer fee - 3 Day - 08/01/2024 Confirmation: 504231380</t>
  </si>
  <si>
    <t>COMM OF MASS DES:HCCLAIMPMT ID:VC0000968599 INDN:KRAY PC CO ID:A046002284 CCD PMT INFO:TRN*1*0000215I4003131*1046002284*1059634 43\</t>
  </si>
  <si>
    <t>AMZN Mktp US*RV5807YM1 08/01 PURCHASE Amzn.com/bill WA DEBIT CARD *1171</t>
  </si>
  <si>
    <t>SQ *DESIGN DENTAL LAB 08/02 PURCHASE Rockland MA DEBIT CARD *1171</t>
  </si>
  <si>
    <t>NOBLE DENTAL SUPPLIES 08/02 PURCHASE 012-345-6789 NY DEBIT CARD *1171</t>
  </si>
  <si>
    <t>READYREFRESH/WATERSERV 08/02 PURCHASE 800-274-5282 CA DEBIT CARD *1171</t>
  </si>
  <si>
    <t>8X8, INC. 08/02 PURCHASE 888-898-8733 CA DEBIT CARD *1171</t>
  </si>
  <si>
    <t>eBayCommerce 08/06 PURCHASE San Jose CA DEBIT CARD *1171</t>
  </si>
  <si>
    <t>AMAZON MKTPL*RF82H2Q11 08/01 PURCHASE Amzn.com/bill WA DEBIT CARD *1171</t>
  </si>
  <si>
    <t>VYNE DENTAL 08/05 PURCHASE 800-7825150 GA DEBIT CARD *1171</t>
  </si>
  <si>
    <t>ADT SECURITY*404889768 08/07 PURCHASE WWW.ADT.COM FL DEBIT CARD *1171</t>
  </si>
  <si>
    <t>PAYCHEX INC. DES:PAYROLL ID:08406700027198X INDN:KRAY PC CO ID:1161124166 CCD</t>
  </si>
  <si>
    <t>PAYCHEX TPS DES:TAXES ID:08407200019270X INDN:KRAY PC CO ID:1161124166 CCD</t>
  </si>
  <si>
    <t>PAYCHEX INC. DES:PAYROLL ID:08421700027036X INDN:KRAY PC CO ID:1161124166 CCD</t>
  </si>
  <si>
    <t>Check 115</t>
  </si>
  <si>
    <t>PAYCHEX-HRS DES:401(K) ID:0000045408998 INDN:KRAY PC CO ID:9540920001 CCD</t>
  </si>
  <si>
    <t>BHATIA AND BHATI DES:BiweeklyMo ID:GORGEOUS SPRING INDN:KRAY PC CO ID:263503360 PPD PMT INFO:PAYROLL CHECK PROC. FEES AUG 7, 2024</t>
  </si>
  <si>
    <t>COMM OF MASS DES:HCCLAIMPMT ID:VC0000968599 INDN:KRAY PC CO ID:A046002284 CCD PMT INFO:TRN*1*0000222I4012779*1046002284*1059708 17\</t>
  </si>
  <si>
    <t>SWEDEN &amp; MARTINA INC. 08/09 PURCHASE 714-3714067 IL DEBIT CARD *1171</t>
  </si>
  <si>
    <t>BKOFAMERICA MOBILE 08/13 3647787463 DEPOSIT *MOBILE MA</t>
  </si>
  <si>
    <t>AMAZON MKTPL*RM4OS5QO0 08/09 PURCHASE Amzn.com/bill WA DEBIT CARD *1171</t>
  </si>
  <si>
    <t>NOBLE DENTAL SUPPLIES 08/14 PURCHASE 012-345-6789 NY DEBIT CARD *1171</t>
  </si>
  <si>
    <t>Cherry DES:Funding ID:884440 INDN:BankofAmerica CO ID:1822708163 PPD</t>
  </si>
  <si>
    <t>PAYCHEX-HRS DES:HRS PMT ID:46443102 INDN:KRAY PC CO ID:2555124166 CCD</t>
  </si>
  <si>
    <t>Heartland Paymen DES:EDI PYMNTS ID:3423755 INDN:GORGEOUS SMILES DENTAL CO ID:1223755714 CCD PMT INFO:RMR*IV*CCO650000013016038Customer Acc\</t>
  </si>
  <si>
    <t>COMM OF MASS DES:HCCLAIMPMT ID:VC0000968599 INDN:KRAY PC CO ID:A046002284 CCD PMT INFO:TRN*1*0000229I4011143*1046002284*1059781 62\</t>
  </si>
  <si>
    <t>AMAZON RETA* RU5PN6ED1 08/15 PURCHASE WWW.AMAZON.CO WA DEBIT CARD *1171</t>
  </si>
  <si>
    <t>AMZN Mktp US*RU0UA75O2 08/15 PURCHASE Amzn.com/bill WA DEBIT CARD *1171</t>
  </si>
  <si>
    <t>AMAZON MKTPL*RU76C2J50 08/15 PURCHASE Amzn.com/bill WA DEBIT CARD *1171</t>
  </si>
  <si>
    <t>VYNE DENTAL 08/15 PURCHASE 800-7825150 GA DEBIT CARD *1171</t>
  </si>
  <si>
    <t>COMCAST CABLE COMM 08/18 PURCHASE 800-COMCAST NH DEBIT CARD *1171</t>
  </si>
  <si>
    <t>Check 116</t>
  </si>
  <si>
    <t>EVERSOURCE DES:WEB_PAY ID:57257940081924 INDN:RAYMOND BELISLE CO ID:4120181050 CCD</t>
  </si>
  <si>
    <t>AMAZON MKTPL*R46P94CU1 08/20 PURCHASE Amzn.com/bill WA DEBIT CARD *1171</t>
  </si>
  <si>
    <t>BKOFAMERICA BC 08/22 #000003498 TO CHKG 243 Hartford Tpke Vernon CT</t>
  </si>
  <si>
    <t>CARGUS INTERNATIONAL 08/22 PURCHASE 012-345-6789 NY DEBIT CARD *1171</t>
  </si>
  <si>
    <t>eBay O*13-11973-93423 08/22 PURCHASE 408-3766151 CA DEBIT CARD *1171</t>
  </si>
  <si>
    <t>PAYCHEX INC. DES:PAYROLL ID:08594800002089X INDN:KRAY PC CO ID:1161124166 CCD</t>
  </si>
  <si>
    <t>PAYCHEX TPS DES:TAXES ID:08592000007840X INDN:KRAY PC CO ID:1161124166 CCD</t>
  </si>
  <si>
    <t>PAYCHEX-HRS DES:401(K) ID:0000045544789 INDN:KRAY PC CO ID:9540920001 CCD</t>
  </si>
  <si>
    <t>COMM OF MASS DES:HCCLAIMPMT ID:VC0000968599 INDN:KRAY PC CO ID:A046002284 CCD PMT INFO:TRN*1*0000236I4001877*1046002284*1059853 25\</t>
  </si>
  <si>
    <t>REALISTICDNTLCREATIONS 08/23 PURCHASE 413-7851866 MA DEBIT CARD *1171</t>
  </si>
  <si>
    <t>BIANCA SIGNS PLUS LLC 08/23 PURCHASE 860-2238778 CT DEBIT CARD *1171</t>
  </si>
  <si>
    <t>BHATIA AND BHATI DES:BiweeklyMo ID:GORGEOUS SPRING INDN:KRAY PC CO ID:263503360 PPD PMT INFO:PAYROLL CHECK PROC. FEES AUG 22, 2024</t>
  </si>
  <si>
    <t>Indeed Jobs 08/26 PURCHASE 800-4625842 TX DEBIT CARD *1171</t>
  </si>
  <si>
    <t>REPUBLIC SERVICES TRASH 08/26 PURCHASE 866-576-5548 AZ DEBIT CARD *1171</t>
  </si>
  <si>
    <t>P&amp;G PROF ORAL HEALTH 08/26 PURCHASE 800-543-2577 OH DEBIT CARD *1171</t>
  </si>
  <si>
    <t>HF ACQUISITION CO LLC 08/26 PURCHASE 800-331-1984 WA DEBIT CARD *1171</t>
  </si>
  <si>
    <t>Amazon Prime*R456L4KA1 08/26 PURCHASE Amzn.com/bill WA DEBIT CARD *1171</t>
  </si>
  <si>
    <t>JAZZ IMAGING 08/26 PURCHASE 800-555-5299 CA DEBIT CARD *1171</t>
  </si>
  <si>
    <t>BTS*PattersonDental 08/27 PURCHASE 800-3285536 MN DEBIT CARD *1171</t>
  </si>
  <si>
    <t>AUTOZONE 5101 08/28 PURCHASE W SPRINGFIELD MA DEBIT CARD *1171</t>
  </si>
  <si>
    <t>USPS PO 247819 08/28 PURCHASE SPRINGFIELD MA DEBIT CARD *1171</t>
  </si>
  <si>
    <t>READYREFRESH/WATERSERV 08/27 PURCHASE 800-274-5282 CA DEBIT CARD *1171</t>
  </si>
  <si>
    <t>NOBLE DENTAL SUPPLIES 08/28 PURCHASE 012-345-6789 NY DEBIT CARD *1171</t>
  </si>
  <si>
    <t>AFFORDABLE DENTA DES:SALE ID: INDN:MOHAMMAD ABBAS KHAN CO ID:9215986202 CCD</t>
  </si>
  <si>
    <t>THE HOME DEPOT 08/30 PURCHASE ENFIELD CT DEBIT CARD *1171</t>
  </si>
  <si>
    <t>BKOFAMERICA ATM 09/03 #000005920 DEPOSIT WEST END HARTFORD CT CKCD 4135715006731171</t>
  </si>
  <si>
    <t>BKOFAMERICA MOBILE 09/03 3655874305 DEPOSIT *MOBILE MA</t>
  </si>
  <si>
    <t>THE HOME DEPOT 09/02 REFUND W SPRINGFIELD MA DEBIT CARD *1171</t>
  </si>
  <si>
    <t>AMAZON MKTPL*ZT5F89FE2 08/30 PURCHASE Amzn.com/bill WA DEBIT CARD *1171</t>
  </si>
  <si>
    <t>AMAZON MKTPL*RK36X8DG1 08/31 PURCHASE Amzn.com/bill WA DEBIT CARD *1171</t>
  </si>
  <si>
    <t>Indeed Jobs 09/01 PURCHASE 800-4625842 TX DEBIT CARD *1171</t>
  </si>
  <si>
    <t>GOOGLE *GSUITE_ngfamil 09/01 PURCHASE cc@google.com CA DEBIT CARD *1171</t>
  </si>
  <si>
    <t>Indeed Jobs 09/02 PURCHASE 800-4625842 TX DEBIT CARD *1171</t>
  </si>
  <si>
    <t>THE HOME DEPOT 09/02 PURCHASE MANCHESTER CT DEBIT CARD *1171</t>
  </si>
  <si>
    <t>THE HOME DEPOT 09/02 PURCHASE W SPRINGFIELD MA DEBIT CARD *1171</t>
  </si>
  <si>
    <t>TRANSFER KRAY PC:Northgate Center, LL Confirmation# 0136795266</t>
  </si>
  <si>
    <t>THE HOME DEPOT 09/03 PURCHASE BLOOMFIELD CT DEBIT CARD *1171</t>
  </si>
  <si>
    <t>AUTHNET GATEWAY DES:BILLING ID:137724272 INDN:GORGEOUS SMILES DENTAL CO ID:1870568569 CCD</t>
  </si>
  <si>
    <t>HRTLAND PMT SYS DES:Equipment ID:650000013016038 INDN:GORGEOUS SMILES DENTAL CO ID:9223755714 CCD</t>
  </si>
  <si>
    <t>AMAZON MKTPL*RK33L4YG1 08/31 PURCHASE Amzn.com/bill WA DEBIT CARD *1171</t>
  </si>
  <si>
    <t>8X8, INC. 09/02 PURCHASE 888-898-8733 CA DEBIT CARD *1171</t>
  </si>
  <si>
    <t>Liberty Mutual Insuranc 09/03 PURCHASE Boston MA DEBIT CARD *1171</t>
  </si>
  <si>
    <t>External transfer fee - 3 Day - 09/03/2024 Confirmation: 509329518</t>
  </si>
  <si>
    <t>TRANSFER KRAY PC:Northgate Center, LL Confirmation# 3953553077</t>
  </si>
  <si>
    <t>Check 120</t>
  </si>
  <si>
    <t>TACO BELL #033637 09/04 PURCHASE SPRINGFIELD MA DEBIT CARD *1171</t>
  </si>
  <si>
    <t>VYNE DENTAL 09/04 PURCHASE 800-7825150 GA DEBIT CARD *1171</t>
  </si>
  <si>
    <t>NOBLE DENTAL SUPPLIES 09/05 PURCHASE 012-345-6789 NY DEBIT CARD *1171</t>
  </si>
  <si>
    <t>Check 119</t>
  </si>
  <si>
    <t>PAYCHEX INC. DES:PAYROLL ID:08750100051986X INDN:KRAY PC CO ID:1161124166 CCD</t>
  </si>
  <si>
    <t>PAYCHEX TPS DES:TAXES ID:08753600008443X INDN:KRAY PC CO ID:1161124166 CCD</t>
  </si>
  <si>
    <t>PAYCHEX-HRS DES:401(K) ID:0000045675070 INDN:KRAY PC CO ID:9540920001 CCD</t>
  </si>
  <si>
    <t>BHATIA AND BHATI DES:BiweeklyMo ID:GORGEOUS SPRING INDN:KRAY PC CO ID:263503360 PPD PMT INFO:PAYROLL CHECK PROC. FEES SEP 3, 2024</t>
  </si>
  <si>
    <t>External transfer fee - 3 Day - 09/05/2024 Confirmation: 509821780</t>
  </si>
  <si>
    <t>COMM OF MASS DES:HCCLAIMPMT ID:VC0000968599 INDN:KRAY PC CO ID:A046002284 CCD PMT INFO:TRN*1*0000250I4001011*1046002284*1059996 84\</t>
  </si>
  <si>
    <t>AMZN Mktp US*ZT5GJ3U42 09/05 PURCHASE Amzn.com/bill WA DEBIT CARD *1171</t>
  </si>
  <si>
    <t>READYREFRESH/WATERSERV 09/06 PURCHASE 800-274-5282 CA DEBIT CARD *1171</t>
  </si>
  <si>
    <t>ADT SECURITY*404889768 09/07 PURCHASE WWW.ADT.COM FL DEBIT CARD *1171</t>
  </si>
  <si>
    <t>AMAZON MKTPL*ZT49H7U90 09/07 PURCHASE Amzn.com/bill WA DEBIT CARD *1171</t>
  </si>
  <si>
    <t>NOBLE DENTAL SUPPLIES 09/09 PURCHASE 012-345-6789 NY DEBIT CARD *1171</t>
  </si>
  <si>
    <t>SWEDEN &amp; MARTINA INC. 09/10 PURCHASE 714-3714067 IL DEBIT CARD *1171</t>
  </si>
  <si>
    <t>Staples Inc 09/10 PURCHASE staples.com MA DEBIT CARD *1171</t>
  </si>
  <si>
    <t>Staples Inc 09/12 PURCHASE staples.com MA DEBIT CARD *1171</t>
  </si>
  <si>
    <t>Check 184</t>
  </si>
  <si>
    <t>PAYCHEX-HRS DES:HRS PMT ID:46655851 INDN:KRAY PC CO ID:2555124166 CCD</t>
  </si>
  <si>
    <t>COMM OF MASS DES:HCCLAIMPMT ID:VC0000968599 INDN:KRAY PC CO ID:A046002284 CCD PMT INFO:TRN*1*0000257I4003401*1046002284*1060068 68\</t>
  </si>
  <si>
    <t>JAZZ IMAGING 09/12 PURCHASE 800-555-5299 CA DEBIT CARD *1171</t>
  </si>
  <si>
    <t>AMAZON RETA* EJ4FO3993 09/13 PURCHASE WWW.AMAZON.CO WA DEBIT CARD *1171</t>
  </si>
  <si>
    <t>Staples Inc 09/13 PURCHASE staples.com MA DEBIT CARD *1171</t>
  </si>
  <si>
    <t>AMAZON MKTPL*C29CQ6JA3 09/13 PURCHASE Amzn.com/bill WA DEBIT CARD *1171</t>
  </si>
  <si>
    <t>REPUBLIC SERVICES TRASH 09/14 PURCHASE HTTP://WWW.PH AZ DEBIT CARD *1171</t>
  </si>
  <si>
    <t>Check 122</t>
  </si>
  <si>
    <t>Heartland Paymen DES:EDI PYMNTS ID:3484781 INDN:GORGEOUS SMILES DENTAL CO ID:1223755714 CCD PMT INFO:RMR*IV*CCO650000013016038Customer Acc\</t>
  </si>
  <si>
    <t>NCOURT *MADHPL-License 09/17 PURCHASE 844-5073638 MA DEBIT CARD *1171</t>
  </si>
  <si>
    <t>AMAZON MKTPL*CZ45X2TV3 09/17 PURCHASE Amzn.com/bill WA DEBIT CARD *1171</t>
  </si>
  <si>
    <t>EVERSOURCE DES:WEB_PAY ID:60755896091724 INDN:RAYMOND BELISLE CO ID:4120181050 CCD</t>
  </si>
  <si>
    <t>COMM OF MASS EFT DES:MA DOR PAY ID:625107904 INDN:KRAY PC CO ID:4602285821 CCD</t>
  </si>
  <si>
    <t>Cherry DES:Funding ID:964861 INDN:BankofAmerica CO ID:1822708163 PPD</t>
  </si>
  <si>
    <t>AMAZON MKTPL*WU7A383A3 09/17 PURCHASE Amzn.com/bill WA DEBIT CARD *1171</t>
  </si>
  <si>
    <t>COMCAST CABLE COMM 09/18 PURCHASE 800-COMCAST NH DEBIT CARD *1171</t>
  </si>
  <si>
    <t>Online Banking Transfer Conf# ctbg43ypy; GORGEOUS SMILES DENTAL PC</t>
  </si>
  <si>
    <t>THE HOME DEPOT 09/20 REFUND MANCHESTER CT DEBIT CARD *1171</t>
  </si>
  <si>
    <t>Staples Inc 09/17 PURCHASE staples.com MA DEBIT CARD *1171</t>
  </si>
  <si>
    <t>PAYCHEX INC. DES:PAYROLL ID:08923200015186X INDN:KRAY PC CO ID:1161124166 CCD</t>
  </si>
  <si>
    <t>PAYCHEX TPS DES:TAXES ID:08921400002374X INDN:KRAY PC CO ID:1161124166 CCD</t>
  </si>
  <si>
    <t>PAYCHEX-HRS DES:401(K) ID:0000045795763 INDN:KRAY PC CO ID:9540920001 CCD</t>
  </si>
  <si>
    <t>BHATIA AND BHATI DES:BiweeklyMo ID:GORGEOUS SPRING INDN:KRAY PC CO ID:263503360 PPD PMT INFO:PAYROLL CHECK PROC. FEES SEP 18, 2024</t>
  </si>
  <si>
    <t>COMM OF MASS DES:HCCLAIMPMT ID:VC0000968599 INDN:KRAY PC CO ID:A046002284 CCD PMT INFO:TRN*1*0000264I4000905*1046002284*1060140 65\</t>
  </si>
  <si>
    <t>AMZN Mktp US*9O6AM09O3 09/20 PURCHASE Amzn.com/bill WA DEBIT CARD *1171</t>
  </si>
  <si>
    <t>AMAZON MKTPL*EM1ET0B83 09/20 PURCHASE Amzn.com/bill WA DEBIT CARD *1171</t>
  </si>
  <si>
    <t>BENCO DENTAL DES:COLLECTION ID:95507281 INDN: NORTHGATE DENTAL CO ID:1935349000 CCD</t>
  </si>
  <si>
    <t>USPS PO 083437 09/25 PURCHASE VERNON ROCKVI CT DEBIT CARD *1171</t>
  </si>
  <si>
    <t>AMAZON MKTPL*0W23A7093 09/24 PURCHASE Amzn.com/bill WA DEBIT CARD *1171</t>
  </si>
  <si>
    <t>REALISTICDNTLCREATIONS 09/25 PURCHASE 413-7851866 MA DEBIT CARD *1171</t>
  </si>
  <si>
    <t>Check 123</t>
  </si>
  <si>
    <t>Indeed Jobs 09/26 PURCHASE 800-4625842 TX DEBIT CARD *1171</t>
  </si>
  <si>
    <t>NOBLE DENTAL SUPPLIES 09/26 PURCHASE 012-345-6789 NY DEBIT CARD *1171</t>
  </si>
  <si>
    <t>SQ *DESIGN DENTAL LAB 09/26 PURCHASE Suffield CT DEBIT CARD *1171</t>
  </si>
  <si>
    <t>Amazon Prime*RE1H18123 09/26 PURCHASE Amzn.com/bill WA DEBIT CARD *1171</t>
  </si>
  <si>
    <t>PRECISION DENTAL BILL 09/26 PURCHASE WWW.PRECISION WI DEBIT CARD *1171</t>
  </si>
  <si>
    <t>Check 117</t>
  </si>
  <si>
    <t>COMM OF MASS DES:HCCLAIMPMT ID:VC0000968599 INDN:KRAY PC CO ID:A046002284 CCD PMT INFO:TRN*1*0000271I4009129*1046002284*1060211 35\</t>
  </si>
  <si>
    <t>JAZZ IMAGING 09/26 PURCHASE 800-555-5299 CA DEBIT CARD *1171</t>
  </si>
  <si>
    <t>AMZN Mktp US*VX8MS4E43 09/26 PURCHASE Amzn.com/bill WA DEBIT CARD *1171</t>
  </si>
  <si>
    <t>AMAZON MKTPL*JI0EZ76B3 09/26 PURCHASE Amzn.com/bill WA DEBIT CARD *1171</t>
  </si>
  <si>
    <t>BTS*NATIONALDENTEX 09/27 PURCHASE 833-299-0696 FL DEBIT CARD *1171</t>
  </si>
  <si>
    <t>CROSS IT CONSULTING 09/27 PURCHASE 508-7286548 MA DEBIT CARD *1171</t>
  </si>
  <si>
    <t>AMAZON RETA* A76L236M3 09/27 PURCHASE WWW.AMAZON.CO WA DEBIT CARD *1171</t>
  </si>
  <si>
    <t>AMAZON MKTPL*G50FD3WL3 09/29 PURCHASE Amzn.com/bill WA DEBIT CARD *1171</t>
  </si>
  <si>
    <t>NNT Liberty Mu 10/01 PURCHASE Boston MA DEBIT CARD *1171</t>
  </si>
  <si>
    <t>TRANSFER KRAY PC:Northgate Center, LL Confirmation# 1478521008</t>
  </si>
  <si>
    <t>GOOGLE GSUITE_ngfamily 10/01 PURCHASE 650-2530000 CA DEBIT CARD *1171</t>
  </si>
  <si>
    <t>Google ADS6512412543 10/01 PURCHASE 650-2530000 CA DEBIT CARD *1171</t>
  </si>
  <si>
    <t>LAW OFFICE OF. 10/02 PURCHASE LYNNFIELD MA DEBIT CARD *1171</t>
  </si>
  <si>
    <t>Check 187</t>
  </si>
  <si>
    <t>EVERSOURCE DES:WEB_PAY ID:62456142093024 INDN:RAYMOND BELISLE CO ID:4851292029 WEB</t>
  </si>
  <si>
    <t>AUTHNET GATEWAY DES:BILLING ID:137964559 INDN:GORGEOUS SMILES DENTAL CO ID:1870568569 CCD</t>
  </si>
  <si>
    <t>External transfer fee - 3 Day - 10/01/2024 Confirmation: 513868552</t>
  </si>
  <si>
    <t>Cherry DES:Funding ID:1003438 INDN:BankofAmerica CO ID:1822708163 PPD</t>
  </si>
  <si>
    <t>Cherry DES:Funding ID:1002848 INDN:BankofAmerica CO ID:1822708163 PPD</t>
  </si>
  <si>
    <t>CROSS IT CONSULTING 10/01 PURCHASE 508-7286548 MA DEBIT CARD *1171</t>
  </si>
  <si>
    <t>JAZZ IMAGING 10/01 PURCHASE 800-555-5299 CA DEBIT CARD *1171</t>
  </si>
  <si>
    <t>Indeed Jobs 10/02 PURCHASE 800-4625842 TX DEBIT CARD *1171</t>
  </si>
  <si>
    <t>LA FIORENTINA PASTRY SH 10/02 PURCHASE SPRINGFIELD MA DEBIT CARD *1171</t>
  </si>
  <si>
    <t>Staples Inc 10/02 PURCHASE staples.com MA DEBIT CARD *1171</t>
  </si>
  <si>
    <t>JAZZ IMAGING 10/02 PURCHASE 800-555-5299 CA DEBIT CARD *1171</t>
  </si>
  <si>
    <t>8X8, INC. 10/02 PURCHASE 888-898-8733 CA DEBIT CARD *1171</t>
  </si>
  <si>
    <t>PAYCHEX INC. DES:PAYROLL ID:09092300014559X INDN:KRAY PC CO ID:1161124166 CCD</t>
  </si>
  <si>
    <t>PAYCHEX TPS DES:TAXES ID:09092900008533X INDN:KRAY PC CO ID:1161124166 CCD</t>
  </si>
  <si>
    <t>PAYCHEX-HRS DES:401(K) ID:0000045935744 INDN:KRAY PC CO ID:9540920001 CCD</t>
  </si>
  <si>
    <t>BHATIA AND BHATI DES:BiweeklyMo ID:GORGEOUS SPRING INDN:KRAY PC CO ID:263503360 PPD PMT INFO:PAYROLL CHECK PROC. FEES OCT 2, 2024</t>
  </si>
  <si>
    <t>COMM OF MASS DES:HCCLAIMPMT ID:VC0000968599 INDN:KRAY PC CO ID:A046002284 CCD PMT INFO:TRN*1*0000278I4004981*1046002284*1060282 64\</t>
  </si>
  <si>
    <t>Staples Inc 10/04 PURCHASE staples.com MA DEBIT CARD *1171</t>
  </si>
  <si>
    <t>AMZN Mktp US*2B3CW3TL3 10/04 PURCHASE Amzn.com/bill WA DEBIT CARD *1171</t>
  </si>
  <si>
    <t>ADT SECURITY*404889768 10/07 PURCHASE WWW.ADT.COM FL DEBIT CARD *1171</t>
  </si>
  <si>
    <t>NOBLE DENTAL SUPPLIES 10/07 PURCHASE 012-345-6789 NY DEBIT CARD *1171</t>
  </si>
  <si>
    <t>JAZZ IMAGING 10/07 REFUND 800-555-5299 CA DEBIT CARD *1171</t>
  </si>
  <si>
    <t>AMAZON MKTPLACE PMTS 10/08 REFUND Amzn.com/bill WA DEBIT CARD *1171</t>
  </si>
  <si>
    <t>AMAZON MKTPL*DG7XT0X33 10/05 PURCHASE Amzn.com/bill WA DEBIT CARD *1171</t>
  </si>
  <si>
    <t>PRECISION DENTAL BILL 10/08 PURCHASE WWW.PRECISION WI DEBIT CARD *1171</t>
  </si>
  <si>
    <t>AMAZON MKTPL*VK30U4QR3 10/08 PURCHASE Amzn.com/bill WA DEBIT CARD *1171</t>
  </si>
  <si>
    <t>AMZN Mktp US*VY95H5GT3 10/08 PURCHASE Amzn.com/bill WA DEBIT CARD *1171</t>
  </si>
  <si>
    <t>READYREFRESH/WATERSERV 10/08 PURCHASE 800-274-5282 CA DEBIT CARD *1171</t>
  </si>
  <si>
    <t>Staples Inc 10/08 PURCHASE staples.com MA DEBIT CARD *1171</t>
  </si>
  <si>
    <t>PAYCHEX-HRS DES:HRS PMT ID:46889525 INDN:KRAY PC CO ID:2555124166 CCD</t>
  </si>
  <si>
    <t>COMM OF MASS DES:HCCLAIMPMT ID:VC0000968599 INDN:KRAY PC CO ID:A046002284 CCD PMT INFO:TRN*1*0000285I4002977*1046002284*1060355 29\</t>
  </si>
  <si>
    <t>SWEDEN &amp; MARTINA INC. 10/10 PURCHASE 714-3714067 IL DEBIT CARD *1171</t>
  </si>
  <si>
    <t>AMAZON MARK* 8B5PR76J3 10/11 PURCHASE HTTPSAMAZON.C WA DEBIT CARD *1171</t>
  </si>
  <si>
    <t>Zelle payment to Ernil Hako for Test payment for Ernil's Invoice for KRAY taxes"; Conf# r6gfeaem6"</t>
  </si>
  <si>
    <t>Zelle payment to Ernil Hako for 2 trances of USD 100 - one is executed</t>
  </si>
  <si>
    <t xml:space="preserve"> and one"; Conf# jmt70tx5c"</t>
  </si>
  <si>
    <t>Zelle payment to Ernil Hako for taxes 2023: trance:USD 100. total: 1743.75"; Conf# kqxg2apxi"</t>
  </si>
  <si>
    <t>AMAZON MKTPL*9C6BT97T3 10/13 PURCHASE Amzn.com/bill WA DEBIT CARD *1171</t>
  </si>
  <si>
    <t>REPUBLIC SERVICES TRASH 10/15 PURCHASE HTTP://WWW.PH AZ DEBIT CARD *1171</t>
  </si>
  <si>
    <t>Check 188</t>
  </si>
  <si>
    <t>Heartland Paymen DES:EDI PYMNTS ID:3535424 INDN:GORGEOUS SMILES DENTAL CO ID:1223755714 CCD PMT INFO:RMR*IV*CCO650000013016038Customer Acc\</t>
  </si>
  <si>
    <t>AMAZON MKTPL*AP7BG4OV3 10/15 PURCHASE Amzn.com/bill WA DEBIT CARD *1171</t>
  </si>
  <si>
    <t>AMZN Mktp US*ZZ8CE14H1 10/15 PURCHASE Amzn.com/bill WA DEBIT CARD *1171</t>
  </si>
  <si>
    <t>AMAZON MKTPL*O70569L83 10/17 PURCHASE Amzn.com/bill WA DEBIT CARD *1171</t>
  </si>
  <si>
    <t>PAYCHEX INC. DES:PAYROLL ID:09256000031726X INDN:KRAY PC CO ID:1161124166 CCD</t>
  </si>
  <si>
    <t>PAYCHEX TPS DES:TAXES ID:09257500008805X INDN:KRAY PC CO ID:1161124166 CCD</t>
  </si>
  <si>
    <t>EVERSOURCE DES:WEB_PAY ID:64541127101724 INDN:RAYMOND BELISLE CO ID:4120181050 CCD</t>
  </si>
  <si>
    <t>PAYCHEX-HRS DES:401(K) ID:0000046062577 INDN:KRAY PC CO ID:9540920001 CCD</t>
  </si>
  <si>
    <t>COMM OF MASS DES:HCCLAIMPMT ID:VC0000968599 INDN:KRAY PC CO ID:A046002284 CCD PMT INFO:TRN*1*0000292I4008795*1046002284*1060427 20\</t>
  </si>
  <si>
    <t>eBay O*18-12200-52933 10/18 PURCHASE 408-3766151 CA DEBIT CARD *1171</t>
  </si>
  <si>
    <t>AMZN Mktp US*UN2PH0PN3 10/18 PURCHASE Amzn.com/bill WA DEBIT CARD *1171</t>
  </si>
  <si>
    <t>AMAZON MARK* 4E5JN3Z33 10/18 PURCHASE HTTPSAMAZON.C WA DEBIT CARD *1171</t>
  </si>
  <si>
    <t>BHATIA AND BHATI DES:BiweeklyMo ID:GORGEOUS SPRING INDN:KRAY PC CO ID:263503360 PPD PMT INFO:PAYROLL CHECK PROC. FEES OCT 16, 2024</t>
  </si>
  <si>
    <t>Spectrum 10/22 PURCHASE 855-707-7328 MO DEBIT CARD *1171</t>
  </si>
  <si>
    <t>Indeed Jobs 10/23 PURCHASE 800-4625842 TX DEBIT CARD *1171</t>
  </si>
  <si>
    <t>COMM OF MASS DES:HCCLAIMPMT ID:VC0000968599 INDN:KRAY PC CO ID:A046002284 CCD PMT INFO:TRN*1*0000299I4000431*1046002284*1060499 12\</t>
  </si>
  <si>
    <t>JAZZ IMAGING 10/26 PURCHASE 800-555-5299 CA DEBIT CARD *1171</t>
  </si>
  <si>
    <t>Amazon Prime*HS4MU4BQ3 10/26 PURCHASE Amzn.com/bill WA DEBIT CARD *1171</t>
  </si>
  <si>
    <t>AMAZON MKTPL*2W1HJ3D73 10/26 PURCHASE Amzn.com/bill WA DEBIT CARD *1171</t>
  </si>
  <si>
    <t>AMAZON RETA* U50RA4493 10/28 PURCHASE WWW.AMAZON.CO WA DEBIT CARD *1171</t>
  </si>
  <si>
    <t>AMAZON MKTPL*GD7EM4723 10/28 PURCHASE Amzn.com/bill WA DEBIT CARD *1171</t>
  </si>
  <si>
    <t>AMAZON MKTPL*6813U9MZ3 10/28 PURCHASE Amzn.com/bill WA DEBIT CARD *1171</t>
  </si>
  <si>
    <t>Online transfer to CHK 9665 Confirmation# dzpa2wvvd</t>
  </si>
  <si>
    <t>Check 189</t>
  </si>
  <si>
    <t>BHATIA AND BHATI DES:SINGLE CLI ID:KRAY PC INDN:KRAY PC CO ID:263503360 PPD PMT INFO:2023 BOOKKEEPING AND TAX PREPARATION</t>
  </si>
  <si>
    <t>STAPLES INC 00209908 10/28 PURCHASE staples.com MA DEBIT CARD *1171</t>
  </si>
  <si>
    <t>AMZN Mktp US*8422O5PX3 10/28 PURCHASE Amzn.com/bill WA DEBIT CARD *1171</t>
  </si>
  <si>
    <t>SWEDEN &amp; MARTINA INC. 10/29 PURCHASE 714-3714067 IL DEBIT CARD *1171</t>
  </si>
  <si>
    <t>VYNE DENTAL 10/29 PURCHASE 800-7825150 GA DEBIT CARD *1171</t>
  </si>
  <si>
    <t>NOBLE DENTAL SUPPLIES 10/30 PURCHASE 012-345-6789 NY DEBIT CARD *1171</t>
  </si>
  <si>
    <t>eBayCommerce 10/31 PURCHASE San Jose CA DEBIT CARD *1171</t>
  </si>
  <si>
    <t>THE HOME DEPOT 10/31 PURCHASE ENFIELD CT DEBIT CARD *1171</t>
  </si>
  <si>
    <t>BKOFAMERICA BC 10/31 #000001757 TO CHKG 243 Hartford Tpke Vernon CT</t>
  </si>
  <si>
    <t>NNT Liberty Mu 11/01 PURCHASE Boston MA DEBIT CARD *1171</t>
  </si>
  <si>
    <t>TRANSFER KRAY PC:Northgate Center, LL Confirmation# 0446683664</t>
  </si>
  <si>
    <t>PAYCHEX INC. DES:PAYROLL ID:09426000043357X INDN:KRAY PC CO ID:1161124166 CCD</t>
  </si>
  <si>
    <t>PAYCHEX TPS DES:TAXES ID:09427400009202X INDN:KRAY PC CO ID:1161124166 CCD</t>
  </si>
  <si>
    <t>PAYCHEX-HRS DES:401(K) ID:0000046187885 INDN:KRAY PC CO ID:9540920001 CCD</t>
  </si>
  <si>
    <t>COMM OF MASS DES:HCCLAIMPMT ID:VC0000968599 INDN:KRAY PC CO ID:A046002284 CCD PMT INFO:TRN*1*0000306I4006063*1046002284*1060572 10\</t>
  </si>
  <si>
    <t>CROSS IT CONSULTING 11/01 PURCHASE 508-7286548 MA DEBIT CARD *1171</t>
  </si>
  <si>
    <t>GOOGLE *GSUITE_ngfamil 11/01 PURCHASE cc@google.com CA DEBIT CARD *1171</t>
  </si>
  <si>
    <t>JAZZ IMAGING 11/01 PURCHASE 800-555-5299 CA DEBIT CARD *1171</t>
  </si>
  <si>
    <t>Indeed Jobs 11/02 PURCHASE 800-4625842 TX DEBIT CARD *1171</t>
  </si>
  <si>
    <t>JAZZ IMAGING 11/02 PURCHASE 800-555-5299 CA DEBIT CARD *1171</t>
  </si>
  <si>
    <t>HANOVER INS DES:BILLPAY ID:INS PMNT INDN:GORGEOUS SMILES DENTAL CO ID:0000000160 PPD</t>
  </si>
  <si>
    <t>AUTHNET GATEWAY DES:BILLING ID:139013180 INDN:GORGEOUS SMILES DENTAL CO ID:1870568569 CCD</t>
  </si>
  <si>
    <t>BHATIA AND BHATI DES:BiweeklyMo ID:GORGEOUS SPRING INDN:KRAY PC CO ID:263503360 PPD PMT INFO:PAYROLL CHECK PROC. FEES OCT 31, 2024</t>
  </si>
  <si>
    <t>External transfer fee - 3 Day - 11/01/2024 Confirmation: 518934166</t>
  </si>
  <si>
    <t>AMZN Mktp US*LW9LP1KI3 11/04 PURCHASE Amzn.com/bill WA DEBIT CARD *1171</t>
  </si>
  <si>
    <t>READYREFRESH/WATERSERV 11/04 PURCHASE 800-274-5282 CA DEBIT CARD *1171</t>
  </si>
  <si>
    <t>ADT SECURITY*404889768 11/07 PURCHASE WWW.ADT.COM FL DEBIT CARD *1171</t>
  </si>
  <si>
    <t>Spectrum 11/07 PURCHASE 855-707-7328 MO DEBIT CARD *1171</t>
  </si>
  <si>
    <t>COMM OF MASS DES:HCCLAIMPMT ID:VC0000968599 INDN:KRAY PC CO ID:A046002284 CCD PMT INFO:TRN*1*0000313I4010335*1046002284*1060645 04\</t>
  </si>
  <si>
    <t>STAPLES INC 00209908 11/07 PURCHASE staples.com MA DEBIT CARD *1171</t>
  </si>
  <si>
    <t>MESA LABS 11/08 PURCHASE 303-9878000 CO DEBIT CARD *1171</t>
  </si>
  <si>
    <t>AMZN Mktp US*HH6B779D3 11/08 PURCHASE Amzn.com/bill WA DEBIT CARD *1171</t>
  </si>
  <si>
    <t>AMAZON MKTPL*SY8WP12P3 11/08 PURCHASE Amzn.com/bill WA DEBIT CARD *1171</t>
  </si>
  <si>
    <t>eBay O*01-12318-14058 11/11 PURCHASE Luxembourg DEBIT CARD *1171</t>
  </si>
  <si>
    <t>SQ *DESIGN DENTAL LAB 11/11 PURCHASE Chicopee MA DEBIT CARD *1171</t>
  </si>
  <si>
    <t>SWEDEN &amp; MARTINA INC. 11/11 PURCHASE 714-3714067 IL DEBIT CARD *1171</t>
  </si>
  <si>
    <t>VYNE DENTAL 11/11 PURCHASE 800-7825150 GA DEBIT CARD *1171</t>
  </si>
  <si>
    <t>Spectrum 11/13 PURCHASE 855-707-7328 MO DEBIT CARD *1171</t>
  </si>
  <si>
    <t>PAYCHEX INC. DES:PAYROLL ID:09594500026852X INDN:KRAY PC CO ID:1161124166 CCD</t>
  </si>
  <si>
    <t>REPUBLIC SERVICES TRASH 11/14 PURCHASE HTTP://WWW.PH AZ DEBIT CARD *1171</t>
  </si>
  <si>
    <t>PAYCHEX INC. DES:PAYROLL ID:09594500026862X INDN:KRAY PC CO ID:1161124166 CCD</t>
  </si>
  <si>
    <t>PAYCHEX TPS DES:TAXES ID:09595700010646X INDN:KRAY PC CO ID:1161124166 CCD</t>
  </si>
  <si>
    <t>EVERSOURCE DES:WEB_PAY ID:67938383111424 INDN:RAYMOND BELISLE CO ID:4120181050 CCD</t>
  </si>
  <si>
    <t>PAYCHEX-HRS DES:HRS PMT ID:47107413 INDN:KRAY PC CO ID:2555124166 CCD</t>
  </si>
  <si>
    <t>PAYCHEX-HRS DES:401(K) ID:0000046316677 INDN:KRAY PC CO ID:9540920001 CCD</t>
  </si>
  <si>
    <t>COMM OF MASS DES:HCCLAIMPMT ID:VC0000968599 INDN:KRAY PC CO ID:A046002284 CCD PMT INFO:TRN*1*0000320I4006711*1046002284*1060717 01\</t>
  </si>
  <si>
    <t>STAPLES INC 00209908 11/14 PURCHASE staples.com MA DEBIT CARD *1171</t>
  </si>
  <si>
    <t>Indeed 99962439 11/17 PURCHASE 800-4625842 TX DEBIT CARD *1171</t>
  </si>
  <si>
    <t>PRECISION DENTAL BILL 11/17 PURCHASE WWW.PRECISION WI DEBIT CARD *1171</t>
  </si>
  <si>
    <t>BHATIA AND BHATI DES:BiweeklyMo ID:GORGEOUS SPRING INDN:KRAY PC CO ID:263503360 PPD PMT INFO:PAYROLL CHECK PROC. FEES NOV 14, 2024</t>
  </si>
  <si>
    <t>AMAZON MKTPL*0Z59U21K3 11/17 PURCHASE Amzn.com/bill WA DEBIT CARD *1171</t>
  </si>
  <si>
    <t>Indeed Jobs 11/19 PURCHASE 800-4625842 TX DEBIT CARD *1171</t>
  </si>
  <si>
    <t>Staples Inc 11/20 PURCHASE staples.com MA DEBIT CARD *1171</t>
  </si>
  <si>
    <t>AMAZON RETA* T072P6L33 11/21 PURCHASE WWW.AMAZON.CO WA DEBIT CARD *1171</t>
  </si>
  <si>
    <t>Indeed 100052109 11/21 PURCHASE 800-4625842 TX DEBIT CARD *1171</t>
  </si>
  <si>
    <t>COMM OF MASS DES:HCCLAIMPMT ID:VC0000968599 INDN:KRAY PC CO ID:A046002284 CCD PMT INFO:TRN*1*0000327I4008985*1046002284*1060787 76\</t>
  </si>
  <si>
    <t>BKOFAMERICA MOBILE 11/24 3711809540 DEPOSIT *MOBILE MA</t>
  </si>
  <si>
    <t>AMAZON MKTPL*5P6K02C43 11/21 PURCHASE Amzn.com/bill WA DEBIT CARD *1171</t>
  </si>
  <si>
    <t>BKOFAMERICA BC 11/26 #000002792 FR CHKG 243 Hartford Tpke Vernon CT</t>
  </si>
  <si>
    <t>Indeed Jobs 11/26 PURCHASE 800-4625842 TX DEBIT CARD *1171</t>
  </si>
  <si>
    <t>Amazon Prime*306877XW3 11/26 PURCHASE Amzn.com/bill WA DEBIT CARD *1171</t>
  </si>
  <si>
    <t>JAZZ IMAGING 11/26 PURCHASE 800-555-5299 CA DEBIT CARD *1171</t>
  </si>
  <si>
    <t>VISTAPRINT 11/27 PURCHASE 866-207-4955 MA DEBIT CARD *1171</t>
  </si>
  <si>
    <t>PAYCHEX INC. DES:PAYROLL ID:09755400006044X INDN:KRAY PC CO ID:1161124166 CCD</t>
  </si>
  <si>
    <t>PAYCHEX TPS DES:TAXES ID:09758700018132X INDN:KRAY PC CO ID:1161124166 CCD</t>
  </si>
  <si>
    <t>PAYCHEX-HRS DES:401(K) ID:0000046444657 INDN:KRAY PC CO ID:9540920001 CCD</t>
  </si>
  <si>
    <t>COMM OF MASS DES:HCCLAIMPMT ID:VC0000968599 INDN:KRAY PC CO ID:A046002284 CCD PMT INFO:TRN*1*0000333I4007293*1046002284*1060860 93\</t>
  </si>
  <si>
    <t>Google Nest 11/30 PURCHASE 650-2530000 CA DEBIT CARD *1171</t>
  </si>
  <si>
    <t>Indeed Jobs 12/01 PURCHASE 800-4625842 TX DEBIT CARD *1171</t>
  </si>
  <si>
    <t>GOOGLE *GSUITE_ngfamil 12/01 PURCHASE cc@google.com CA DEBIT CARD *1171</t>
  </si>
  <si>
    <t>NNT Liberty Mu 12/02 PURCHASE Boston MA DEBIT CARD *1171</t>
  </si>
  <si>
    <t>CROSS IT CONSULTING 12/01 PURCHASE 508-7286548 MA DEBIT CARD *1171</t>
  </si>
  <si>
    <t>JAZZ IMAGING 12/01 PURCHASE 800-555-5299 CA DEBIT CARD *1171</t>
  </si>
  <si>
    <t>Indeed Jobs 12/02 PURCHASE 800-4625842 TX DEBIT CARD *1171</t>
  </si>
  <si>
    <t>AUTHNET GATEWAY DES:BILLING ID:139187135 INDN:GORGEOUS SMILES DENTAL CO ID:1870568569 CCD</t>
  </si>
  <si>
    <t>BHATIA AND BHATI DES:BiweeklyMo ID:GORGEOUS SPRING INDN:KRAY PC CO ID:263503360 PPD PMT INFO:PAYROLL CHECK PROC. FEES NOV 28, 2024</t>
  </si>
  <si>
    <t>JAZZ IMAGING 12/02 PURCHASE 800-555-5299 CA DEBIT CARD *1171</t>
  </si>
  <si>
    <t>Agent Assisted pymt to BkofAm CRD 1885 Confirmation# bcc1kouyo</t>
  </si>
  <si>
    <t>READYREFRESH/WATERSERV 12/03 PURCHASE 800-274-5282 CA DEBIT CARD *1171</t>
  </si>
  <si>
    <t>COMM OF MASS DES:HCCLAIMPMT ID:VC0000968599 INDN:KRAY PC CO ID:A046002284 CCD PMT INFO:TRN*1*0000341I4010177*1046002284*1060933 52\</t>
  </si>
  <si>
    <t>BKOFAMERICA MOBILE 12/10 3843118029 DEPOSIT *MOBILE MA</t>
  </si>
  <si>
    <t>BKOFAMERICA MOBILE 12/11 3714051613 DEPOSIT *MOBILE MA</t>
  </si>
  <si>
    <t>Online Banking transfer from CHK 9665 Confirmation# 7800759275</t>
  </si>
  <si>
    <t>RETURN ITEM CHARGEBACK</t>
  </si>
  <si>
    <t>Online Banking transfer from CHK 9665 Confirmation# 7810482088</t>
  </si>
  <si>
    <t>GLOBAL PAYMENTS DES:GLOBAL DEP ID:8788240095518 INDN:GORGEOUS SMILES DENTAL CO ID:N469221406 CCD</t>
  </si>
  <si>
    <t>PAYCHEX INC. DES:PAYROLL ID:09937300024896X INDN:KRAY PC CO ID:1161124166 CCD</t>
  </si>
  <si>
    <t>PAYCHEX TPS DES:TAXES ID:09938900010732X INDN:KRAY PC CO ID:1161124166 CCD</t>
  </si>
  <si>
    <t>PAYCHEX-HRS DES:HRS PMT ID:47318823 INDN:KRAY PC CO ID:2555124166 CCD</t>
  </si>
  <si>
    <t>PAYCHEX-HRS DES:401(K) ID:0000046578526 INDN:KRAY PC CO ID:9540920001 CCD</t>
  </si>
  <si>
    <t>GLOBAL PMTS INC DES:EFT ID:EID 56816 INDN:GORGEOUS SMILES DENTAL CO ID:5469221406 CCD</t>
  </si>
  <si>
    <t>COMM OF MASS DES:HCCLAIMPMT ID:VC0000968599 INDN:KRAY PC CO ID:A046002284 CCD PMT INFO:TRN*1*0000348I4008835*1046002284*1061007 64\</t>
  </si>
  <si>
    <t>Online Banking transfer to CHK 9665 Confirmation# 7420051068</t>
  </si>
  <si>
    <t>EVERSOURCE DES:WEB_PAY ID:71841694121624 INDN:RAYMOND BELISLE CO ID:4120181050 CCD</t>
  </si>
  <si>
    <t>BHATIA AND BHATI DES:BiweeklyMo ID:GORGEOUS SPRING INDN:KRAY PC CO ID:263503360 PPD PMT INFO:PAYROLL CHECK PROC. FEES DEC 12, 2024</t>
  </si>
  <si>
    <t>Indeed Jobs 12/19 REFUND 800-4625842 TX DEBIT CARD *1171</t>
  </si>
  <si>
    <t>COMM OF MASS DES:HCCLAIMPMT ID:VC0000968599 INDN:KRAY PC CO ID:A046002284 CCD PMT INFO:TRN*1*0000355I4008633*1046002284*1061078 18\</t>
  </si>
  <si>
    <t>P&amp;G PROF ORAL HEALTH 12/26 PURCHASE 800-543-2577 OH DEBIT CARD *0212</t>
  </si>
  <si>
    <t>Check 194</t>
  </si>
  <si>
    <t>PAYCHEX INC. DES:PAYROLL ID:10113900020292X INDN:KRAY PC CO ID:1161124166 CCD</t>
  </si>
  <si>
    <t>PAYCHEX TPS DES:TAXES ID:10114200009557X INDN:KRAY PC CO ID:1161124166 CCD</t>
  </si>
  <si>
    <t>PAYCHEX-HRS DES:401(K) ID:0000046707197 INDN:KRAY PC CO ID:9540920001 CCD</t>
  </si>
  <si>
    <t>COMM OF MASS DES:HCCLAIMPMT ID:VC0000968599 INDN:KRAY PC CO ID:A046002284 CCD PMT INFO:TRN*1*0000362I4010465*1046002284*1061150 46\</t>
  </si>
  <si>
    <t>BKOFAMERICA BC 12/30 #000006356 WITHDRWL 243 Hartford Tpke Vernon CT</t>
  </si>
  <si>
    <t>BHATIA AND BHATI DES:BiweeklyMo ID:GORGEOUS SPRING INDN:KRAY PC CO ID:263503360 PPD PMT INFO:PAYROLL CHECK PROC. FEES DEC 26, 2024</t>
  </si>
  <si>
    <t>BENCO DENTAL CO 12/30 PURCHASE 800-462-3626 PA DEBIT CARD *0212</t>
  </si>
  <si>
    <t>HF ACQUISITION CO LLC 12/30 PURCHASE 800-331-1984 WA DEBIT CARD *0212</t>
  </si>
  <si>
    <t>BIOSERV, INC. 12/30 PURCHASE 800-3788824 CT DEBIT CARD *0212</t>
  </si>
  <si>
    <t>ENCORE FIRE PROTECTION 12/30 PURCHASE 401-7237301 RI DEBIT CARD *0212</t>
  </si>
  <si>
    <t>NET32* RIVER DENTAL SU 12/30 PURCHASE HTTPSWWW.NET3 NC DEBIT CARD *0212</t>
  </si>
  <si>
    <t>NET32* HEY DENTAL 12/30 PURCHASE HTTPSWWW.NET3 NC DEBIT CARD *0212</t>
  </si>
  <si>
    <t>NET32* DENTIFY 12/30 PURCHASE HTTPSWWW.NET3 NC DEBIT CARD *0212</t>
  </si>
  <si>
    <t>NET32* MN HEALTH INC 12/30 PURCHASE NET32.COM NC DEBIT CARD *0212</t>
  </si>
  <si>
    <t>AIRGAS LLC - NORTH N306 12/30 PURCHASE WEST SPRINGFI MA DEBIT CARD *0212</t>
  </si>
  <si>
    <t>NET32* MVP DENTAL SUPP 12/31 PURCHASE NET32.COM NC DEBIT CARD *0212</t>
  </si>
  <si>
    <t>NET32* FRONTIER DENTAL 12/31 PURCHASE NET32.COM NC DEBIT CARD *0212</t>
  </si>
  <si>
    <t>NET32* TRADENT SUPPLY 12/31 PURCHASE NET32.COM NC DEBIT CARD *0212</t>
  </si>
  <si>
    <t>Check 195</t>
  </si>
  <si>
    <t>Check 198</t>
  </si>
  <si>
    <t>GLOBAL PAYMENTS DES:GLOBAL STL ID:8788240095518 INDN:GORGEOUS SMILES DENTAL CO ID:N469221406 CCD</t>
  </si>
  <si>
    <t>NET32* PA DENTAL 12/30 PURCHASE NET32.COM NC DEBIT CARD *0212</t>
  </si>
  <si>
    <t>JAZZ IMAGING 01/01 PURCHASE 800-555-5299 CA DEBIT CARD *0212</t>
  </si>
  <si>
    <t>NET32* SHINE DENTAL 01/02 PURCHASE HTTPSWWW.NET3 NC DEBIT CARD *0212</t>
  </si>
  <si>
    <t>COMM OF MASS DES:HCCLAIMPMT ID:VC0000968599 INDN:KRAY PC CO ID:A046002284 CCD PMT INFO:TRN*1*0000003I5009375*1046002284*1061223 39\</t>
  </si>
  <si>
    <t>JAZZ IMAGING 01/02 PURCHASE 800-555-5299 CA DEBIT CARD *0212</t>
  </si>
  <si>
    <t>Online Banking transfer to CHK 2031 Confirmation# 7519209487</t>
  </si>
  <si>
    <t>IN *AFFORDABLE DENTAL S 01/06 PURCHASE 860-9301965 CT DEBIT CARD *0212</t>
  </si>
  <si>
    <t>Northgate Center Bill Payment</t>
  </si>
  <si>
    <t>Online Banking payment to CRD 9566 Confirmation# 0133432717</t>
  </si>
  <si>
    <t>Check 200</t>
  </si>
  <si>
    <t>Check 196</t>
  </si>
  <si>
    <t>Check 197</t>
  </si>
  <si>
    <t>PAYCHEX INC. DES:PAYROLL ID:10278400046603X INDN:KRAY PC CO ID:1161124166 CCD</t>
  </si>
  <si>
    <t>PAYCHEX TPS DES:TAXES ID:10280100007172X INDN:KRAY PC CO ID:1161124166 CCD</t>
  </si>
  <si>
    <t>PAYCHEX-HRS DES:401(K) ID:0000046838652 INDN:KRAY PC CO ID:9540920001 CCD</t>
  </si>
  <si>
    <t>COMM OF MASS DES:HCCLAIMPMT ID:VC0000968599 INDN:KRAY PC CO ID:A046002284 CCD PMT INFO:TRN*1*0000010I5010791*1046002284*1061295 12\</t>
  </si>
  <si>
    <t>BHATIA AND BHATI DES:BiweeklyMo ID:GORGEOUS SPRING INDN:KRAY PC CO ID:263503360 PPD PMT INFO:PAYROLL CHECK PROC. FEES JAN 9, 2025</t>
  </si>
  <si>
    <t>Online Banking payment to CRD 9566 Confirmation# 1593530887</t>
  </si>
  <si>
    <t>EVERSOURCE DES:WEB_PAY ID:75523609011625 INDN:RAYMOND BELISLE CO ID:4120181050 CCD</t>
  </si>
  <si>
    <t>PAYCHEX-HRS DES:HRS PMT ID:47680511 INDN:KRAY PC CO ID:2555124166 CCD</t>
  </si>
  <si>
    <t>COMM OF MASS DES:HCCLAIMPMT ID:VC0000968599 INDN:KRAY PC CO ID:A046002284 CCD PMT INFO:TRN*1*0000017I5001621*1046002284*1061363 98\</t>
  </si>
  <si>
    <t>Cherry DES:Funding ID:1299527 INDN:BankofAmerica CO ID:1822708163 PPD</t>
  </si>
  <si>
    <t>PRECISION DENTAL BILL 01/19 PURCHASE WWW.PRECISION WI DEBIT CARD *0212</t>
  </si>
  <si>
    <t>PAYCHEX INC. DES:PAYROLL ID:10441800032169X INDN:KRAY PC CO ID:1161124166 CCD</t>
  </si>
  <si>
    <t>PAYCHEX TPS DES:TAXES ID:10442200007721X INDN:KRAY PC CO ID:1161124166 CCD</t>
  </si>
  <si>
    <t>PAYCHEX-HRS DES:401(K) ID:0000046968944 INDN:KRAY PC CO ID:9540920001 CCD</t>
  </si>
  <si>
    <t>COMM OF MASS DES:HCCLAIMPMT ID:VC0000968599 INDN:KRAY PC CO ID:A046002284 CCD PMT INFO:TRN*1*0000024I5010169*1046002284*1061430 55\</t>
  </si>
  <si>
    <t>Online Banking payment to CRD 9566 Confirmation# 3088474460</t>
  </si>
  <si>
    <t>BHATIA AND BHATI DES:JAN23PAYRO ID: INDN:Kray PC CO ID:263503360 CCD PMT INFO:PAYROLL CHECK PROC FEES JAN 23, 2025</t>
  </si>
  <si>
    <t>GULF USA 01/28 PURCHASE MANCHESTER CT DEBIT CARD *0212</t>
  </si>
  <si>
    <t>SWEDEN &amp; MARTINA INC. 01/27 PURCHASE 714-3714067 IL DEBIT CARD *0212</t>
  </si>
  <si>
    <t>IN *AFFORDABLE DENTAL S 01/28 PURCHASE 860-9301965 CT DEBIT CARD *0212</t>
  </si>
  <si>
    <t>MIDWEST DENTAL ARTS 01/29 PURCHASE 319-8574030 IA DEBIT CARD *0212</t>
  </si>
  <si>
    <t>Remote Deposit Non-Returned Scanner Fee NBK7TTP</t>
  </si>
  <si>
    <t>COMM OF MASS DES:HCCLAIMPMT ID:VC0000968599 INDN:KRAY PC CO ID:A046002284 CCD PMT INFO:TRN*1*0000031I5003781*1046002284*1061501 67\</t>
  </si>
  <si>
    <t>AMAZON MKTPL*MD4I799P3 02/01 PURCHASE Amzn.com/bill WA DEBIT CARD *0212</t>
  </si>
  <si>
    <t>JAZZ IMAGING 02/01 PURCHASE 800-555-5299 CA DEBIT CARD *0212</t>
  </si>
  <si>
    <t>VISTAPRINT 02/04 PURCHASE 866-207-4955 MA DEBIT CARD *0212</t>
  </si>
  <si>
    <t>CROSS IT CONSULTING 02/05 PURCHASE 508-7286548 MA DEBIT CARD *0212</t>
  </si>
  <si>
    <t>PAYCHEX INC. DES:PAYROLL ID:10610300029873X INDN:KRAY PC CO ID:1161124166 CCD</t>
  </si>
  <si>
    <t>PAYCHEX TPS DES:TAXES ID:10609000007170X INDN:KRAY PC CO ID:1161124166 CCD</t>
  </si>
  <si>
    <t>PAYCHEX-HRS DES:401(K) ID:0000047113353 INDN:KRAY PC CO ID:9540920001 CCD</t>
  </si>
  <si>
    <t>COMM OF MASS DES:HCCLAIMPMT ID:VC0000968599 INDN:KRAY PC CO ID:A046002284 CCD PMT INFO:TRN*1*0000038I5012525*1046002284*1061572 13\</t>
  </si>
  <si>
    <t>REPUBLIC SERVICES TRASH 02/07 PURCHASE 866-576-5548 AZ DEBIT CARD *0212</t>
  </si>
  <si>
    <t>BHATIA AND BHATI DES:FEB6PAYROL ID: INDN:Kray PC CO ID:263503360 CCD PMT INFO:PAYROLL CHECK PROC FEES FEB 6</t>
  </si>
  <si>
    <t>PAYCHEX-HRS DES:HRS PMT ID:48082099 INDN:KRAY PC CO ID:2555124166 CCD</t>
  </si>
  <si>
    <t>COMM OF MASS DES:HCCLAIMPMT ID:VC0000968599 INDN:KRAY PC CO ID:A046002284 CCD PMT INFO:TRN*1*0000045I5009001*1046002284*1061644 63\</t>
  </si>
  <si>
    <t>FRONTIER DENTAL SUPPLY 02/17 PURCHASE 416-2813681 MD DEBIT CARD *0212</t>
  </si>
  <si>
    <t>Check 152</t>
  </si>
  <si>
    <t>EVERSOURCE DES:WEB_PAY ID:79200513021425 INDN:RAYMOND BELISLE CO ID:4120181050 CCD</t>
  </si>
  <si>
    <t>READYREFRESH/WATERSERV 02/17 PURCHASE 800-274-5282 CA DEBIT CARD *0212</t>
  </si>
  <si>
    <t>NET32* PA DENTAL 02/17 PURCHASE WWW.NET32.COM NC DEBIT CARD *0212</t>
  </si>
  <si>
    <t>COMCAST BOSTON 02/18 PURCHASE 800-266-2278 NH DEBIT CARD *0212</t>
  </si>
  <si>
    <t>NET32* FRONTIER DENTAL 02/18 PURCHASE NET32.COM NC DEBIT CARD *0212</t>
  </si>
  <si>
    <t>PRECISION DENTAL BILL 02/18 PURCHASE WWW.PRECISION WI DEBIT CARD *0212</t>
  </si>
  <si>
    <t>BIG Y EXP 176 02/19 PURCHASE MANCHESTER CT DEBIT CARD *0212</t>
  </si>
  <si>
    <t>Cherry DES:Funding ID:1399637 INDN:BankofAmerica CO ID:1822708163 PPD</t>
  </si>
  <si>
    <t>Check 118</t>
  </si>
  <si>
    <t>8X8, INC. 02/19 PURCHASE 888-898-8733 CA DEBIT CARD *0212</t>
  </si>
  <si>
    <t>PAYCHEX INC. DES:PAYROLL ID:10879800051986X INDN:KRAY PC CO ID:1161124166 CCD</t>
  </si>
  <si>
    <t>PAYCHEX TPS DES:TAXES ID:10876500007618X INDN:KRAY PC CO ID:1161124166 CCD</t>
  </si>
  <si>
    <t>PAYCHEX-HRS DES:401(K) ID:0000047251026 INDN:KRAY PC CO ID:9540920001 CCD</t>
  </si>
  <si>
    <t>COMM OF MASS DES:HCCLAIMPMT ID:VC0000968599 INDN:KRAY PC CO ID:A046002284 CCD PMT INFO:TRN*1*0000052I5008615*1046002284*1061719 50\</t>
  </si>
  <si>
    <t>PRECISION DENTAL BILL 02/21 PURCHASE WWW.PRECISION WI DEBIT CARD *0212</t>
  </si>
  <si>
    <t>STAPLS7652021668000001 02/22 PURCHASE 877-8267755 NY DEBIT CARD *0212</t>
  </si>
  <si>
    <t>BHATIA AND BHATI DES:feb20payro ID: INDN:Kray PC CO ID:263503360 CCD PMT INFO:PAYROLL CHECK PROC FEES FEB 20</t>
  </si>
  <si>
    <t>Online Banking payment to CRD 9566 Confirmation# 3061908039</t>
  </si>
  <si>
    <t>Cherry DES:Funding ID:1423445 INDN:BankofAmerica CO ID:1822708163 PPD</t>
  </si>
  <si>
    <t>COMM OF MASS DES:HCCLAIMPMT ID:VC0000968599 INDN:KRAY PC CO ID:A046002284 CCD PMT INFO:TRN*1*0000059I5010577*1046002284*1061796 17\</t>
  </si>
  <si>
    <t>SWEDEN &amp; MARTINA INC. 02/28 PURCHASE 714-3714067 IL DEBIT CARD *0212</t>
  </si>
  <si>
    <t>CROSS IT CONSULTING 03/01 PURCHASE 508-7286548 MA DEBIT CARD *0212</t>
  </si>
  <si>
    <t>JAZZ IMAGING 03/01 PURCHASE 800-555-5299 CA DEBIT CARD *0212</t>
  </si>
  <si>
    <t>Check 153</t>
  </si>
  <si>
    <t>Check 154</t>
  </si>
  <si>
    <t>8X8, INC. 03/02 PURCHASE 888-898-8733 CA DEBIT CARD *0212</t>
  </si>
  <si>
    <t>READYREFRESH/WATERSERV 03/04 PURCHASE 800-274-5282 CA DEBIT CARD *0212</t>
  </si>
  <si>
    <t>EVERSOURCE DES:WEB_PAY ID:81538100030525 INDN:KRAY PC CO ID:4851292029 WEB</t>
  </si>
  <si>
    <t>Column Labels</t>
  </si>
  <si>
    <t>(blank)</t>
  </si>
  <si>
    <t>Grand Total</t>
  </si>
  <si>
    <t>Row Labels</t>
  </si>
  <si>
    <t>CREDIT</t>
  </si>
  <si>
    <t>DEBIT</t>
  </si>
  <si>
    <t>DEBITPOS</t>
  </si>
  <si>
    <t>AMOUNTPOS</t>
  </si>
  <si>
    <t>CRDEB</t>
  </si>
  <si>
    <t>YEAR</t>
  </si>
  <si>
    <t>MON</t>
  </si>
  <si>
    <t>Sum of Amount</t>
  </si>
  <si>
    <t>Total Sum of Amount</t>
  </si>
  <si>
    <t>Total Sum of DEBIT</t>
  </si>
  <si>
    <t>Sum of DEBIT</t>
  </si>
  <si>
    <t>Sum of CREDIT</t>
  </si>
  <si>
    <t>Total Sum of CREDIT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</si>
</sst>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10" xfId="0" applyBorder="1"/>
    <xf numFmtId="14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vitha sathya" refreshedDate="45723.545726504628" createdVersion="8" refreshedVersion="8" minRefreshableVersion="3" recordCount="1144">
  <cacheSource type="worksheet">
    <worksheetSource ref="A1:K1048576" sheet="cln"/>
  </cacheSource>
  <cacheFields count="11">
    <cacheField name="YEAR" numFmtId="0">
      <sharedItems containsString="0" containsBlank="1" containsNumber="1" containsInteger="1" minValue="2023" maxValue="2025" count="4">
        <n v="2025"/>
        <n v="2024"/>
        <n v="2023"/>
        <m/>
      </sharedItems>
    </cacheField>
    <cacheField name="MON" numFmtId="0">
      <sharedItems containsString="0" containsBlank="1" containsNumber="1" containsInteger="1" minValue="1" maxValue="12"/>
    </cacheField>
    <cacheField name="Date" numFmtId="0">
      <sharedItems containsNonDate="0" containsDate="1" containsString="0" containsBlank="1" minDate="2023-09-07T00:00:00" maxDate="2025-03-07T00:00:00"/>
    </cacheField>
    <cacheField name="Description" numFmtId="0">
      <sharedItems containsBlank="1" count="888">
        <s v="Check 198"/>
        <s v="PAYCHEX INC. DES:PAYROLL ID:09092300014559X INDN:KRAY PC CO ID:1161124166 CCD"/>
        <s v="PAYCHEX INC. DES:PAYROLL ID:10113900020292X INDN:KRAY PC CO ID:1161124166 CCD"/>
        <s v="Online Banking transfer to CHK 9665 Confirmation# 7420051068"/>
        <s v="PAYCHEX INC. DES:PAYROLL ID:10610300029873X INDN:KRAY PC CO ID:1161124166 CCD"/>
        <s v="PAYCHEX INC. DES:PAYROLL ID:08406700027198X INDN:KRAY PC CO ID:1161124166 CCD"/>
        <s v="PAYCHEX INC. DES:PAYROLL ID:10441800032169X INDN:KRAY PC CO ID:1161124166 CCD"/>
        <s v="PAYCHEX INC. DES:PAYROLL ID:09426000043357X INDN:KRAY PC CO ID:1161124166 CCD"/>
        <s v="PAYCHEX INC. DES:PAYROLL ID:09256000031726X INDN:KRAY PC CO ID:1161124166 CCD"/>
        <s v="PAYCHEX INC. DES:PAYROLL ID:08594800002089X INDN:KRAY PC CO ID:1161124166 CCD"/>
        <s v="BKOFAMERICA BC 08/22 #000003498 TO CHKG 243 Hartford Tpke Vernon CT"/>
        <s v="PAYCHEX INC. DES:PAYROLL ID:08750100051986X INDN:KRAY PC CO ID:1161124166 CCD"/>
        <s v="PAYCHEX INC. DES:PAYROLL ID:08923200015186X INDN:KRAY PC CO ID:1161124166 CCD"/>
        <s v="PAYCHEX INC. DES:PAYROLL ID:09594500026862X INDN:KRAY PC CO ID:1161124166 CCD"/>
        <s v="PAYCHEX INC. DES:PAYROLL ID:10278400046603X INDN:KRAY PC CO ID:1161124166 CCD"/>
        <s v="PAYCHEX INC. DES:PAYROLL ID:06518900045952X INDN:KRAY PC CO ID:1161124166 CCD"/>
        <s v="BKOFAMERICA BC 04/17 #000001725 TO CHKG 243 Hartford Tpke Vernon CT"/>
        <s v="Online Banking transfer to CHK 2031 Confirmation# 7519209487"/>
        <s v="PAYCHEX INC. DES:PAYROLL ID:10879800051986X INDN:KRAY PC CO ID:1161124166 CCD"/>
        <s v="PAYCHEX INC. DES:PAYROLL ID:08239900024248X INDN:KRAY PC CO ID:1161124166 CCD"/>
        <s v="PAYCHEX INC. DES:PAYROLL ID:07598900014942X INDN:KRAY PC CO ID:1161124166 CCD"/>
        <s v="PAYCHEX INC. DES:PAYROLL ID:07751700021672X INDN:KRAY PC CO ID:1161124166 CCD"/>
        <s v="PAYCHEX INC. DES:PAYROLL ID:06696700049397X INDN:KRAY PC CO ID:1161124166 CCD"/>
        <s v="PAYCHEX INC. DES:PAYROLL ID:07272300009421X INDN:KRAY PC CO ID:1161124166 CCD"/>
        <s v="PAYCHEX INC. DES:PAYROLL ID:06901200046831X INDN:KRAY PC CO ID:1161124166 CCD"/>
        <s v="PAYCHEX INC. DES:PAYROLL ID:09937300024896X INDN:KRAY PC CO ID:1161124166 CCD"/>
        <s v="PAYCHEX INC. DES:PAYROLL ID:08090600027052X INDN:KRAY PC CO ID:1161124166 CCD"/>
        <s v="PAYCHEX INC. DES:PAYROLL ID:07910000000532X INDN:KRAY PC CO ID:1161124166 CCD"/>
        <s v="PAYCHEX INC. DES:PAYROLL ID:07077800002167X INDN:KRAY PC CO ID:1161124166 CCD"/>
        <s v="PAYCHEX INC. DES:PAYROLL ID:07442500002252X INDN:KRAY PC CO ID:1161124166 CCD"/>
        <s v="Check 197"/>
        <s v="SQ *DESIGN DENTAL LAB 11/11 PURCHASE Chicopee MA DEBIT CARD *1171"/>
        <s v="WIRE TYPE:BOOK OUT DATE:231228 TIME:0701 ET TRN:2023122800266587 RELATED REF:470688842 BNF:GORGEOUS SMILES DENTAL PC ID:466018149665 PMT DET:TRUE UP MANCHESTER LOAN"/>
        <s v="WIRE TYPE:BOOK OUT DATE:240110 TIME:1047 ET TRN:2024011000320151 RELATED REF:472759884 BNF:GORGEOUS SMILES DENTAL PC ID:466018149665 PMT DET:LOAN"/>
        <s v="SWEDEN &amp; MARTINA INC. 01/27 PURCHASE 714-3714067 IL DEBIT CARD *0212"/>
        <s v="BKOFAMERICA BC 12/30 #000006356 WITHDRWL 243 Hartford Tpke Vernon CT"/>
        <s v="PAYCHEX INC. DES:PAYROLL ID:09755400006044X INDN:KRAY PC CO ID:1161124166 CCD"/>
        <s v="BENCO DENTAL CO 05/30 PURCHASE 800-462-3626 PA DEBIT CARD *1171"/>
        <s v="AFFORDABLE DENTA DES:SALE ID: INDN:MOHAMMAD ABBAS KHAN CO ID:9215986202 CCD"/>
        <s v="PAYCHEX INC. DES:PAYROLL ID:06176100029093X INDN:KRAY PC CO ID:1161124166 CCD"/>
        <s v="PAYCHEX INC. DES:PAYROLL ID:06341300044059X INDN:KRAY PC CO ID:1161124166 CCD"/>
        <s v="SQ *DESIGN DENTAL LAB 07/15 PURCHASE Suffield CT DEBIT CARD *1171"/>
        <s v="PAYCHEX INC. DES:PAYROLL ID:05923800041260X INDN:KRAY PC CO ID:1161124166 CCD"/>
        <s v="Online Banking payment to CRD 9566 Confirmation# 1593530887"/>
        <s v="PAYCHEX INC. DES:PAYROLL ID:04877200034787X INDN:KRAY PC CO ID:1161124166 CCD"/>
        <s v="PAYCHEX INC. DES:PAYROLL ID:05217000024401X INDN:KRAY PC CO ID:1161124166 CCD"/>
        <s v="WIRE TYPE:WIRE OUT DATE:231004 TIME:1340 ET TRN:2023100400380813 SERVICE REF:010752 BNF:NORTHGATE CENTER, LLC ID:1982312456 BNF BK:FLO RENCE BANK ID:211871688 PMT DET:458655994 SEPT AND OCT 2023"/>
        <s v="PAYCHEX INC. DES:PAYROLL ID:05610500018768X INDN:KRAY PC CO ID:1161124166 CCD"/>
        <s v="PAYCHEX INC. DES:PAYROLL ID:04695600012399X INDN:KRAY PC CO ID:1161124166 CCD"/>
        <s v="Check 116"/>
        <s v="PAYCHEX INC. DES:PAYROLL ID:04510000000334X INDN:KRAY PC CO ID:1161124166 CCD"/>
        <s v="BENCO DENTAL CO 01/10 PURCHASE 800-462-3626 PA DEBIT CARD *1171"/>
        <s v="Check 10007"/>
        <s v="LAW OFFICE OF. 10/02 PURCHASE LYNNFIELD MA DEBIT CARD *1171"/>
        <s v="PAYCHEX TPS DES:TAXES ID:09092900008533X INDN:KRAY PC CO ID:1161124166 CCD"/>
        <s v="PAYCHEX TPS DES:TAXES ID:10609000007170X INDN:KRAY PC CO ID:1161124166 CCD"/>
        <s v="PAYCHEX INC. DES:PAYROLL ID:05034400015071X INDN:KRAY PC CO ID:1161124166 CCD"/>
        <s v="PAYCHEX TPS DES:TAXES ID:10442200007721X INDN:KRAY PC CO ID:1161124166 CCD"/>
        <s v="PAYCHEX INC. DES:PAYROLL ID:04365500025811X INDN:KRAY PC CO ID:1161124166 CCD"/>
        <s v="PAYCHEX TPS DES:TAXES ID:08407200019270X INDN:KRAY PC CO ID:1161124166 CCD"/>
        <s v="Online Banking Transfer Conf# ctbg43ypy; GORGEOUS SMILES DENTAL PC"/>
        <s v="PAYCHEX INC. DES:PAYROLL ID:04178300007043X INDN:KRAY PC CO ID:1161124166 CCD"/>
        <s v="Check 194"/>
        <s v="PAYCHEX TPS DES:TAXES ID:09257500008805X INDN:KRAY PC CO ID:1161124166 CCD"/>
        <s v="PAYCHEX TPS DES:TAXES ID:08592000007840X INDN:KRAY PC CO ID:1161124166 CCD"/>
        <s v="SQ *DESIGN DENTAL LAB 08/02 PURCHASE Rockland MA DEBIT CARD *1171"/>
        <s v="Check 195"/>
        <s v="PAYCHEX TPS DES:TAXES ID:10114200009557X INDN:KRAY PC CO ID:1161124166 CCD"/>
        <s v="Check 152"/>
        <s v="PAYCHEX TPS DES:TAXES ID:08753600008443X INDN:KRAY PC CO ID:1161124166 CCD"/>
        <s v="SQ *DESIGN DENTAL LAB 06/26 PURCHASE Suffield CT DEBIT CARD *1171"/>
        <s v="GLOBAL PAYMENTS DES:GLOBAL STL ID:8788240095518 INDN:GORGEOUS SMILES DENTAL CO ID:N469221406 CCD"/>
        <s v="SQ *DESIGN DENTAL LAB 09/26 PURCHASE Suffield CT DEBIT CARD *1171"/>
        <s v="Northgate Center Bill Payment"/>
        <s v="PAYCHEX TPS DES:TAXES ID:10280100007172X INDN:KRAY PC CO ID:1161124166 CCD"/>
        <s v="Check 107"/>
        <s v="BKOFAMERICA BC 10/31 #000001757 TO CHKG 243 Hartford Tpke Vernon CT"/>
        <s v="Online Banking payment to CRD 9566 Confirmation# 3061908039"/>
        <s v="PAYCHEX TPS DES:TAXES ID:09938900010732X INDN:KRAY PC CO ID:1161124166 CCD"/>
        <s v="PAYCHEX TPS DES:TAXES ID:09758700018132X INDN:KRAY PC CO ID:1161124166 CCD"/>
        <s v="Check 102"/>
        <s v="TRANSFER KRAY PC:Northgate Center, LL Confirmation# 0584091349"/>
        <s v="TRANSFER KRAY PC:Northgate Center, LL Confirmation# 0544325615"/>
        <s v="TRANSFER KRAY PC:Northgate Center, LL Confirmation# 1320325077"/>
        <s v="TRANSFER KRAY PC:Northgate Center, LL Confirmation# 3079378308"/>
        <s v="TRANSFER KRAY PC:Northgate Center, LL Confirmation# 0530158124"/>
        <s v="TRANSFER KRAY PC:Northgate Center, LL Confirmation# 1797490655"/>
        <s v="TRANSFER KRAY PC:Northgate Center, LL Confirmation# 0156523902"/>
        <s v="TRANSFER KRAY PC:Northgate Center, LL Confirmation# 1541773849"/>
        <s v="TRANSFER KRAY PC:Northgate Center, LL Confirmation# 3083821163"/>
        <s v="TRANSFER KRAY PC:Northgate Center, LL Confirmation# 2751487641"/>
        <s v="TRANSFER KRAY PC:Northgate Center, LL Confirmation# 0136795266"/>
        <s v="TRANSFER KRAY PC:Northgate Center, LL Confirmation# 1478521008"/>
        <s v="TRANSFER KRAY PC:Northgate Center, LL Confirmation# 0446683664"/>
        <s v="PAYCHEX TPS DES:TAXES ID:09427400009202X INDN:KRAY PC CO ID:1161124166 CCD"/>
        <s v="BIANCA SIGNS PLUS LLC 08/23 PURCHASE 860-2238778 CT DEBIT CARD *1171"/>
        <s v="PAYCHEX TPS DES:TAXES ID:09595700010646X INDN:KRAY PC CO ID:1161124166 CCD"/>
        <s v="PAYCHEX TPS DES:TAXES ID:08921400002374X INDN:KRAY PC CO ID:1161124166 CCD"/>
        <s v="SWEDEN &amp; MARTINA INC. 11/11 PURCHASE 714-3714067 IL DEBIT CARD *1171"/>
        <s v="PAYCHEX TPS DES:TAXES ID:06516800020291X INDN:KRAY PC CO ID:1161124166 CCD"/>
        <s v="PRECISION DENTAL BILL 02/18 PURCHASE WWW.PRECISION WI DEBIT CARD *0212"/>
        <s v="SWEDEN &amp; MARTINA INC. 07/23 PURCHASE 714-3714067 IL DEBIT CARD *1171"/>
        <s v="SWEDEN &amp; MARTINA INC. 08/09 PURCHASE 714-3714067 IL DEBIT CARD *1171"/>
        <s v="PAYCHEX TPS DES:TAXES ID:10876500007618X INDN:KRAY PC CO ID:1161124166 CCD"/>
        <s v="PAYCHEX TPS DES:TAXES ID:06698600020270X INDN:KRAY PC CO ID:1161124166 CCD"/>
        <s v="PAYCHEX TPS DES:TAXES ID:06176400019446X INDN:KRAY PC CO ID:1161124166 CCD"/>
        <s v="PAYCHEX TPS DES:TAXES ID:08090800014934X INDN:KRAY PC CO ID:1161124166 CCD"/>
        <s v="PAYCHEX TPS DES:TAXES ID:07752400024908X INDN:KRAY PC CO ID:1161124166 CCD"/>
        <s v="PAYCHEX TPS DES:TAXES ID:08235800018092X INDN:KRAY PC CO ID:1161124166 CCD"/>
        <s v="PAYCHEX TPS DES:TAXES ID:07601400012069X INDN:KRAY PC CO ID:1161124166 CCD"/>
        <s v="PAYCHEX TPS DES:TAXES ID:05924000020138X INDN:KRAY PC CO ID:1161124166 CCD"/>
        <s v="SWEDEN &amp; MARTINA INC. 02/28 PURCHASE 714-3714067 IL DEBIT CARD *0212"/>
        <s v="PAYCHEX TPS DES:TAXES ID:06904300008658X INDN:KRAY PC CO ID:1161124166 CCD"/>
        <s v="PAYCHEX TPS DES:TAXES ID:06342000021148X INDN:KRAY PC CO ID:1161124166 CCD"/>
        <s v="PAYCHEX TPS DES:TAXES ID:07272900009266X INDN:KRAY PC CO ID:1161124166 CCD"/>
        <s v="PRECISION DENTAL BILL 01/19 PURCHASE WWW.PRECISION WI DEBIT CARD *0212"/>
        <s v="RETURN ITEM CHARGEBACK"/>
        <s v="PAYCHEX TPS DES:TAXES ID:07074600020400X INDN:KRAY PC CO ID:1161124166 CCD"/>
        <s v="PAYCHEX TPS DES:TAXES ID:07909700026168X INDN:KRAY PC CO ID:1161124166 CCD"/>
        <s v="PAYCHEX TPS DES:TAXES ID:05615200010475X INDN:KRAY PC CO ID:1161124166 CCD"/>
        <s v="PAYCHEX TPS DES:TAXES ID:07440200010749X INDN:KRAY PC CO ID:1161124166 CCD"/>
        <s v="PAYCHEX INC. DES:PAYROLL ID:03839200015394X INDN:KRAY PC CO ID:1161124166 CCD"/>
        <s v="PAYCHEX TPS DES:TAXES ID:04879000010421X INDN:KRAY PC CO ID:1161124166 CCD"/>
        <s v="PAYCHEX TPS DES:TAXES ID:05220400031962X INDN:KRAY PC CO ID:1161124166 CCD"/>
        <s v="BTS*NATIONALDENTEX 04/18 PURCHASE 833-299-0696 FL DEBIT CARD *1171"/>
        <s v="PAYCHEX TPS DES:TAXES ID:04693300022732X INDN:KRAY PC CO ID:1161124166 CCD"/>
        <s v="PAYCHEX TPS DES:TAXES ID:04506500018295X INDN:KRAY PC CO ID:1161124166 CCD"/>
        <s v="PAYCHEX TPS DES:TAXES ID:04178600022583X INDN:KRAY PC CO ID:1161124166 CCD"/>
        <s v="Check 178"/>
        <s v="PAYCHEX TPS DES:TAXES ID:03993900020835X INDN:KRAY PC CO ID:1161124166 CCD"/>
        <s v="BIANCA SIGNS PLUS LLC 01/10 PURCHASE 860-2238778 CT DEBIT CARD *1171"/>
        <s v="PAYCHEX TPS DES:TAXES ID:04366900011789X INDN:KRAY PC CO ID:1161124166 CCD"/>
        <s v="NOBLE DENTAL SUPPLIES 10/30 PURCHASE 012-345-6789 NY DEBIT CARD *1171"/>
        <s v="MIDWEST DENTAL ARTS 01/29 PURCHASE 319-8574030 IA DEBIT CARD *0212"/>
        <s v="Check 153"/>
        <s v="IN *AFFORDABLE DENTAL S 01/06 PURCHASE 860-9301965 CT DEBIT CARD *0212"/>
        <s v="Check 182"/>
        <s v="MIDWEST DENTAL ARTS 06/19 PURCHASE 319-8574030 IA DEBIT CARD *1171"/>
        <s v="SWEDEN &amp; MARTINA INC. 10/10 PURCHASE 714-3714067 IL DEBIT CARD *1171"/>
        <s v="REALISTICDNTLCREATIONS 08/23 PURCHASE 413-7851866 MA DEBIT CARD *1171"/>
        <s v="PRECISION DENTAL BILL 10/08 PURCHASE WWW.PRECISION WI DEBIT CARD *1171"/>
        <s v="Check 154"/>
        <s v="Online transfer to CHK 9665 Confirmation# dzpa2wvvd"/>
        <s v="REALISTICDNTLCREATIONS 01/08 PURCHASE 413-7851866 MA DEBIT CARD *1171"/>
        <s v="PAYCHEX TPS DES:TAXES ID:05036100026216X INDN:KRAY PC CO ID:1161124166 CCD"/>
        <s v="TRANSFER KRAY PC:Northgate Center, LL Confirmation# 3953553077"/>
        <s v="Check 105"/>
        <s v="SWEDEN &amp; MARTINA INC. 09/10 PURCHASE 714-3714067 IL DEBIT CARD *1171"/>
        <s v="BKOFAMERICA BC 05/06 #000005176 TO CHKG 354 Middle Tpke W Manchester CT"/>
        <s v="BHATIA AND BHATI DES:SINGLE CLI ID:KRAY PC INDN:KRAY PC CO ID:263503360 PPD PMT INFO:2023 BOOKKEEPING AND TAX PREPARATION"/>
        <s v="Online Banking payment to CRD 9566 Confirmation# 3088474460"/>
        <s v="BENCO DENTAL CO 07/05 PURCHASE 800-462-3626 PA DEBIT CARD *1171"/>
        <s v="TRANSFER KRAY PC:Northgate Center, LL Confirmation# 0317588166"/>
        <s v="PAYCHEX INC. DES:PAYROLL ID:07942000045066X INDN:KRAY PC CO ID:1161124166 CCD"/>
        <s v="EVERSOURCE DES:WEB_PAY ID:81538100030525 INDN:KRAY PC CO ID:4851292029 WEB"/>
        <s v="PAYCHEX INC. DES:PAYROLL ID:03995800024737X INDN:KRAY PC CO ID:1161124166 CCD"/>
        <s v="BTS*PattersonDental 08/27 PURCHASE 800-3285536 MN DEBIT CARD *1171"/>
        <s v="Check 118"/>
        <s v="MCCORMICK ALLUM LLC 02/12 PURCHASE 413-737-1196 MA DEBIT CARD *1171"/>
        <s v="EVERSOURCE DES:WEB_PAY ID:23798537111423 INDN:RAYMOND BELISLE CO ID:4120181050 CCD"/>
        <s v="EVERSOURCE DES:WEB_PAY ID:53430836071824 INDN:RAYMOND BELISLE CO ID:4120181050 CCD"/>
        <s v="REALISTICDNTLCREATIONS 11/09 PURCHASE 413-7851866 MA DEBIT CARD *1171"/>
        <s v="PRECISION DENTAL BILL 11/17 PURCHASE WWW.PRECISION WI DEBIT CARD *1171"/>
        <s v="REALISTICDNTLCREATIONS 08/01 PURCHASE 413-7851866 MA DEBIT CARD *1171"/>
        <s v="HRTLAND PMT SYS DES:TXNS/FEES ID:650000013016038 INDN:GORGEOUS SMILES DENTAL CO ID:WFBEHPS001 CCD"/>
        <s v="Check 110"/>
        <s v="EVERSOURCE DES:WEB_PAY ID:57257940081924 INDN:RAYMOND BELISLE CO ID:4120181050 CCD"/>
        <s v="Check 119"/>
        <s v="SPI*EVERSOURCE. 10/03 PURCHASE 877-659-6326 CT DEBIT CARD *1171"/>
        <s v="Check 183"/>
        <s v="BTS*PattersonDental 07/25 PURCHASE 800-3285536 MN DEBIT CARD *1171"/>
        <s v="REALISTICDNTLCREATIONS 06/26 PURCHASE 413-7851866 MA DEBIT CARD *1171"/>
        <s v="REALISTICDNTLCREATIONS 09/25 PURCHASE 413-7851866 MA DEBIT CARD *1171"/>
        <s v="REALISTICDNTLCREATIONS 05/28 PURCHASE 413-7851866 MA DEBIT CARD *1171"/>
        <s v="Check 196"/>
        <s v="Check 180"/>
        <s v="NOBLE DENTAL SUPPLIES 02/26 PURCHASE 012-345-6789 NY DEBIT CARD *1171"/>
        <s v="THE HOME DEPOT 08/30 PURCHASE ENFIELD CT DEBIT CARD *1171"/>
        <s v="NOBLE DENTAL SUPPLIES 04/22 PURCHASE 012-345-6789 NY DEBIT CARD *1171"/>
        <s v="NOBLE DENTAL SUPPLIES 02/02 PURCHASE 012-345-6789 NY DEBIT CARD *1171"/>
        <s v="Check 106"/>
        <s v="EVERSOURCE DES:WEB_PAY ID:79200513021425 INDN:RAYMOND BELISLE CO ID:4120181050 CCD"/>
        <s v="BTS*PattersonDental 06/27 PURCHASE 800-3285536 MN DEBIT CARD *1171"/>
        <s v="EVERSOURCE DES:WEB_PAY ID:49520764061424 INDN:RAYMOND BELISLE CO ID:4120181050 CCD"/>
        <s v="EVERSOURCE DES:WEB_PAY ID:60755896091724 INDN:RAYMOND BELISLE CO ID:4120181050 CCD"/>
        <s v="Check 10009"/>
        <s v="Check 181"/>
        <s v="Check 122"/>
        <s v="Check 187"/>
        <s v="Check 188"/>
        <s v="Check 189"/>
        <s v="PAYCHEX TPS DES:TAXES ID:03835100009878X INDN:KRAY PC CO ID:1161124166 CCD"/>
        <s v="PRECISION DENTAL BILL 02/21 PURCHASE WWW.PRECISION WI DEBIT CARD *0212"/>
        <s v="REALISTICDNTLCREATIONS 02/12 PURCHASE 413-7851866 MA DEBIT CARD *1171"/>
        <s v="EVERSOURCE DES:WEB_PAY ID:64541127101724 INDN:RAYMOND BELISLE CO ID:4120181050 CCD"/>
        <s v="EVERSOURCE DES:WEB_PAY ID:42411971041724 INDN:RAYMOND BELISLE CO ID:4120181050 CCD"/>
        <s v="NOBLE DENTAL SUPPLIES 01/08 PURCHASE 012-345-6789 NY DEBIT CARD *1171"/>
        <s v="eBay O*13-11973-93423 08/22 PURCHASE 408-3766151 CA DEBIT CARD *1171"/>
        <s v="EVERSOURCE DES:WEB_PAY ID:46081145051624 INDN:RAYMOND BELISLE CO ID:4120181050 CCD"/>
        <s v="NOBLE DENTAL SUPPLIES 01/03 PURCHASE 012-345-6789 NY DEBIT CARD *1171"/>
        <s v="EVERSOURCE DES:WEB_PAY ID:34685086021424 INDN:RAYMOND BELISLE CO ID:4120181050 CCD"/>
        <s v="REALISTICDNTLCREATIONS 03/07 PURCHASE 413-7851866 MA DEBIT CARD *1171"/>
        <s v="REALISTICDNTLCREATIONS 12/13 PURCHASE 413-7851866 MA DEBIT CARD *1171"/>
        <s v="EVERSOURCE DES:WEB_PAY ID:75523609011625 INDN:RAYMOND BELISLE CO ID:4120181050 CCD"/>
        <s v="EVERSOURCE DES:WEB_PAY ID:38498216031524 INDN:RAYMOND BELISLE CO ID:4120181050 CCD"/>
        <s v="EVERSOURCE DES:WEB_PAY ID:31189969011724 INDN:RAYMOND BELISLE CO ID:4120181050 CCD"/>
        <s v="REALISTICDNTLCREATIONS 04/12 PURCHASE 413-7851866 MA DEBIT CARD *1171"/>
        <s v="PRECISION DENTAL BILL 09/26 PURCHASE WWW.PRECISION WI DEBIT CARD *1171"/>
        <s v="Check 109"/>
        <s v="BTS*NATIONALDENTEX 09/27 PURCHASE 833-299-0696 FL DEBIT CARD *1171"/>
        <s v="Check 10005"/>
        <s v="EVERSOURCE DES:WEB_PAY ID:67938383111424 INDN:RAYMOND BELISLE CO ID:4120181050 CCD"/>
        <s v="THE HANOVER INSU CE G 07/15 PURCHASE 517-546-2160 MA DEBIT CARD *1171"/>
        <s v="THE HANOVER INSU CE G 03/08 PURCHASE 517-546-2160 MA DEBIT CARD *1171"/>
        <s v="EVERSOURCE DES:WEB_PAY ID:27437976121423 INDN:RAYMOND BELISLE CO ID:4120181050 CCD"/>
        <s v="Check 184"/>
        <s v="LIBERTY MUTUAL 11/17 PURCHASE 866-290-2920 NH DEBIT CARD *1171"/>
        <s v="EVERSOURCE DES:WEB_PAY ID:71841694121624 INDN:RAYMOND BELISLE CO ID:4120181050 CCD"/>
        <s v="HF ACQUISITION CO LLC 12/13 PURCHASE 800-331-1984 WA DEBIT CARD *1171"/>
        <s v="NOBLE DENTAL SUPPLIES 01/23 PURCHASE 012-345-6789 NY DEBIT CARD *1171"/>
        <s v="NOBLE DENTAL SUPPLIES 07/08 PURCHASE 012-345-6789 NY DEBIT CARD *1171"/>
        <s v="CROSS IT CONSULTING 09/27 PURCHASE 508-7286548 MA DEBIT CARD *1171"/>
        <s v="BTS*PattersonDental 11/17 PURCHASE 800-3285536 MN DEBIT CARD *1171"/>
        <s v="COMCAST BOSTON 02/18 PURCHASE 800-266-2278 NH DEBIT CARD *0212"/>
        <s v="JAZZ IMAGING 10/01 PURCHASE 800-555-5299 CA DEBIT CARD *1171"/>
        <s v="NOBLE DENTAL SUPPLIES 06/13 PURCHASE 012-345-6789 NY DEBIT CARD *1171"/>
        <s v="NOBLE DENTAL SUPPLIES 08/28 PURCHASE 012-345-6789 NY DEBIT CARD *1171"/>
        <s v="CARGUS INTERNATIONAL 08/22 PURCHASE 012-345-6789 NY DEBIT CARD *1171"/>
        <s v="NOBLE DENTAL SUPPLIES 05/24 PURCHASE 012-345-6789 NY DEBIT CARD *1171"/>
        <s v="eBay O*11-11090-72920 01/23 PURCHASE 408-3766151 CA DEBIT CARD *1171"/>
        <s v="NOBLE DENTAL SUPPLIES 12/18 PURCHASE 012-345-6789 NY DEBIT CARD *1171"/>
        <s v="NOBLE DENTAL SUPPLIES 08/02 PURCHASE 012-345-6789 NY DEBIT CARD *1171"/>
        <s v="Check 10014"/>
        <s v="EDGE ENDO LLC 10/04 PURCHASE 855-985-3636 NM DEBIT CARD *1171"/>
        <s v="SWEDEN &amp; MARTINA INC. 10/29 PURCHASE 714-3714067 IL DEBIT CARD *1171"/>
        <s v="PAYCHEX TPS DES:TAXES ID:07945400005631X INDN:KRAY PC CO ID:1161124166 CCD"/>
        <s v="PAYCHEX-HRS DES:401(K) ID:0000046968944 INDN:KRAY PC CO ID:9540920001 CCD"/>
        <s v="NOBLE DENTAL SUPPLIES 07/22 PURCHASE 012-345-6789 NY DEBIT CARD *1171"/>
        <s v="PAYCHEX-HRS DES:401(K) ID:0000047113353 INDN:KRAY PC CO ID:9540920001 CCD"/>
        <s v="HANOVER INS DES:BILLPAY ID:INS PMNT INDN:GORGEOUS SMILES DENTAL CO ID:0000000160 PPD"/>
        <s v="PAYCHEX TPS DES:TAXES ID:05224600036308X INDN:KRAY PC CO ID:1161124166 CCD"/>
        <s v="Agent Assisted pymt to BkofAm CRD 1885 Confirmation# bcc1kouyo"/>
        <s v="NOBLE DENTAL SUPPLIES 01/26 PURCHASE 012-345-6789 NY DEBIT CARD *1171"/>
        <s v="Indeed Jobs 11/26 PURCHASE 800-4625842 TX DEBIT CARD *1171"/>
        <s v="Staples Inc 04/12 PURCHASE staples.com MA DEBIT CARD *1171"/>
        <s v="Indeed Jobs 10/23 PURCHASE 800-4625842 TX DEBIT CARD *1171"/>
        <s v="NOBLE DENTAL SUPPLIES 06/17 PURCHASE 012-345-6789 NY DEBIT CARD *1171"/>
        <s v="Indeed 90372912 03/23 PURCHASE 800-4625842 TX DEBIT CARD *1171"/>
        <s v="Indeed 92934370 05/26 PURCHASE 800-4625842 TX DEBIT CARD *1171"/>
        <s v="Indeed 94173067 06/25 PURCHASE 800-4625842 TX DEBIT CARD *1171"/>
        <s v="Indeed 95370381 07/25 PURCHASE 800-4625842 TX DEBIT CARD *1171"/>
        <s v="Indeed 91679227 04/25 PURCHASE 800-4625842 TX DEBIT CARD *1171"/>
        <s v="Indeed Jobs 08/26 PURCHASE 800-4625842 TX DEBIT CARD *1171"/>
        <s v="Indeed Jobs 11/19 PURCHASE 800-4625842 TX DEBIT CARD *1171"/>
        <s v="Indeed Jobs 09/26 PURCHASE 800-4625842 TX DEBIT CARD *1171"/>
        <s v="Staples Inc 09/17 PURCHASE staples.com MA DEBIT CARD *1171"/>
        <s v="BENCO DENTAL DES:COLLECTION ID:95507281 INDN: NORTHGATE DENTAL CO ID:1935349000 CCD"/>
        <s v="BTS*PattersonDental 01/10 PURCHASE 800-3285536 MN DEBIT CARD *1171"/>
        <s v="NOBLE DENTAL SUPPLIES 05/03 PURCHASE 012-345-6789 NY DEBIT CARD *1171"/>
        <s v="CARGUS INTERNATIONAL 11/16 PURCHASE 012-345-6789 NY DEBIT CARD *1171"/>
        <s v="REPUBLIC SERVICES TRASH 02/07 PURCHASE 866-576-5548 AZ DEBIT CARD *0212"/>
        <s v="NOBLE DENTAL SUPPLIES 06/25 PURCHASE 012-345-6789 NY DEBIT CARD *1171"/>
        <s v="Google ADS6512412543 02/27 PURCHASE 650-2530000 CA DEBIT CARD *1171"/>
        <s v="Google ADS6512412543 03/11 PURCHASE 650-2530000 CA DEBIT CARD *1171"/>
        <s v="Google ADS6512412543 06/14 PURCHASE 650-2530000 CA DEBIT CARD *1171"/>
        <s v="Google ADS6512412543 06/21 PURCHASE 650-2530000 CA DEBIT CARD *1171"/>
        <s v="Google ADS6512412543 07/08 PURCHASE 650-2530000 CA DEBIT CARD *1171"/>
        <s v="Google ADS6512412543 07/12 PURCHASE 650-2530000 CA DEBIT CARD *1171"/>
        <s v="Online Banking payment to CRD 9566 Confirmation# 0133432717"/>
        <s v="Google ADS6512412543 07/01 PURCHASE 650-2530000 CA DEBIT CARD *1171"/>
        <s v="REPUBLIC SERVICES TRASH 06/26 PURCHASE 866-576-5548 AZ DEBIT CARD *1171"/>
        <s v="HF ACQUISITION CO LLC 08/26 PURCHASE 800-331-1984 WA DEBIT CARD *1171"/>
        <s v="AMZN MKTP US*RT1FU16R1 01/12 PURCHASE SEATTLE WA DEBIT CARD *1171"/>
        <s v="Staples Inc 01/12 PURCHASE staples.com MA DEBIT CARD *1171"/>
        <s v="NET32* PA DENTAL 02/17 PURCHASE WWW.NET32.COM NC DEBIT CARD *0212"/>
        <s v="REPUBLIC SERVICES TRASH 11/14 PURCHASE HTTP://WWW.PH AZ DEBIT CARD *1171"/>
        <s v="VYNE DENTAL 08/15 PURCHASE 800-7825150 GA DEBIT CARD *1171"/>
        <s v="STAPLS7652021668000001 02/22 PURCHASE 877-8267755 NY DEBIT CARD *0212"/>
        <s v="NOBLE DENTAL SUPPLIES 03/27 PURCHASE 012-345-6789 NY DEBIT CARD *1171"/>
        <s v="COMM OF MASS EFT DES:MA DOR PAY ID:1546297024 INDN:KRAY PC CO ID:4602285821 CCD"/>
        <s v="COMM OF MASS EFT DES:MA DOR PAY ID:625107904 INDN:KRAY PC CO ID:4602285821 CCD"/>
        <s v="Google ADS6512412543 10/01 PURCHASE 650-2530000 CA DEBIT CARD *1171"/>
        <s v="CARGUS INTERNATIONAL 10/04 PURCHASE 012-345-6789 NY DEBIT CARD *1171"/>
        <s v="CARGUS INTERNATIONAL 10/10 PURCHASE 012-345-6789 NY DEBIT CARD *1171"/>
        <s v="EVERSOURCE DES:WEB_PAY ID:62456142093024 INDN:RAYMOND BELISLE CO ID:4851292029 WEB"/>
        <s v="PAYCHEX-HRS DES:401(K) ID:0000046838652 INDN:KRAY PC CO ID:9540920001 CCD"/>
        <s v="Check 10001"/>
        <s v="Check 123"/>
        <s v="JAZZ IMAGING 02/01 PURCHASE 800-555-5299 CA DEBIT CARD *0212"/>
        <s v="JAZZ IMAGING 03/01 PURCHASE 800-555-5299 CA DEBIT CARD *0212"/>
        <s v="NOBLE DENTAL SUPPLIES 02/22 PURCHASE 012-345-6789 NY DEBIT CARD *1171"/>
        <s v="AMAZON RETA* EJ4FO3993 09/13 PURCHASE WWW.AMAZON.CO WA DEBIT CARD *1171"/>
        <s v="P&amp;G PROF ORAL HEALTH 08/26 PURCHASE 800-543-2577 OH DEBIT CARD *1171"/>
        <s v="P&amp;G PROF ORAL HEALTH 12/26 PURCHASE 800-543-2577 OH DEBIT CARD *0212"/>
        <s v="PAYCHEX-HRS DES:HRS PMT ID:48082099 INDN:KRAY PC CO ID:2555124166 CCD"/>
        <s v="CEBULA ELECTRONICS CORP 11/09 PURCHASE 413-594-9916 MA DEBIT CARD *1171"/>
        <s v="Staples Inc 09/10 PURCHASE staples.com MA DEBIT CARD *1171"/>
        <s v="HF ACQUISITION CO LLC 12/30 PURCHASE 800-331-1984 WA DEBIT CARD *0212"/>
        <s v="BENCO DENTAL CO 12/30 PURCHASE 800-462-3626 PA DEBIT CARD *0212"/>
        <s v="PAYCHEX-HRS DES:HRS PMT ID:47107413 INDN:KRAY PC CO ID:2555124166 CCD"/>
        <s v="PAYCHEX-HRS DES:HRS PMT ID:47318823 INDN:KRAY PC CO ID:2555124166 CCD"/>
        <s v="PAYCHEX-HRS DES:HRS PMT ID:47680511 INDN:KRAY PC CO ID:2555124166 CCD"/>
        <s v="PAYCHEX-HRS DES:401(K) ID:0000047251026 INDN:KRAY PC CO ID:9540920001 CCD"/>
        <s v="NOBLE DENTAL SUPPLIES 09/09 PURCHASE 012-345-6789 NY DEBIT CARD *1171"/>
        <s v="Check 10019"/>
        <s v="AMAZON MARK* 8B5PR76J3 10/11 PURCHASE HTTPSAMAZON.C WA DEBIT CARD *1171"/>
        <s v="Indeed 100052109 11/21 PURCHASE 800-4625842 TX DEBIT CARD *1171"/>
        <s v="eBay O*01-12318-14058 11/11 PURCHASE Luxembourg DEBIT CARD *1171"/>
        <s v="PAYCHEX-HRS DES:HRS PMT ID:46889525 INDN:KRAY PC CO ID:2555124166 CCD"/>
        <s v="NOBLE DENTAL SUPPLIES 08/14 PURCHASE 012-345-6789 NY DEBIT CARD *1171"/>
        <s v="Staples Inc 11/01 PURCHASE staples.com MA DEBIT CARD *1171"/>
        <s v="PAYCHEX-HRS DES:HRS PMT ID:46655851 INDN:KRAY PC CO ID:2555124166 CCD"/>
        <s v="VISTAPRINT 02/04 PURCHASE 866-207-4955 MA DEBIT CARD *0212"/>
        <s v="NOBLE DENTAL SUPPLIES 09/26 PURCHASE 012-345-6789 NY DEBIT CARD *1171"/>
        <s v="NOBLE DENTAL SUPPLIES 01/05 PURCHASE 012-345-6789 NY DEBIT CARD *1171"/>
        <s v="PAYCHEX-HRS DES:HRS PMT ID:46443102 INDN:KRAY PC CO ID:2555124166 CCD"/>
        <s v="Check 8111"/>
        <s v="Google ADS6512412543 02/20 PURCHASE 650-2530000 CA DEBIT CARD *1171"/>
        <s v="PAYCHEX-HRS DES:HRS PMT ID:45209622 INDN:KRAY PC CO ID:2555124166 CCD"/>
        <s v="NOBLE DENTAL SUPPLIES 01/10 PURCHASE 012-345-6789 NY DEBIT CARD *1171"/>
        <s v="PAYCHEX-HRS DES:HRS PMT ID:45994892 INDN:KRAY PC CO ID:2555124166 CCD"/>
        <s v="PAYCHEX-HRS DES:HRS PMT ID:46226012 INDN:KRAY PC CO ID:2555124166 CCD"/>
        <s v="PAYCHEX-HRS DES:HRS PMT ID:45570412 INDN:KRAY PC CO ID:2555124166 CCD"/>
        <s v="PAYCHEX-HRS DES:HRS PMT ID:45783373 INDN:KRAY PC CO ID:2555124166 CCD"/>
        <s v="NOBLE DENTAL SUPPLIES 04/24 PURCHASE 012-345-6789 NY DEBIT CARD *1171"/>
        <s v="REPUBLIC SERVICES TRASH 02/12 PURCHASE 866-576-5548 AZ DEBIT CARD *1171"/>
        <s v="eBay O*03-11373-55116 03/27 PURCHASE 408-3766151 CA DEBIT CARD *1171"/>
        <s v="AMAZON MKTPL*WU7A383A3 09/17 PURCHASE Amzn.com/bill WA DEBIT CARD *1171"/>
        <s v="REPUBLIC SERVICES TRASH 12/18 PURCHASE 866-576-5548 AZ DEBIT CARD *1171"/>
        <s v="REPUBLIC SERVICES TRASH 09/14 PURCHASE HTTP://WWW.PH AZ DEBIT CARD *1171"/>
        <s v="Check 200"/>
        <s v="EDGE ENDO LLC 01/15 PURCHASE 855-985-3636 NM DEBIT CARD *1171"/>
        <s v="LIBERTY MUTUAL 01/01 PURCHASE 866-290-2920 NH DEBIT CARD *1171"/>
        <s v="Indeed 95647573 08/01 PURCHASE 800-4625842 TX DEBIT CARD *1171"/>
        <s v="CT SECRETARY OF STATE 01/10 PURCHASE 860-5096151 CT DEBIT CARD *1171"/>
        <s v="NOBLE DENTAL SUPPLIES 12/11 PURCHASE 012-345-6789 NY DEBIT CARD *1171"/>
        <s v="Check 104"/>
        <s v="8X8, INC. 03/02 PURCHASE 888-898-8733 CA DEBIT CARD *0212"/>
        <s v="NOBLE DENTAL SUPPLIES 10/07 PURCHASE 012-345-6789 NY DEBIT CARD *1171"/>
        <s v="AMAZON MKTPL*RV1TJ39Y0 07/30 PURCHASE Amzn.com/bill WA DEBIT CARD *1171"/>
        <s v="REPUBLIC SERVICES TRASH 10/05 PURCHASE 866-576-5548 AZ DEBIT CARD *1171"/>
        <s v="Staples Inc 12/15 PURCHASE staples.com MA DEBIT CARD *1171"/>
        <s v="THE HOME DEPOT 09/02 PURCHASE W SPRINGFIELD MA DEBIT CARD *1171"/>
        <s v="JAZZ IMAGING 09/12 PURCHASE 800-555-5299 CA DEBIT CARD *1171"/>
        <s v="JAZZ IMAGING 10/02 PURCHASE 800-555-5299 CA DEBIT CARD *1171"/>
        <s v="JAZZ IMAGING 11/02 PURCHASE 800-555-5299 CA DEBIT CARD *1171"/>
        <s v="JAZZ IMAGING 12/02 PURCHASE 800-555-5299 CA DEBIT CARD *1171"/>
        <s v="JAZZ IMAGING 01/02 PURCHASE 800-555-5299 CA DEBIT CARD *0212"/>
        <s v="8X8, INC. 02/19 PURCHASE 888-898-8733 CA DEBIT CARD *0212"/>
        <s v="AMZN MKTP US*R090X5HH1 01/28 PURCHASE SEATTLE WA DEBIT CARD *1171"/>
        <s v="AMAZON MKTPL*DG7XT0X33 10/05 PURCHASE Amzn.com/bill WA DEBIT CARD *1171"/>
        <s v="AMZN Mktp US*TD6DR8F40 10/13 PURCHASE Amzn.com/bill WA DEBIT CARD *1171"/>
        <s v="FASTSIGNS MANCHESTER 12/05 PURCHASE 860-6445700 CT DEBIT CARD *1171"/>
        <s v="ADTSECURITY MYADT.COM 11/16 PURCHASE 800-238-2727 FL DEBIT CARD *1171"/>
        <s v="STAPLES 00100065 09/05 PURCHASE WEST SPRINGFI MA DEBIT CARD *1171"/>
        <s v="NNT Liberty Mu 10/01 PURCHASE Boston MA DEBIT CARD *1171"/>
        <s v="NNT Liberty Mu 11/01 PURCHASE Boston MA DEBIT CARD *1171"/>
        <s v="NNT Liberty Mu 12/02 PURCHASE Boston MA DEBIT CARD *1171"/>
        <s v="AMZN Mktp US*R02070HB1 01/28 PURCHASE Amzn.com/bill WA DEBIT CARD *1171"/>
        <s v="COMCAST CABLE COMM 10/18 PURCHASE 800-COMCAST NH DEBIT CARD *1171"/>
        <s v="NOBLE DENTAL SUPPLIES 07/29 PURCHASE 012-345-6789 NY DEBIT CARD *1171"/>
        <s v="Liberty Mutual Insuranc 02/01 PURCHASE Boston MA DEBIT CARD *1171"/>
        <s v="Liberty Mutual Insuranc 03/01 PURCHASE Boston MA DEBIT CARD *1171"/>
        <s v="Liberty Mutual Insuranc 04/01 PURCHASE Boston MA DEBIT CARD *1171"/>
        <s v="Liberty Mutual Insuranc 05/01 PURCHASE Boston MA DEBIT CARD *1171"/>
        <s v="Liberty Mutual Insuranc 06/03 PURCHASE Boston MA DEBIT CARD *1171"/>
        <s v="Liberty Mutual Insuranc 07/01 PURCHASE Boston MA DEBIT CARD *1171"/>
        <s v="Liberty Mutual Insuranc 08/01 PURCHASE Boston MA DEBIT CARD *1171"/>
        <s v="Liberty Mutual Insuranc 09/03 PURCHASE Boston MA DEBIT CARD *1171"/>
        <s v="8X8, INC. 10/02 PURCHASE 888-898-8733 CA DEBIT CARD *1171"/>
        <s v="8X8, INC. 11/02 PURCHASE 888-898-8733 CA DEBIT CARD *1171"/>
        <s v="8X8, INC. 12/02 PURCHASE 888-898-8733 CA DEBIT CARD *1171"/>
        <s v="8X8, INC. 07/02 PURCHASE 888-898-8733 CA DEBIT CARD *1171"/>
        <s v="8X8, INC. 08/02 PURCHASE 888-898-8733 CA DEBIT CARD *1171"/>
        <s v="8X8, INC. 09/02 PURCHASE 888-898-8733 CA DEBIT CARD *1171"/>
        <s v="8X8, INC. 04/02 PURCHASE 888-898-8733 CA DEBIT CARD *1171"/>
        <s v="8X8, INC. 05/02 PURCHASE 888-898-8733 CA DEBIT CARD *1171"/>
        <s v="8X8, INC. 06/02 PURCHASE 888-898-8733 CA DEBIT CARD *1171"/>
        <s v="CROSS IT CONSULTING 10/01 PURCHASE 508-7286548 MA DEBIT CARD *1171"/>
        <s v="CROSS IT CONSULTING 11/01 PURCHASE 508-7286548 MA DEBIT CARD *1171"/>
        <s v="CROSS IT CONSULTING 12/01 PURCHASE 508-7286548 MA DEBIT CARD *1171"/>
        <s v="Remote Deposit Non-Returned Scanner Fee NBK7TTP"/>
        <s v="CROSS IT CONSULTING 02/05 PURCHASE 508-7286548 MA DEBIT CARD *0212"/>
        <s v="CROSS IT CONSULTING 03/01 PURCHASE 508-7286548 MA DEBIT CARD *0212"/>
        <s v="COMCAST CABLE COMM 01/18 PURCHASE 800-COMCAST NH DEBIT CARD *1171"/>
        <s v="COMCAST CABLE COMM 02/18 PURCHASE 800-COMCAST NH DEBIT CARD *1171"/>
        <s v="COMCAST CABLE COMM 03/18 PURCHASE 800-COMCAST NH DEBIT CARD *1171"/>
        <s v="COMCAST CABLE COMM 04/18 PURCHASE 800-COMCAST NH DEBIT CARD *1171"/>
        <s v="COMCAST CABLE COMM 05/18 PURCHASE 800-COMCAST NH DEBIT CARD *1171"/>
        <s v="COMCAST CABLE COMM 06/18 PURCHASE 800-COMCAST NH DEBIT CARD *1171"/>
        <s v="COMCAST CABLE COMM 07/18 PURCHASE 800-COMCAST NH DEBIT CARD *1171"/>
        <s v="COMCAST CABLE COMM 08/18 PURCHASE 800-COMCAST NH DEBIT CARD *1171"/>
        <s v="COMCAST CABLE COMM 09/18 PURCHASE 800-COMCAST NH DEBIT CARD *1171"/>
        <s v="COMCAST CABLE COMM 11/18 PURCHASE 800-COMCAST NH DEBIT CARD *1171"/>
        <s v="8X8, INC. 01/02 PURCHASE 888-898-8733 CA DEBIT CARD *1171"/>
        <s v="8X8, INC. 02/03 PURCHASE 888-898-8733 CA DEBIT CARD *1171"/>
        <s v="8X8, INC. 03/02 PURCHASE 888-898-8733 CA DEBIT CARD *1171"/>
        <s v="COMCAST CABLE COMM 12/18 PURCHASE 800-COMCAST NH DEBIT CARD *1171"/>
        <s v="AMZN MKTP US*R08WR9C61 01/24 PURCHASE SEATTLE WA DEBIT CARD *1171"/>
        <s v="SPI*EVERSOURCE PAYMEN 02/12 PURCHASE 800-688-6160 MA DEBIT CARD *1171"/>
        <s v="COMCAST BOSTON 10/03 PURCHASE 800-266-2278 NH DEBIT CARD *1171"/>
        <s v="MESA LABS 10/12 PURCHASE 303-9878000 CO DEBIT CARD *1171"/>
        <s v="STAPLES INC 00209908 10/28 PURCHASE staples.com MA DEBIT CARD *1171"/>
        <s v="AMAZON MKTPL*MD4I799P3 02/01 PURCHASE Amzn.com/bill WA DEBIT CARD *0212"/>
        <s v="NCOURT *MADHPL-License 09/17 PURCHASE 844-5073638 MA DEBIT CARD *1171"/>
        <s v="VYNE DENTAL 10/29 PURCHASE 800-7825150 GA DEBIT CARD *1171"/>
        <s v="NOBLE DENTAL SUPPLIES 02/28 PURCHASE 012-345-6789 NY DEBIT CARD *1171"/>
        <s v="AMAZON.COM*8L1T82TT3 12/07 PURCHASE SEATTLE WA DEBIT CARD *1171"/>
        <s v="STAPLES INC 00209908 11/14 PURCHASE staples.com MA DEBIT CARD *1171"/>
        <s v="AMAZON MKTPL*RF82H2Q11 08/01 PURCHASE Amzn.com/bill WA DEBIT CARD *1171"/>
        <s v="MESA LABS 11/08 PURCHASE 303-9878000 CO DEBIT CARD *1171"/>
        <s v="AMAZON MKTPL*AP7BG4OV3 10/15 PURCHASE Amzn.com/bill WA DEBIT CARD *1171"/>
        <s v="THE HOME DEPOT 10/31 PURCHASE ENFIELD CT DEBIT CARD *1171"/>
        <s v="Check 115"/>
        <s v="eBay O*12-11378-24358 03/30 PURCHASE 408-3766151 CA DEBIT CARD *1171"/>
        <s v="STAPLES 0006 07/18 PURCHASE W SPRINGFIELD MA DEBIT CARD *1171"/>
        <s v="PAYCHEX-HRS DES:401(K) ID:0000046707197 INDN:KRAY PC CO ID:9540920001 CCD"/>
        <s v="NET32* PA DENTAL 12/30 PURCHASE NET32.COM NC DEBIT CARD *0212"/>
        <s v="LIBERTY MUTUAL 04/30 PURCHASE 866-290-2920 NH DEBIT CARD *1171"/>
        <s v="AMAZON MKTPL*RY4IQ6941 07/12 PURCHASE Amzn.com/bill WA DEBIT CARD *1171"/>
        <s v="AMAZON MKTPL*0W23A7093 09/24 PURCHASE Amzn.com/bill WA DEBIT CARD *1171"/>
        <s v="NOBLE DENTAL SUPPLIES 03/08 PURCHASE 012-345-6789 NY DEBIT CARD *1171"/>
        <s v="Google ADS6512412543 03/01 PURCHASE 650-2530000 CA DEBIT CARD *1171"/>
        <s v="Google ADS6512412543 02/14 PURCHASE 650-2530000 CA DEBIT CARD *1171"/>
        <s v="NOBLE DENTAL SUPPLIES 03/15 PURCHASE 012-345-6789 NY DEBIT CARD *1171"/>
        <s v="AMAZON MARK* RV1WL8VB1 07/27 PURCHASE HTTPSAMAZON.C WA DEBIT CARD *1171"/>
        <s v="PAYCHEX-HRS DES:401(K) ID:0000045935744 INDN:KRAY PC CO ID:9540920001 CCD"/>
        <s v="Staples Inc 06/25 PURCHASE staples.com MA DEBIT CARD *1171"/>
        <s v="eBay O*03-11373-55117 03/27 PURCHASE 408-3766151 CA DEBIT CARD *1171"/>
        <s v="AMZN MKTP US*VO2FX9OY3 12/27 PURCHASE SEATTLE WA DEBIT CARD *1171"/>
        <s v="PAYCHEX-HRS DES:401(K) ID:0000046062577 INDN:KRAY PC CO ID:9540920001 CCD"/>
        <s v="Indeed Jobs 09/01 PURCHASE 800-4625842 TX DEBIT CARD *1171"/>
        <s v="THE HANOVER INSU CE G 07/17 PURCHASE 517-546-2160 MA DEBIT CARD *1171"/>
        <s v="Indeed 89668314 03/01 PURCHASE 800-4625842 TX DEBIT CARD *1171"/>
        <s v="AMZN MKTP US*RI9RZ3TV1 02/15 PURCHASE SEATTLE WA DEBIT CARD *1171"/>
        <s v="NET32* RIVER DENTAL SU 12/30 PURCHASE HTTPSWWW.NET3 NC DEBIT CARD *0212"/>
        <s v="NET32* FRONTIER DENTAL 12/31 PURCHASE NET32.COM NC DEBIT CARD *0212"/>
        <s v="Indeed 90878139 04/01 PURCHASE 800-4625842 TX DEBIT CARD *1171"/>
        <s v="REPUBLIC SERVICES TRASH 10/15 PURCHASE HTTP://WWW.PH AZ DEBIT CARD *1171"/>
        <s v="Indeed Jobs 11/02 PURCHASE 800-4625842 TX DEBIT CARD *1171"/>
        <s v="AMZN Mktp US*R18371O90 05/08 PURCHASE Amzn.com/bill WA DEBIT CARD *1171"/>
        <s v="Staples Inc 10/04 PURCHASE staples.com MA DEBIT CARD *1171"/>
        <s v="AIRGAS LLC - NORTH N306 12/30 PURCHASE WEST SPRINGFI MA DEBIT CARD *0212"/>
        <s v="PAYCHEX-HRS DES:401(K) ID:0000045544789 INDN:KRAY PC CO ID:9540920001 CCD"/>
        <s v="NET32* PA DENTAL 01/24 PURCHASE HTTPSWWW.NET3 NC DEBIT CARD *1171"/>
        <s v="BENCO DENTAL CO 05/24 PURCHASE 800-462-3626 PA DEBIT CARD *1171"/>
        <s v="Check 112"/>
        <s v="PAYCHEX-HRS DES:401(K) ID:0000045408998 INDN:KRAY PC CO ID:9540920001 CCD"/>
        <s v="AMAZON MKTPL*R46P94CU1 08/20 PURCHASE Amzn.com/bill WA DEBIT CARD *1171"/>
        <s v="REPUBLIC SERVICES TRASH 03/08 PURCHASE 866-576-5548 AZ DEBIT CARD *1171"/>
        <s v="REPUBLIC SERVICES TRASH 04/26 PURCHASE 866-576-5548 AZ DEBIT CARD *1171"/>
        <s v="HF ACQUISITION CO LLC 07/25 PURCHASE 800-331-1984 WA DEBIT CARD *1171"/>
        <s v="REPUBLIC SERVICES TRASH 08/26 PURCHASE 866-576-5548 AZ DEBIT CARD *1171"/>
        <s v="AMAZON MKTPL*EM1ET0B83 09/20 PURCHASE Amzn.com/bill WA DEBIT CARD *1171"/>
        <s v="READYREFRESH/WATERSERV 10/08 PURCHASE 800-274-5282 CA DEBIT CARD *1171"/>
        <s v="Indeed Jobs 12/02 PURCHASE 800-4625842 TX DEBIT CARD *1171"/>
        <s v="IN *BIOSERV, INC- CONNE 07/30 PURCHASE 203-7585550 CT DEBIT CARD *1171"/>
        <s v="AMAZON RETA* RU5PN6ED1 08/15 PURCHASE WWW.AMAZON.CO WA DEBIT CARD *1171"/>
        <s v="Indeed 95844180 08/01 PURCHASE 800-4625842 TX DEBIT CARD *1171"/>
        <s v="BIOSERV, INC. 12/30 PURCHASE 800-3788824 CT DEBIT CARD *0212"/>
        <s v="AMAZON MKTPL*RJ7MM7XF1 07/22 PURCHASE Amzn.com/bill WA DEBIT CARD *1171"/>
        <s v="STAPLES INC 00209908 11/07 PURCHASE staples.com MA DEBIT CARD *1171"/>
        <s v="PAYCHEX-HRS DES:401(K) ID:0000046444657 INDN:KRAY PC CO ID:9540920001 CCD"/>
        <s v="Spectrum 11/13 PURCHASE 855-707-7328 MO DEBIT CARD *1171"/>
        <s v="Check 103"/>
        <s v="NOBLE DENTAL SUPPLIES 01/30 PURCHASE 012-345-6789 NY DEBIT CARD *1171"/>
        <s v="Staples Inc 10/02 PURCHASE staples.com MA DEBIT CARD *1171"/>
        <s v="PAYCHEX-HRS DES:401(K) ID:0000046578526 INDN:KRAY PC CO ID:9540920001 CCD"/>
        <s v="READYREFRESH/WATERSERV 08/27 PURCHASE 800-274-5282 CA DEBIT CARD *1171"/>
        <s v="JAZZ IMAGING 03/26 PURCHASE 800-555-5299 CA DEBIT CARD *1171"/>
        <s v="JAZZ IMAGING 04/26 PURCHASE 800-555-5299 CA DEBIT CARD *1171"/>
        <s v="JAZZ IMAGING 05/26 PURCHASE 800-555-5299 CA DEBIT CARD *1171"/>
        <s v="JAZZ IMAGING 06/26 PURCHASE 800-555-5299 CA DEBIT CARD *1171"/>
        <s v="JAZZ IMAGING 07/26 PURCHASE 800-555-5299 CA DEBIT CARD *1171"/>
        <s v="JAZZ IMAGING 08/26 PURCHASE 800-555-5299 CA DEBIT CARD *1171"/>
        <s v="JAZZ IMAGING 09/26 PURCHASE 800-555-5299 CA DEBIT CARD *1171"/>
        <s v="JAZZ IMAGING 10/26 PURCHASE 800-555-5299 CA DEBIT CARD *1171"/>
        <s v="JAZZ IMAGING 11/01 PURCHASE 800-555-5299 CA DEBIT CARD *1171"/>
        <s v="JAZZ IMAGING 11/26 PURCHASE 800-555-5299 CA DEBIT CARD *1171"/>
        <s v="JAZZ IMAGING 12/01 PURCHASE 800-555-5299 CA DEBIT CARD *1171"/>
        <s v="JAZZ IMAGING 01/01 PURCHASE 800-555-5299 CA DEBIT CARD *0212"/>
        <s v="Indeed Jobs 12/01 PURCHASE 800-4625842 TX DEBIT CARD *1171"/>
        <s v="eBayCommerce 10/31 PURCHASE San Jose CA DEBIT CARD *1171"/>
        <s v="ENCORE FIRE PROTECTION 12/30 PURCHASE 401-7237301 RI DEBIT CARD *0212"/>
        <s v="READYREFRESH/WATERSERV 03/08 PURCHASE 800-274-5282 CA DEBIT CARD *1171"/>
        <s v="READYREFRESH/WATERSERV 11/20 PURCHASE 800-274-5282 CA DEBIT CARD *1171"/>
        <s v="Spectrum 10/22 PURCHASE 855-707-7328 MO DEBIT CARD *1171"/>
        <s v="Spectrum 11/07 PURCHASE 855-707-7328 MO DEBIT CARD *1171"/>
        <s v="Staples Inc 05/22 PURCHASE staples.com MA DEBIT CARD *1171"/>
        <s v="PAYCHEX-HRS DES:401(K) ID:0000046187885 INDN:KRAY PC CO ID:9540920001 CCD"/>
        <s v="Check 151"/>
        <s v="Indeed 93450677 06/01 PURCHASE 800-4625842 TX DEBIT CARD *1171"/>
        <s v="Indeed Jobs 09/02 PURCHASE 800-4625842 TX DEBIT CARD *1171"/>
        <s v="PAYCHEX-HRS DES:401(K) ID:0000046316677 INDN:KRAY PC CO ID:9540920001 CCD"/>
        <s v="NEA, Inc. DES:Payment ID:3769470 INDN:Gorgeous Smiles - Spri CO ID:7593399754 PPD"/>
        <s v="AMZN Mktp US*3H4PW7YA3 04/18 PURCHASE Amzn.com/bill WA DEBIT CARD *1171"/>
        <s v="PAYCHEX TPS DES:TAXES ID:05800400191302X INDN:KRAY PC CO ID:1161124166 CCD"/>
        <s v="NOBLE DENTAL SUPPLIES 06/27 PURCHASE 012-345-6789 NY DEBIT CARD *1171"/>
        <s v="READYREFRESH/WATERSERV 11/04 PURCHASE 800-274-5282 CA DEBIT CARD *1171"/>
        <s v="Indeed 94385736 07/01 PURCHASE 800-4625842 TX DEBIT CARD *1171"/>
        <s v="AMZN Mktp US*RU0UA75O2 08/15 PURCHASE Amzn.com/bill WA DEBIT CARD *1171"/>
        <s v="VYNE DENTAL 02/02 PURCHASE 800-7825150 GA DEBIT CARD *1171"/>
        <s v="VYNE DENTAL 03/05 PURCHASE 800-7825150 GA DEBIT CARD *1171"/>
        <s v="VYNE DENTAL 04/04 PURCHASE 800-7825150 GA DEBIT CARD *1171"/>
        <s v="VYNE DENTAL 05/03 PURCHASE 800-7825150 GA DEBIT CARD *1171"/>
        <s v="VYNE DENTAL 06/05 PURCHASE 800-7825150 GA DEBIT CARD *1171"/>
        <s v="VYNE DENTAL 07/08 PURCHASE 800-7825150 GA DEBIT CARD *1171"/>
        <s v="VYNE DENTAL 08/05 PURCHASE 800-7825150 GA DEBIT CARD *1171"/>
        <s v="VYNE DENTAL 09/04 PURCHASE 800-7825150 GA DEBIT CARD *1171"/>
        <s v="VYNE DENTAL 11/11 PURCHASE 800-7825150 GA DEBIT CARD *1171"/>
        <s v="Check 117"/>
        <s v="PAYCHEX-HRS DES:401(K) ID:0000045675070 INDN:KRAY PC CO ID:9540920001 CCD"/>
        <s v="Indeed 92144944 05/01 PURCHASE 800-4625842 TX DEBIT CARD *1171"/>
        <s v="PAYCHEX-HRS DES:401(K) ID:0000045167040 INDN:KRAY PC CO ID:9540920001 CCD"/>
        <s v="AMZN MKTP US*RB5XX4D10 02/06 PURCHASE SEATTLE WA DEBIT CARD *1171"/>
        <s v="NOBLE DENTAL SUPPLIES 09/05 PURCHASE 012-345-6789 NY DEBIT CARD *1171"/>
        <s v="BHATIA AND BHATI DES:BiweeklyMo ID:GORGEOUS SPRING INDN:KRAY PC CO ID:263503360 PPD PMT INFO:PAYROLL CHECK PROC. FEES JUNE 28, 2024"/>
        <s v="eBayCommerce 08/06 PURCHASE San Jose CA DEBIT CARD *1171"/>
        <s v="READYREFRESH/WATERSERV 12/04 PURCHASE 800-274-5282 CA DEBIT CARD *1171"/>
        <s v="READYREFRESH/WATERSERV 01/03 PURCHASE 800-274-5282 CA DEBIT CARD *1171"/>
        <s v="Staples Inc 03/08 PURCHASE staples.com MA DEBIT CARD *1171"/>
        <s v="AMAZON.COM*3K69R1S83 03/26 PURCHASE SEATTLE WA DEBIT CARD *1171"/>
        <s v="PAYCHEX-HRS DES:401(K) ID:0000044014125 INDN:KRAY PC CO ID:9540920001 CCD"/>
        <s v="CARGUS INTERNATIONAL 09/25 PURCHASE 012-345-6789 NY DEBIT CARD *1171"/>
        <s v="eBay O*16-10981-80910 12/29 PURCHASE San Jose CA DEBIT CARD *1171"/>
        <s v="Staples Inc 06/26 PURCHASE staples.com MA DEBIT CARD *1171"/>
        <s v="eBay O*21-10702-58531 10/26 PURCHASE San Jose CA DEBIT CARD *1171"/>
        <s v="VISTAPRINT 05/10 PURCHASE 866-207-4955 MA DEBIT CARD *1171"/>
        <s v="AMZN Mktp US*5K9QW0KI3 05/14 PURCHASE Amzn.com/bill WA DEBIT CARD *1171"/>
        <s v="VISTAPRINT 11/27 PURCHASE 866-207-4955 MA DEBIT CARD *1171"/>
        <s v="AMAZON MKTPL*5P6K02C43 11/21 PURCHASE Amzn.com/bill WA DEBIT CARD *1171"/>
        <s v="Staples Inc 09/13 PURCHASE staples.com MA DEBIT CARD *1171"/>
        <s v="Staples Inc 11/20 PURCHASE staples.com MA DEBIT CARD *1171"/>
        <s v="NET32* SHINE DENTAL 01/02 PURCHASE HTTPSWWW.NET3 NC DEBIT CARD *0212"/>
        <s v="SPI*EVERSOURCE PAYMEN 10/03 PURCHASE 800-688-6160 MA DEBIT CARD *1171"/>
        <s v="THE HOME DEPOT 09/03 PURCHASE BLOOMFIELD CT DEBIT CARD *1171"/>
        <s v="AMZN MKTP US*RN67S8BY1 03/11 PURCHASE SEATTLE WA DEBIT CARD *1171"/>
        <s v="Check 120"/>
        <s v="Zelle payment to Ernil Hako for Test payment for Ernil's Invoice for KRAY taxes&quot;; Conf# r6gfeaem6&quot;"/>
        <s v="Zelle payment to Ernil Hako for taxes 2023: trance:USD 100. total: 1743.75&quot;; Conf# kqxg2apxi&quot;"/>
        <s v="READYREFRESH/WATERSERV 02/17 PURCHASE 800-274-5282 CA DEBIT CARD *0212"/>
        <s v="PAYCHEX-HRS DES:401(K) ID:0000044900557 INDN:KRAY PC CO ID:9540920001 CCD"/>
        <s v="AMZN Mktp US*3O1LF3FZ3 05/30 PURCHASE Amzn.com/bill WA DEBIT CARD *1171"/>
        <s v="AMAZON MKTPL*GO9SO68V3 06/13 PURCHASE Amzn.com/bill WA DEBIT CARD *1171"/>
        <s v="PAYCHEX-HRS DES:401(K) ID:0000044782749 INDN:KRAY PC CO ID:9540920001 CCD"/>
        <s v="Indeed Jobs 10/02 PURCHASE 800-4625842 TX DEBIT CARD *1171"/>
        <s v="AMAZON MKTPL*RM4OS5QO0 08/09 PURCHASE Amzn.com/bill WA DEBIT CARD *1171"/>
        <s v="PAYCHEX-HRS DES:401(K) ID:0000044660174 INDN:KRAY PC CO ID:9540920001 CCD"/>
        <s v="AMZN Mktp US*R03OP8BV2 01/27 PURCHASE Amzn.com/bill WA DEBIT CARD *1171"/>
        <s v="PAYCHEX-HRS DES:401(K) ID:0000045277970 INDN:KRAY PC CO ID:9540920001 CCD"/>
        <s v="PAYCHEX-HRS DES:401(K) ID:0000045795763 INDN:KRAY PC CO ID:9540920001 CCD"/>
        <s v="PAYCHEX-HRS DES:401(K) ID:0000045028292 INDN:KRAY PC CO ID:9540920001 CCD"/>
        <s v="AMAZON RETA* A76L236M3 09/27 PURCHASE WWW.AMAZON.CO WA DEBIT CARD *1171"/>
        <s v="NET32* FRONTIER DENTAL 02/18 PURCHASE NET32.COM NC DEBIT CARD *0212"/>
        <s v="PAYCHEX-HRS DES:401(K) ID:0000044139021 INDN:KRAY PC CO ID:9540920001 CCD"/>
        <s v="AMZN MKTP US*0Q49U58C3 03/26 PURCHASE SEATTLE WA DEBIT CARD *1171"/>
        <s v="NOBLE DENTAL SUPPLIES 11/29 PURCHASE 012-345-6789 NY DEBIT CARD *1171"/>
        <s v="AMZN Mktp US*J45E58003 04/04 PURCHASE Amzn.com/bill WA DEBIT CARD *1171"/>
        <s v="AMAZON RETA* T072P6L33 11/21 PURCHASE WWW.AMAZON.CO WA DEBIT CARD *1171"/>
        <s v="AMZN Mktp US*ZZ8CE14H1 10/15 PURCHASE Amzn.com/bill WA DEBIT CARD *1171"/>
        <s v="NET32* RIVER DENTAL SU 07/17 PURCHASE HTTPSWWW.NET3 NC DEBIT CARD *1171"/>
        <s v="AMAZON MKTPL*C29CQ6JA3 09/13 PURCHASE Amzn.com/bill WA DEBIT CARD *1171"/>
        <s v="AMAZON MKTPL*SY8WP12P3 11/08 PURCHASE Amzn.com/bill WA DEBIT CARD *1171"/>
        <s v="FRONTIER DENTAL SUPPLY 02/17 PURCHASE 416-2813681 MD DEBIT CARD *0212"/>
        <s v="AMZN Mktp US*2F3WU12L3 05/31 PURCHASE Amzn.com/bill WA DEBIT CARD *1171"/>
        <s v="AMZN Mktp US*Q21ZH5613 05/08 PURCHASE Amzn.com/bill WA DEBIT CARD *1171"/>
        <s v="READYREFRESH/WATERSERV 09/06 PURCHASE 800-274-5282 CA DEBIT CARD *1171"/>
        <s v="AMAZON MKTPL*RV93P45C2 07/26 PURCHASE Amzn.com/bill WA DEBIT CARD *1171"/>
        <s v="NOBLE DENTAL SUPPLIES 04/03 PURCHASE 012-345-6789 NY DEBIT CARD *1171"/>
        <s v="PAYCHEX-HRS DES:401(K) ID:0000044534834 INDN:KRAY PC CO ID:9540920001 CCD"/>
        <s v="AMAZON.COM*RH4E01WN1 03/26 PURCHASE SEATTLE WA DEBIT CARD *1171"/>
        <s v="AMZN Mktp US*RH75M4372 03/15 PURCHASE Amzn.com/bill WA DEBIT CARD *1171"/>
        <s v="PAYCHEX-HRS DES:401(K) ID:0000044394732 INDN:KRAY PC CO ID:9540920001 CCD"/>
        <s v="PAYCHEX-HRS DES:401(K) ID:0000044279193 INDN:KRAY PC CO ID:9540920001 CCD"/>
        <s v="AMAZON MKTPL*6813U9MZ3 10/28 PURCHASE Amzn.com/bill WA DEBIT CARD *1171"/>
        <s v="AMAZON MKTPL*VK30U4QR3 10/08 PURCHASE Amzn.com/bill WA DEBIT CARD *1171"/>
        <s v="READYREFRESH/WATERSERV 11/07 PURCHASE 800-274-5282 CA DEBIT CARD *1171"/>
        <s v="READYREFRESH/WATERSERV 12/18 PURCHASE 800-274-5282 CA DEBIT CARD *1171"/>
        <s v="READYREFRESH/WATERSERV 01/12 PURCHASE 800-274-5282 CA DEBIT CARD *1171"/>
        <s v="GOOGLE *ADS6512412543 04/01 PURCHASE cc@google.com CA DEBIT CARD *1171"/>
        <s v="NOBLE DENTAL SUPPLIES 06/19 PURCHASE 012-345-6789 NY DEBIT CARD *1171"/>
        <s v="DC DENTAL 11/16 PURCHASE 410-653-7500 MD DEBIT CARD *1171"/>
        <s v="AMZN Mktp US*LW9LP1KI3 11/04 PURCHASE Amzn.com/bill WA DEBIT CARD *1171"/>
        <s v="READYREFRESH/WATERSERV 10/12 PURCHASE 800-274-5282 CA DEBIT CARD *1171"/>
        <s v="AMAZON.COM*P66UM06M3 05/21 PURCHASE SEATTLE WA DEBIT CARD *1171"/>
        <s v="eBay O*18-12200-52933 10/18 PURCHASE 408-3766151 CA DEBIT CARD *1171"/>
        <s v="GOOGLE *ADS6512412543 08/01 PURCHASE cc@google.com CA DEBIT CARD *1171"/>
        <s v="SPI*EVERSOURCE PAYMEN 12/18 PURCHASE 800-688-6160 MA DEBIT CARD *1171"/>
        <s v="BHATIA AND BHATI DES:BiweeklyMo ID:KRAY PC INDN:GORGEOUS SMILES CO ID:263503360 PPD PMT INFO:MONTHLY PAYROLL CHECK PROC. FEES - AUG 2 023"/>
        <s v="BHATIA AND BHATI DES:BiweeklyMo ID:KRAY PC INDN:GORGEOUS SMILES CO ID:263503360 PPD PMT INFO:MONTHLY PAYROLL CHECK PROC. FEES - SEP 2 023"/>
        <s v="AMZN Mktp US*RS22Z5WH2 07/19 PURCHASE Amzn.com/bill WA DEBIT CARD *1171"/>
        <s v="AMAZON MKTPL*CZ45X2TV3 09/17 PURCHASE Amzn.com/bill WA DEBIT CARD *1171"/>
        <s v="ADT SECURITY*404889768 01/07 PURCHASE WWW.ADT.COM FL DEBIT CARD *1171"/>
        <s v="ADT SECURITY*404889768 02/07 PURCHASE WWW.ADT.COM FL DEBIT CARD *1171"/>
        <s v="ADT SECURITY*404889768 03/07 PURCHASE WWW.ADT.COM FL DEBIT CARD *1171"/>
        <s v="ADT SECURITY*404889768 04/07 PURCHASE WWW.ADT.COM FL DEBIT CARD *1171"/>
        <s v="AMZN Mktp US*4157R5373 04/23 PURCHASE Amzn.com/bill WA DEBIT CARD *1171"/>
        <s v="ADT SECURITY*404889768 05/07 PURCHASE WWW.ADT.COM FL DEBIT CARD *1171"/>
        <s v="ADT SECURITY*404889768 06/07 PURCHASE WWW.ADT.COM FL DEBIT CARD *1171"/>
        <s v="ADT SECURITY*404889768 07/07 PURCHASE WWW.ADT.COM FL DEBIT CARD *1171"/>
        <s v="AUTHORIZE.NET 09/08 PURCHASE 877-4473938 CA DEBIT CARD *1171"/>
        <s v="AMAZON MKTPL*RJ3ZM1DC1 07/24 PURCHASE Amzn.com/bill WA DEBIT CARD *1171"/>
        <s v="Indeed 99962439 11/17 PURCHASE 800-4625842 TX DEBIT CARD *1171"/>
        <s v="AMZN Mktp US*RV8OC7PW0 07/27 PURCHASE Amzn.com/bill WA DEBIT CARD *1171"/>
        <s v="ADT MOBILITY/ECOMM 12/07 PURCHASE 800-238-2727 FL DEBIT CARD *1171"/>
        <s v="Heartland Paymen DES:EDI PYMNTS ID:3233257 INDN:GORGEOUS SMILES DENTAL CO ID:1223755714 CCD PMT INFO:RMR*IV*CCO650000013016038Customer Acc\"/>
        <s v="Heartland Paymen DES:EDI PYMNTS ID:3312283 INDN:GORGEOUS SMILES DENTAL CO ID:1223755714 CCD PMT INFO:RMR*IV*CCO650000013016038Customer Acc\"/>
        <s v="Heartland Paymen DES:EDI PYMNTS ID:3351863 INDN:GORGEOUS SMILES DENTAL CO ID:1223755714 CCD PMT INFO:RMR*IV*CCO650000013016038Customer Acc\"/>
        <s v="Heartland Paymen DES:EDI PYMNTS ID:3423755 INDN:GORGEOUS SMILES DENTAL CO ID:1223755714 CCD PMT INFO:RMR*IV*CCO650000013016038Customer Acc\"/>
        <s v="Heartland Paymen DES:EDI PYMNTS ID:3484781 INDN:GORGEOUS SMILES DENTAL CO ID:1223755714 CCD PMT INFO:RMR*IV*CCO650000013016038Customer Acc\"/>
        <s v="Heartland Paymen DES:EDI PYMNTS ID:3535424 INDN:GORGEOUS SMILES DENTAL CO ID:1223755714 CCD PMT INFO:RMR*IV*CCO650000013016038Customer Acc\"/>
        <s v="NET32* HEY DENTAL 12/30 PURCHASE HTTPSWWW.NET3 NC DEBIT CARD *0212"/>
        <s v="AMAZON MKTPL*RJ8TW85K2 07/22 PURCHASE Amzn.com/bill WA DEBIT CARD *1171"/>
        <s v="BHATIA AND BHATI DES:Biweekly C ID:KRAY PC INDN:GORGEOUS SMILES CO ID:263503360 PPD PMT INFO:BI-WEEKLY PAYCHEX PAYROLL FEES"/>
        <s v="BHATIA AND BHATI DES:Biweekly C ID:KRAY PC INDN:GORGEOUS SMILES CO ID:263503360 PPD PMT INFO:BI-WEEKLY PAYCHEX/ADP FEES"/>
        <s v="Google ADS6512412543 02/09 PURCHASE 650-2530000 CA DEBIT CARD *1171"/>
        <s v="BHATIA AND BHATI DES:SINGLE CLI ID:KRAY PC INDN:KRAY PC CO ID:263503360 PPD PMT INFO:2023 EXTENSION PREP AND FILING FEES"/>
        <s v="AMAZON MKTPL*RK36X8DG1 08/31 PURCHASE Amzn.com/bill WA DEBIT CARD *1171"/>
        <s v="THE HOME DEPOT 09/02 PURCHASE MANCHESTER CT DEBIT CARD *1171"/>
        <s v="AMAZON MKTPL*ZT49H7U90 09/07 PURCHASE Amzn.com/bill WA DEBIT CARD *1171"/>
        <s v="Staples Inc 10/08 PURCHASE staples.com MA DEBIT CARD *1171"/>
        <s v="AUTHORIZE.NET 10/13 PURCHASE 877-4473938 CA DEBIT CARD *1171"/>
        <s v="BHATIA AND BHATI DES:BiweeklyMo ID:KRAY PC INDN:GORGEOUS SMILES CO ID:263503360 PPD PMT INFO:MONTHLY PAYROLL CHECK PROC. FEES - OCT 2 023"/>
        <s v="AMZN Mktp US*442HM8EB3 04/17 PURCHASE Amzn.com/bill WA DEBIT CARD *1171"/>
        <s v="AMZN Mktp US*VX8MS4E43 09/26 PURCHASE Amzn.com/bill WA DEBIT CARD *1171"/>
        <s v="AMAZON MKTPL*0Z59U21K3 11/17 PURCHASE Amzn.com/bill WA DEBIT CARD *1171"/>
        <s v="AMZN Mktp US*725DL1VT3 06/07 PURCHASE Amzn.com/bill WA DEBIT CARD *1171"/>
        <s v="AMZN Mktp US*8422O5PX3 10/28 PURCHASE Amzn.com/bill WA DEBIT CARD *1171"/>
        <s v="AMAZON MKTPL*2W1HJ3D73 10/26 PURCHASE Amzn.com/bill WA DEBIT CARD *1171"/>
        <s v="ADT SECURITY*404889768 08/07 PURCHASE WWW.ADT.COM FL DEBIT CARD *1171"/>
        <s v="ADT SECURITY*404889768 09/07 PURCHASE WWW.ADT.COM FL DEBIT CARD *1171"/>
        <s v="ADT SECURITY*404889768 10/07 PURCHASE WWW.ADT.COM FL DEBIT CARD *1171"/>
        <s v="ADT SECURITY*404889768 11/07 PURCHASE WWW.ADT.COM FL DEBIT CARD *1171"/>
        <s v="CHECK ORDER00493 DES:FEE ID:14HU6338 INDN:GORGEOUS SMILES DENTAL CO ID:0000000493 PPD PMT INFO: PRODUCT(S): 38.27 S&amp;H: 0.00 MA TAX: 2.39"/>
        <s v="EDGE ENDO LLC 12/07 PURCHASE 855-985-3636 NM DEBIT CARD *1171"/>
        <s v="AMZN Mktp US*9O6AM09O3 09/20 PURCHASE Amzn.com/bill WA DEBIT CARD *1171"/>
        <s v="AMZN Mktp US*RO4473RC3 03/26 PURCHASE Amzn.com/bill WA DEBIT CARD *1171"/>
        <s v="8X8, INC. 09/25 PURCHASE 888-898-8733 CA DEBIT CARD *1171"/>
        <s v="IN *AFFORDABLE DENTAL S 01/28 PURCHASE 860-9301965 CT DEBIT CARD *0212"/>
        <s v="AUTHNET GATEWAY DES:BILLING ID:136293871 INDN:GORGEOUS SMILES DENTAL CO ID:1870568569 CCD"/>
        <s v="AUTHNET GATEWAY DES:BILLING ID:134283344 INDN:GORGEOUS SMILES DENTAL CO ID:1870568569 CCD"/>
        <s v="AMAZON.COM*R81L85KJ3 12/27 PURCHASE SEATTLE WA DEBIT CARD *1171"/>
        <s v="AMAZON MKTPL*GD7EM4723 10/28 PURCHASE Amzn.com/bill WA DEBIT CARD *1171"/>
        <s v="AUTHNET GATEWAY DES:BILLING ID:135068073 INDN:GORGEOUS SMILES DENTAL CO ID:1870568569 CCD"/>
        <s v="AUTHNET GATEWAY DES:BILLING ID:134713245 INDN:GORGEOUS SMILES DENTAL CO ID:1870568569 CCD"/>
        <s v="TACO BELL #033637 09/04 PURCHASE SPRINGFIELD MA DEBIT CARD *1171"/>
        <s v="Staples Inc 09/12 PURCHASE staples.com MA DEBIT CARD *1171"/>
        <s v="AMAZON MKTPL*ZT5F89FE2 08/30 PURCHASE Amzn.com/bill WA DEBIT CARD *1171"/>
        <s v="REPUBLIC SERVICES TRASH 07/25 PURCHASE 866-576-5548 AZ DEBIT CARD *1171"/>
        <s v="GOOGLE *GSUITE_ngfamil 09/01 PURCHASE cc@google.com CA DEBIT CARD *1171"/>
        <s v="AUTHNET GATEWAY DES:BILLING ID:132410919 INDN:GORGEOUS SMILES DENTAL CO ID:1870568569 CCD"/>
        <s v="AUTHNET GATEWAY DES:BILLING ID:136488644 INDN:GORGEOUS SMILES DENTAL CO ID:1870568569 CCD"/>
        <s v="AUTHNET GATEWAY DES:BILLING ID:132926533 INDN:GORGEOUS SMILES DENTAL CO ID:1870568569 CCD"/>
        <s v="LA FIORENTINA PASTRY SH 10/02 PURCHASE SPRINGFIELD MA DEBIT CARD *1171"/>
        <s v="BHATIA AND BHATI DES:BiweeklyMo ID:KRAY PC INDN:GORGEOUS SMILES CO ID:263503360 PPD PMT INFO:MONTHLY PAYROLL CHECK PROC. FEES - NOV 2 023"/>
        <s v="GULF USA 01/28 PURCHASE MANCHESTER CT DEBIT CARD *0212"/>
        <s v="AUTHNET GATEWAY DES:BILLING ID:132626384 INDN:GORGEOUS SMILES DENTAL CO ID:1870568569 CCD"/>
        <s v="AUTHNET GATEWAY DES:BILLING ID:137054874 INDN:GORGEOUS SMILES DENTAL CO ID:1870568569 CCD"/>
        <s v="THE HOME DEPOT 09/15 PURCHASE MANCHESTER CT DEBIT CARD *1171"/>
        <s v="BHATIA AND BHATI DES:BiweeklyMo ID:KRAY PC INDN:GORGEOUS SMILES CO ID:263503360 PPD PMT INFO:MONTHLY PAYROLL CHECK PROC. FEES - JAN 2 024"/>
        <s v="BHATIA AND BHATI DES:BiweeklyMo ID:KRAY PC INDN:GORGEOUS SMILES CO ID:263503360 PPD PMT INFO:MONTHLY PAYROLL CHECK PROC. FEES - FEB 2 023"/>
        <s v="AUTHNET GATEWAY DES:BILLING ID:137194972 INDN:GORGEOUS SMILES DENTAL CO ID:1870568569 CCD"/>
        <s v="AUTHNET GATEWAY DES:BILLING ID:137724272 INDN:GORGEOUS SMILES DENTAL CO ID:1870568569 CCD"/>
        <s v="AUTHNET GATEWAY DES:BILLING ID:137964559 INDN:GORGEOUS SMILES DENTAL CO ID:1870568569 CCD"/>
        <s v="AUTHNET GATEWAY DES:BILLING ID:139013180 INDN:GORGEOUS SMILES DENTAL CO ID:1870568569 CCD"/>
        <s v="AUTHNET GATEWAY DES:BILLING ID:139187135 INDN:GORGEOUS SMILES DENTAL CO ID:1870568569 CCD"/>
        <s v="PAYCHEX TPS DES:TAXES ID:07103000211284X INDN:KRAY PC CO ID:1161124166 CCD"/>
        <s v="AMZN Mktp US*RB58R4Q60 02/06 PURCHASE Amzn.com/bill WA DEBIT CARD *1171"/>
        <s v="AMZN Mktp US*RV5807YM1 08/01 PURCHASE Amzn.com/bill WA DEBIT CARD *1171"/>
        <s v="NET32* DENTIFY 12/30 PURCHASE HTTPSWWW.NET3 NC DEBIT CARD *0212"/>
        <s v="NOBLE DENTAL SUPPLIES 04/29 PURCHASE 012-345-6789 NY DEBIT CARD *1171"/>
        <s v="USPS PO 083437 09/25 PURCHASE VERNON ROCKVI CT DEBIT CARD *1171"/>
        <s v="BIG Y EXP 176 02/19 PURCHASE MANCHESTER CT DEBIT CARD *0212"/>
        <s v="Staples Inc 06/27 PURCHASE staples.com MA DEBIT CARD *1171"/>
        <s v="AMAZON MARK* 4E5JN3Z33 10/18 PURCHASE HTTPSAMAZON.C WA DEBIT CARD *1171"/>
        <s v="USPS PO 247819 08/28 PURCHASE SPRINGFIELD MA DEBIT CARD *1171"/>
        <s v="Wire Transfer Fee"/>
        <s v="AMZN Mktp US*RT1P63NR1 01/12 PURCHASE Amzn.com/bill WA DEBIT CARD *1171"/>
        <s v="AMAZON RET* 113-860873 03/15 PURCHASE WWW.AMAZON.CO WA DEBIT CARD *1171"/>
        <s v="AMAZON MKTPL*G50FD3WL3 09/29 PURCHASE Amzn.com/bill WA DEBIT CARD *1171"/>
        <s v="AMAZON MKTPL*RK33L4YG1 08/31 PURCHASE Amzn.com/bill WA DEBIT CARD *1171"/>
        <s v="READYREFRESH/WATERSERV 03/04 PURCHASE 800-274-5282 CA DEBIT CARD *0212"/>
        <s v="Staples Inc 06/10 PURCHASE staples.com MA DEBIT CARD *1171"/>
        <s v="BHATIA AND BHATI DES:FEB6PAYROL ID: INDN:Kray PC CO ID:263503360 CCD PMT INFO:PAYROLL CHECK PROC FEES FEB 6"/>
        <s v="BHATIA AND BHATI DES:feb20payro ID: INDN:Kray PC CO ID:263503360 CCD PMT INFO:PAYROLL CHECK PROC FEES FEB 20"/>
        <s v="AMZN Mktp US*VY95H5GT3 10/08 PURCHASE Amzn.com/bill WA DEBIT CARD *1171"/>
        <s v="THE HOME DEPOT 09/15 PURCHASE W SPRINGFIELD MA DEBIT CARD *1171"/>
        <s v="AMAZON RET* 114-609620 05/15 PURCHASE WWW.AMAZON.CO WA DEBIT CARD *1171"/>
        <s v="BHATIA AND BHATI DES:BiweeklyMo ID:GORGEOUS SPRING INDN:KRAY PC CO ID:263503360 PPD PMT INFO:PAYROLL CHECK PROC. FEES MAY 16, 2024"/>
        <s v="BHATIA AND BHATI DES:BiweeklyMo ID:GORGEOUS SPRING INDN:KRAY PC CO ID:263503360 PPD PMT INFO:PAYROLL CHECK PROC. FEES DEC 12, 2024"/>
        <s v="BHATIA AND BHATI DES:JAN23PAYRO ID: INDN:Kray PC CO ID:263503360 CCD PMT INFO:PAYROLL CHECK PROC FEES JAN 23, 2025"/>
        <s v="STAPLES 00100065 01/22 PURCHASE WEST SPRINGFI MA DEBIT CARD *1171"/>
        <s v="NOBLE DENTAL SUPPLIES 03/07 PURCHASE 012-345-6789 NY DEBIT CARD *1171"/>
        <s v="AMZN Mktp US*UN2PH0PN3 10/18 PURCHASE Amzn.com/bill WA DEBIT CARD *1171"/>
        <s v="GOOGLE *GSUITE_ngfamil 05/01 PURCHASE cc@google.com CA DEBIT CARD *1171"/>
        <s v="GOOGLE GSUITE_ngfamily 06/01 PURCHASE 650-2530000 CA DEBIT CARD *1171"/>
        <s v="Google LLC GSUITE_ngfam 07/01 PURCHASE 650-2530000 CA DEBIT CARD *1171"/>
        <s v="GOOGLE GSUITE_ngfamily 08/01 PURCHASE 650-2530000 CA DEBIT CARD *1171"/>
        <s v="GOOGLE GSUITE_ngfamily 10/01 PURCHASE 650-2530000 CA DEBIT CARD *1171"/>
        <s v="GOOGLE *GSUITE_ngfamil 11/01 PURCHASE cc@google.com CA DEBIT CARD *1171"/>
        <s v="GOOGLE *GSUITE_ngfamil 12/01 PURCHASE cc@google.com CA DEBIT CARD *1171"/>
        <s v="AMAZON.COM*CK6L102B3 05/23 PURCHASE SEATTLE WA DEBIT CARD *1171"/>
        <s v="AMAZON MKTPL*RU76C2J50 08/15 PURCHASE Amzn.com/bill WA DEBIT CARD *1171"/>
        <s v="AMAZON MKTPL*9C6BT97T3 10/13 PURCHASE Amzn.com/bill WA DEBIT CARD *1171"/>
        <s v="BHATIA AND BHATI DES:BiweeklyMo ID:KRAY PC INDN:GORGEOUS SMILES CO ID:263503360 PPD PMT INFO:PAYROLL CHECK PROC. FEES MARCH 6, 2024"/>
        <s v="AMAZON MKTPL*JI0EZ76B3 09/26 PURCHASE Amzn.com/bill WA DEBIT CARD *1171"/>
        <s v="AMZN Mktp US*HH6B779D3 11/08 PURCHASE Amzn.com/bill WA DEBIT CARD *1171"/>
        <s v="GOOGLE GSUITE_ngfamily 04/01 PURCHASE 650-2530000 CA DEBIT CARD *1171"/>
        <s v="AUTOZONE 5101 08/28 PURCHASE W SPRINGFIELD MA DEBIT CARD *1171"/>
        <s v="BHATIA AND BHATI DES:BiweeklyMo ID:GORGEOUS SPRING INDN:KRAY PC CO ID:263503360 PPD PMT INFO:PAYROLL CHECK PROC. FEES JULY 11, 2024"/>
        <s v="BHATIA AND BHATI DES:BiweeklyMo ID:GORGEOUS SPRING INDN:KRAY PC CO ID:263503360 PPD PMT INFO:PAYROLL CHECK PROC. FEES AUG 7, 2024"/>
        <s v="BHATIA AND BHATI DES:BiweeklyMo ID:GORGEOUS SPRING INDN:KRAY PC CO ID:263503360 PPD PMT INFO:PAYROLL CHECK PROC. FEES AUG 22, 2024"/>
        <s v="BHATIA AND BHATI DES:BiweeklyMo ID:GORGEOUS SPRING INDN:KRAY PC CO ID:263503360 PPD PMT INFO:PAYROLL CHECK PROC. FEES JAN 9, 2025"/>
        <s v="AMAZON.COM*FZ6Y50IN3 12/08 PURCHASE SEATTLE WA DEBIT CARD *1171"/>
        <s v="GOOGLE*GSUITE NGFAMILY 10/05 PURCHASE CC GOOGLE.COM CA DEBIT CARD *1171"/>
        <s v="GOOGLE*GSUITE NGFAMILY 11/01 PURCHASE CC GOOGLE.COM CA DEBIT CARD *1171"/>
        <s v="GOOGLE GSUITE_ngfamily 12/01 PURCHASE 650-2530000 CA DEBIT CARD *1171"/>
        <s v="GOOGLE GSUITE_ngfamily 01/01 PURCHASE 650-2530000 CA DEBIT CARD *1171"/>
        <s v="GOOGLE *GSUITE_ngfamil 02/01 PURCHASE cc@google.com CA DEBIT CARD *1171"/>
        <s v="GOOGLE GSUITE_ngfamily 03/01 PURCHASE 650-2530000 CA DEBIT CARD *1171"/>
        <s v="BHATIA AND BHATI DES:BiweeklyMo ID:GORGEOUS SPRING INDN:KRAY PC CO ID:263503360 PPD PMT INFO:PAYROLL CHECK PROC FEES JUNE 25, 2024"/>
        <s v="BHATIA AND BHATI DES:BiweeklyMo ID:GORGEOUS SPRING INDN:KRAY PC CO ID:263503360 PPD PMT INFO:PAYROLL CHECK PROC. FEES JULY 24, 2024"/>
        <s v="AMZN Mktp US*RV8KG0GA0 07/27 PURCHASE Amzn.com/bill WA DEBIT CARD *1171"/>
        <s v="BHATIA AND BHATI DES:BiweeklyMo ID:GORGEOUS SPRING INDN:KRAY PC CO ID:263503360 PPD PMT INFO:PAYROLL CHECK PROC. FEES SEP 18, 2024"/>
        <s v="BHATIA AND BHATI DES:BiweeklyMo ID:GORGEOUS SPRING INDN:KRAY PC CO ID:263503360 PPD PMT INFO:PAYROLL CHECK PROC. FEES OCT 2, 2024"/>
        <s v="BHATIA AND BHATI DES:BiweeklyMo ID:GORGEOUS SPRING INDN:KRAY PC CO ID:263503360 PPD PMT INFO:PAYROLL CHECK PROC. FEES OCT 16, 2024"/>
        <s v="BHATIA AND BHATI DES:BiweeklyMo ID:GORGEOUS SPRING INDN:KRAY PC CO ID:263503360 PPD PMT INFO:PAYROLL CHECK PROC. FEES OCT 31, 2024"/>
        <s v="BHATIA AND BHATI DES:BiweeklyMo ID:GORGEOUS SPRING INDN:KRAY PC CO ID:263503360 PPD PMT INFO:PAYROLL CHECK PROC. FEES NOV 14, 2024"/>
        <s v="AMAZON.COM*RA37K38A2 03/27 PURCHASE SEATTLE WA DEBIT CARD *1171"/>
        <s v="AMAZON MKTPL*RV46K0R82 07/29 PURCHASE Amzn.com/bill WA DEBIT CARD *1171"/>
        <s v="BHATIA AND BHATI DES:BiweeklyMo ID:GORGEOUS SPRING INDN:KRAY PC CO ID:263503360 PPD PMT INFO:PAYROLL CHECK PROC. FEES MARCH 20, 2024"/>
        <s v="BHATIA AND BHATI DES:BiweeklyMo ID:GORGEOUS SPRING INDN:KRAY PC CO ID:263503360 PPD PMT INFO:PAYROLL CHECK PROC. FEES SEP 3, 2024"/>
        <s v="BHATIA AND BHATI DES:BiweeklyMo ID:GORGEOUS SPRING INDN:KRAY PC CO ID:263503360 PPD PMT INFO:PAYROLL CHECK PROC. FEES NOV 28, 2024"/>
        <s v="BHATIA AND BHATI DES:BiweeklyMo ID:GORGEOUS SPRING INDN:KRAY PC CO ID:263503360 PPD PMT INFO:PAYROLL CHECK PROC. FEES DEC 26, 2024"/>
        <s v="Google ADS6512412543 02/01 PURCHASE 650-2530000 CA DEBIT CARD *1171"/>
        <s v="AMZN Mktp US*SD30O2YZ3 04/17 PURCHASE Amzn.com/bill WA DEBIT CARD *1171"/>
        <s v="AMZN Mktp US*2B3CW3TL3 10/04 PURCHASE Amzn.com/bill WA DEBIT CARD *1171"/>
        <s v="Amazon Prime*R065X1YE0 01/26 PURCHASE Amzn.com/bill WA DEBIT CARD *1171"/>
        <s v="Amazon Prime*RW8N13ID2 02/26 PURCHASE Amzn.com/bill WA DEBIT CARD *1171"/>
        <s v="Amazon Prime*RH6PO0SN1 03/26 PURCHASE Amzn.com/bill WA DEBIT CARD *1171"/>
        <s v="Amazon Prime*RL3D54OM3 04/26 PURCHASE Amzn.com/bill WA DEBIT CARD *1171"/>
        <s v="Amazon Prime*M83XF72N3 05/26 PURCHASE Amzn.com/bill WA DEBIT CARD *1171"/>
        <s v="Amazon Prime*RC3545LI1 06/26 PURCHASE Amzn.com/bill WA DEBIT CARD *1171"/>
        <s v="Amazon Prime*RV0WF1A22 07/26 PURCHASE Amzn.com/bill WA DEBIT CARD *1171"/>
        <s v="Amazon Prime*R456L4KA1 08/26 PURCHASE Amzn.com/bill WA DEBIT CARD *1171"/>
        <s v="Amazon Prime*RE1H18123 09/26 PURCHASE Amzn.com/bill WA DEBIT CARD *1171"/>
        <s v="Amazon Prime*HS4MU4BQ3 10/26 PURCHASE Amzn.com/bill WA DEBIT CARD *1171"/>
        <s v="Amazon Prime*306877XW3 11/26 PURCHASE Amzn.com/bill WA DEBIT CARD *1171"/>
        <s v="CARGUS INTERNATIONAL 10/17 PURCHASE 012-345-6789 NY DEBIT CARD *1171"/>
        <s v="AMAZON MKTPL*O70569L83 10/17 PURCHASE Amzn.com/bill WA DEBIT CARD *1171"/>
        <s v="BHATIA AND BHATI DES:BiweeklyMo ID:GORGEOUS SPRING INDN:KRAY PC CO ID:263503360 PPD PMT INFO:PAYROLL CHECK PROC. FEES 4/3/24"/>
        <s v="BHATIA AND BHATI DES:BiweeklyMo ID:GORGEOUS SPRING INDN:KRAY PC CO ID:263503360 PPD PMT INFO:PAYROLL CHECK PROC. FEES APRIL 17, 2024"/>
        <s v="BHATIA AND BHATI DES:BiweeklyMo ID:GORGEOUS SPRING INDN:KRAY PC CO ID:263503360 PPD PMT INFO:PAYROLL CHECK PROC. FEES MAY 2, 2024"/>
        <s v="BHATIA AND BHATI DES:BiweeklyMo ID:GORGEOUS SPRING INDN:KRAY PC CO ID:263503360 PPD PMT INFO:PAYROLL CHECK PROC. FEES MAY 30, 2024"/>
        <s v="BHATIA AND BHATI DES:BiweeklyMo ID:GORGEOUS SPRING INDN:KRAY PC CO ID:263503360 PPD PMT INFO:PAYROLL CHECK PROC. FEES JUNE 12, 2024"/>
        <s v="AMZN Mktp US*8L0RA0383 04/10 PURCHASE Amzn.com/bill WA DEBIT CARD *1171"/>
        <s v="AMZN Mktp US*ZT5GJ3U42 09/05 PURCHASE Amzn.com/bill WA DEBIT CARD *1171"/>
        <s v="NOBLE DENTAL SUPPLIES 01/15 PURCHASE 012-345-6789 NY DEBIT CARD *1171"/>
        <s v="AMZN MKTP US*RW1XC5RU0 02/21 PURCHASE SEATTLE WA DEBIT CARD *1171"/>
        <s v="PAYCHEX-HRS DES:401(K) ID:0000045048196 INDN:KRAY PC CO ID:9540920001 CCD"/>
        <s v="Google ADS6512412543 01/27 PURCHASE 650-2530000 CA DEBIT CARD *1171"/>
        <s v="HRTLAND PMT SYS DES:Equipment ID:650000013016038 INDN:GORGEOUS SMILES DENTAL CO ID:9223755714 CCD"/>
        <s v="NET32* TRADENT SUPPLY 12/31 PURCHASE NET32.COM NC DEBIT CARD *0212"/>
        <s v="Google Nest 11/30 PURCHASE 650-2530000 CA DEBIT CARD *1171"/>
        <s v="AMZN Mktp US*RH48N29F1 03/26 PURCHASE Amzn.com/bill WA DEBIT CARD *1171"/>
        <s v="NET32* MVP DENTAL SUPP 12/31 PURCHASE NET32.COM NC DEBIT CARD *0212"/>
        <s v="NET32* MN HEALTH INC 12/30 PURCHASE NET32.COM NC DEBIT CARD *0212"/>
        <s v="READYREFRESH/WATERSERV 12/03 PURCHASE 800-274-5282 CA DEBIT CARD *1171"/>
        <s v="AMZN Mktp US*RV7LT8G10 07/27 PURCHASE Amzn.com/bill WA DEBIT CARD *1171"/>
        <s v="READYREFRESH/WATERSERV 03/04 PURCHASE 800-274-5282 CA DEBIT CARD *1171"/>
        <s v="READYREFRESH/WATERSERV 05/02 PURCHASE 800-274-5282 CA DEBIT CARD *1171"/>
        <s v="READYREFRESH/WATERSERV 06/04 PURCHASE 800-274-5282 CA DEBIT CARD *1171"/>
        <s v="READYREFRESH/WATERSERV 07/02 PURCHASE 800-274-5282 CA DEBIT CARD *1171"/>
        <s v="READYREFRESH/WATERSERV 08/02 PURCHASE 800-274-5282 CA DEBIT CARD *1171"/>
        <s v="AMAZON RETA* U50RA4493 10/28 PURCHASE WWW.AMAZON.CO WA DEBIT CARD *1171"/>
        <s v="AMAZON RET* 113-374050 01/24 PURCHASE WWW.AMAZON.CO WA DEBIT CARD *1171"/>
        <s v="External transfer fee - 3 Day - 11/01/2023 Confirmation: 462523586"/>
        <s v="External transfer fee - 3 Day - 11/28/2023 Confirmation: 466176540"/>
        <s v="External transfer fee - 3 Day - 12/01/2023 Confirmation: 466928034"/>
        <s v="External transfer fee - 3 Day - 01/02/2024 Confirmation: 471460300"/>
        <s v="External transfer fee - 3 Day - 02/01/2024 Confirmation: 475910366"/>
        <s v="External transfer fee - 3 Day - 03/01/2024 Confirmation: 480391242"/>
        <s v="External transfer fee - 3 Day - 04/01/2024 Confirmation: 485022358"/>
        <s v="External transfer fee - 3 Day - 05/01/2024 Confirmation: 489841864"/>
        <s v="External transfer fee - 3 Day - 06/03/2024 Confirmation: 494885066"/>
        <s v="External transfer fee - 3 Day - 07/01/2024 Confirmation: 499317022"/>
        <s v="External transfer fee - 3 Day - 08/01/2024 Confirmation: 504231380"/>
        <s v="External transfer fee - 3 Day - 09/03/2024 Confirmation: 509329518"/>
        <s v="External transfer fee - 3 Day - 09/05/2024 Confirmation: 509821780"/>
        <s v="External transfer fee - 3 Day - 10/01/2024 Confirmation: 513868552"/>
        <s v="External transfer fee - 3 Day - 11/01/2024 Confirmation: 518934166"/>
        <s v="Indeed Jobs 12/19 REFUND 800-4625842 TX DEBIT CARD *1171"/>
        <s v="AMAZON MKTPLACE PMTS 10/08 REFUND Amzn.com/bill WA DEBIT CARD *1171"/>
        <s v="Counter Credit"/>
        <s v="AMAZON RET* 113-860873 05/23 REFUND WWW.AMAZON.CO WA DEBIT CARD *1171"/>
        <s v="GLOBAL PAYMENTS DES:GLOBAL DEP ID:8788240095518 INDN:GORGEOUS SMILES DENTAL CO ID:N469221406 CCD"/>
        <s v="JAZZ IMAGING 10/07 REFUND 800-555-5299 CA DEBIT CARD *1171"/>
        <s v="SYNCHRONY BANK DES:MTOT DEP ID:534812122061717 INDN:FIRST LINE DENTAL CO ID:3061537262 CCD"/>
        <s v="THE HOME DEPOT 09/20 REFUND MANCHESTER CT DEBIT CARD *1171"/>
        <s v="THE HOME DEPOT 09/02 REFUND W SPRINGFIELD MA DEBIT CARD *1171"/>
        <s v="Cherry DES:Funding ID:1299527 INDN:BankofAmerica CO ID:1822708163 PPD"/>
        <s v="COMM OF MASS DES:HCCLAIMPMT ID:VC0000968599 INDN:KRAY PC CO ID:A046002284 CCD PMT INFO:TRN*1*0000320I4006711*1046002284*1060717 01\"/>
        <s v="BKOFAMERICA BC 05/15 #000001037 FR CHKG 243 Hartford Tpke Vernon CT"/>
        <s v="BKOFAMERICA MOBILE 12/10 3843118029 DEPOSIT *MOBILE MA"/>
        <s v="Online Banking transfer from CHK 9665 Confirmation# 7810482088"/>
        <s v="COMM OF MASS DES:HCCLAIMPMT ID:VC0000968599 INDN:KRAY PC CO ID:A046002284 CCD PMT INFO:TRN*1*0000131I4004813*1046002284*1058789 40\"/>
        <s v="COMM OF MASS DES:HCCLAIMPMT ID:VC0000968599 INDN:KRAY PC CO ID:A046002284 CCD PMT INFO:TRN*1*0000089I4000549*1046002284*1058377 36\"/>
        <s v="BKOFAMERICA MOBILE 11/24 3711809540 DEPOSIT *MOBILE MA"/>
        <s v="COMM OF MASS DES:HCCLAIMPMT ID:VC0000968599 INDN:KRAY PC CO ID:A046002284 CCD PMT INFO:TRN*1*0000201I4003773*1046002284*1059497 73\"/>
        <s v="PAYCHEX INC. DES:PAYROLL ID:h3zxuey8p6GLDJW INDN:KRAY PC CO ID:1161124166 CCD"/>
        <s v="COMM OF MASS DES:HCCLAIMPMT ID:VC0000968599 INDN:KRAY PC CO ID:A046002284 CCD PMT INFO:TRN*1*0000299I4000431*1046002284*1060499 12\"/>
        <s v="COMM OF MASS DES:HCCLAIMPMT ID:VC0000968599 INDN:KRAY PC CO ID:A046002284 CCD PMT INFO:TRN*1*0000333I4007293*1046002284*1060860 93\"/>
        <s v="COMM OF MASS DES:HCCLAIMPMT ID:VC0000968599 INDN:KRAY PC CO ID:A046002284 CCD PMT INFO:TRN*1*0000045I5009001*1046002284*1061644 63\"/>
        <s v="COMM OF MASS DES:HCCLAIMPMT ID:VC0000968599 INDN:KRAY PC CO ID:A046002284 CCD PMT INFO:TRN*1*0000075I4008465*1046002284*1058241 97\"/>
        <s v="BKOFAMERICA MOBILE 12/11 3714051613 DEPOSIT *MOBILE MA"/>
        <s v="Cherry DES:Funding ID:964861 INDN:BankofAmerica CO ID:1822708163 PPD"/>
        <s v="COMM OF MASS DES:HCCLAIMPMT ID:VC0000968599 INDN:KRAY PC CO ID:A046002284 CCD PMT INFO:TRN*1*0000117I4006949*1046002284*1058654 18\"/>
        <s v="COMM OF MASS DES:HCCLAIMPMT ID:VC0000968599 INDN:KRAY PC CO ID:A046002284 CCD PMT INFO:TRN*1*0000278I4004981*1046002284*1060282 64\"/>
        <s v="Cherry DES:Funding ID:1002848 INDN:BankofAmerica CO ID:1822708163 PPD"/>
        <s v="COMM OF MASS DES:HCCLAIMPMT ID:VC0000968599 INDN:KRAY PC CO ID:A046002284 CCD PMT INFO:TRN*1*0000180I4002785*1046002284*1059281 61\"/>
        <s v="COMM OF MASS DES:HCCLAIMPMT ID:VC0000968599 INDN:KRAY PC CO ID:A046002284 CCD PMT INFO:TRN*1*0000061I4005755*1046002284*1058103 52\"/>
        <s v="COMM OF MASS DES:HCCLAIMPMT ID:VC0000968599 INDN:KRAY PC CO ID:A046002284 CCD PMT INFO:TRN*1*0000327I4008985*1046002284*1060787 76\"/>
        <s v="BKOFAMERICA MOBILE 04/19 3706787003 DEPOSIT *MOBILE MA"/>
        <s v="RETURN OF POSTED CHECK / ITEM (RECEIVED ON 09-22) CHECK #0000000102"/>
        <s v="BKOFAMERICA MOBILE 05/17 3717387243 DEPOSIT *MOBILE MA"/>
        <s v="COMM OF MASS DES:HCCLAIMPMT ID:VC0000968599 INDN:KRAY PC CO ID:A046002284 CCD PMT INFO:TRN*1*0000059I5010577*1046002284*1061796 17\"/>
        <s v="WIRE TYPE:BOOK IN DATE:231006 TIME:1654 ET TRN:2023100600479017 SNDR REF:459094862 ORIG:GORGEOUS SMILES DENTAL PC ID:466018149665 PMT DET:LOAN SPFLD"/>
        <s v="COMM OF MASS DES:HCCLAIMPMT ID:VC0000968599 INDN:KRAY PC CO ID:A046002284 CCD PMT INFO:TRN*1*0000215I4003131*1046002284*1059634 43\"/>
        <s v="BKOFAMERICA MOBILE 09/03 3655874305 DEPOSIT *MOBILE MA"/>
        <s v="COMM OF MASS DES:HCCLAIMPMT ID:VC0000968599 INDN:KRAY PC CO ID:A046002284 CCD PMT INFO:TRN*1*0000082I4004455*1046002284*1058310 52\"/>
        <s v="COMM OF MASS DES:HCCLAIMPMT ID:VC0000968599 INDN:KRAY PC CO ID:A046002284 CCD PMT INFO:TRN*1*0000110I4010289*1046002284*1058585 17\"/>
        <s v="COMM OF MASS DES:HCCLAIMPMT ID:VC0000968599 INDN:KRAY PC CO ID:A046002284 CCD PMT INFO:TRN*1*0000341I4010177*1046002284*1060933 52\"/>
        <s v="COMM OF MASS DES:HCCLAIMPMT ID:VC0000968599 INDN:KRAY PC CO ID:A046002284 CCD PMT INFO:TRN*1*0000124I4008555*1046002284*1058721 14\"/>
        <s v="COMM OF MASS DES:HCCLAIMPMT ID:VC0000968599 INDN:KRAY PC CO ID:A046002284 CCD PMT INFO:TRN*1*0000194I4004403*1046002284*1059425 25\"/>
        <s v="COMM OF MASS DES:HCCLAIMPMT ID:VC0000968599 INDN:KRAY PC CO ID:A046002284 CCD PMT INFO:TRN*1*0000017I5001621*1046002284*1061363 98\"/>
        <s v="Cherry DES:Funding ID:1003438 INDN:BankofAmerica CO ID:1822708163 PPD"/>
        <s v="COMM OF MASS DES:HCCLAIMPMT ID:VC0000968599 INDN:KRAY PC CO ID:A046002284 CCD PMT INFO:TRN*1*0000236I4001877*1046002284*1059853 25\"/>
        <s v="BKOFAMERICA BC 05/02 #000003936 FR CHKG 900 Enfield St Enfield CT"/>
        <s v="COMM OF MASS DES:HCCLAIMPMT ID:VC0000968599 INDN:KRAY PC CO ID:A046002284 CCD PMT INFO:TRN*1*0000031I5003781*1046002284*1061501 67\"/>
        <s v="COMM OF MASS DES:HCCLAIMPMT ID:VC0000968599 INDN:KRAY PC CO ID:A046002284 CCD PMT INFO:TRN*1*0000096I4002481*1046002284*1058445 16\"/>
        <s v="Cherry DES:Funding ID:1399637 INDN:BankofAmerica CO ID:1822708163 PPD"/>
        <s v="COMM OF MASS DES:HCCLAIMPMT ID:VC0000968599 INDN:KRAY PC CO ID:A046002284 CCD PMT INFO:TRN*1*0000068I4001773*1046002284*1058173 16\"/>
        <s v="COMM OF MASS DES:HCCLAIMPMT ID:VC0000968599 INDN:KRAY PC CO ID:A046002284 CCD PMT INFO:TRN*1*0000024I5010169*1046002284*1061430 55\"/>
        <s v="COMM OF MASS DES:HCCLAIMPMT ID:VC0000968599 INDN:KRAY PC CO ID:A046002284 CCD PMT INFO:TRN*1*0000292I4008795*1046002284*1060427 20\"/>
        <s v="COMM OF MASS DES:HCCLAIMPMT ID:VC0000968599 INDN:KRAY PC CO ID:A046002284 CCD PMT INFO:TRN*1*0000054I4010615*1046002284*1058029 39\"/>
        <s v="PAYCHEX INC. DES:PAYROLL ID:08421700027036X INDN:KRAY PC CO ID:1161124166 CCD"/>
        <s v="PAYCHEX INC. DES:PAYROLL ID:09594500026852X INDN:KRAY PC CO ID:1161124166 CCD"/>
        <s v="BKOFAMERICA BC 11/26 #000002792 FR CHKG 243 Hartford Tpke Vernon CT"/>
        <s v="Cherry DES:Funding ID:1423445 INDN:BankofAmerica CO ID:1822708163 PPD"/>
        <s v="BKOFAMERICA MOBILE 09/21 3769727340 DEPOSIT *MOBILE MA"/>
        <s v="Deposit"/>
        <s v="BKOFAMERICA MOBILE 08/13 3647787463 DEPOSIT *MOBILE MA"/>
        <s v="COMM OF MASS DES:HCCLAIMPMT ID:VC0000968599 INDN:KRAY PC CO ID:A046002284 CCD PMT INFO:TRN*1*0000138I4006223*1046002284*1058857 68\"/>
        <s v="COMM OF MASS DES:HCCLAIMPMT ID:VC0000968599 INDN:KRAY PC CO ID:A046002284 CCD PMT INFO:TRN*1*0000264I4000905*1046002284*1060140 65\"/>
        <s v="COMM OF MASS DES:HCCLAIMPMT ID:VC0000968599 INDN:KRAY PC CO ID:A046002284 CCD PMT INFO:TRN*1*0000222I4012779*1046002284*1059708 17\"/>
        <s v="COMM OF MASS DES:HCCLAIMPMT ID:VC0000968599 INDN:KRAY PC CO ID:A046002284 CCD PMT INFO:TRN*1*0000313I4010335*1046002284*1060645 04\"/>
        <s v="COMM OF MASS DES:HCCLAIMPMT ID:VC0000968599 INDN:KRAY PC CO ID:A046002284 CCD PMT INFO:TRN*1*0000285I4002977*1046002284*1060355 29\"/>
        <s v="COMM OF MASS DES:HCCLAIMPMT ID:VC0000968599 INDN:KRAY PC CO ID:A046002284 CCD PMT INFO:TRN*1*0000145I4003621*1046002284*1058926 77\"/>
        <s v="COMM OF MASS DES:HCCLAIMPMT ID:VC0000968599 INDN:KRAY PC CO ID:A046002284 CCD PMT INFO:TRN*1*0000208I4006965*1046002284*1059566 31\"/>
        <s v="COMM OF MASS DES:HCCLAIMPMT ID:VC0000968599 INDN:KRAY PC CO ID:A046002284 CCD PMT INFO:TRN*1*0000229I4011143*1046002284*1059781 62\"/>
        <s v="Online Banking transfer from CHK 9665 Confirmation# 7800759275"/>
        <s v="COMM OF MASS DES:HCCLAIMPMT ID:VC0000968599 INDN:KRAY PC CO ID:A046002284 CCD PMT INFO:TRN*1*0000173I4007025*1046002284*1059208 93\"/>
        <s v="COMM OF MASS DES:HCCLAIMPMT ID:VC0000968599 INDN:KRAY PC CO ID:A046002284 CCD PMT INFO:TRN*1*0000306I4006063*1046002284*1060572 10\"/>
        <s v="COMM OF MASS DES:HCCLAIMPMT ID:VC0000968599 INDN:KRAY PC CO ID:A046002284 CCD PMT INFO:TRN*1*0000103I4001153*1046002284*1058515 20\"/>
        <s v="COMM OF MASS DES:HCCLAIMPMT ID:VC0000968599 INDN:KRAY PC CO ID:A046002284 CCD PMT INFO:TRN*1*0000186I4000577*1046002284*1059353 42\"/>
        <s v="COMM OF MASS DES:HCCLAIMPMT ID:VC0000968599 INDN:KRAY PC CO ID:A046002284 CCD PMT INFO:TRN*1*0000159I4018461*1046002284*1059064 38\"/>
        <s v="COMM OF MASS DES:HCCLAIMPMT ID:VC0000968599 INDN:KRAY PC CO ID:A046002284 CCD PMT INFO:TRN*1*0000257I4003401*1046002284*1060068 68\"/>
        <s v="BKOFAMERICA MOBILE 01/11 3647230030 DEPOSIT *MOBILE MA"/>
        <s v="COMM OF MASS DES:HCCLAIMPMT ID:VC0000968599 INDN:KRAY PC CO ID:A046002284 CCD PMT INFO:TRN*1*0000348I4008835*1046002284*1061007 64\"/>
        <s v="BKOFAMERICA BC 05/15 #000001033 FR CHKG 243 Hartford Tpke Vernon CT"/>
        <s v="COMM OF MASS DES:HCCLAIMPMT ID:VC0000968599 INDN:KRAY PC CO ID:A046002284 CCD PMT INFO:TRN*1*0000166I4003111*1046002284*1059137 32\"/>
        <s v="Cherry DES:Funding ID:884440 INDN:BankofAmerica CO ID:1822708163 PPD"/>
        <s v="COMM OF MASS DES:HCCLAIMPMT ID:VC0000968599 INDN:KRAY PC CO ID:A046002284 CCD PMT INFO:TRN*1*0000355I4008633*1046002284*1061078 18\"/>
        <s v="BKOFAMERICA ATM 04/11 #000005292 DEPOSIT VERNON CIRCLE VERNON CT CKCD 4135715006731171"/>
        <s v="COMM OF MASS DES:HCCLAIMPMT ID:VC0000968599 INDN:KRAY PC CO ID:A046002284 CCD PMT INFO:TRN*1*0000052I5008615*1046002284*1061719 50\"/>
        <s v="COMM OF MASS DES:HCCLAIMPMT ID:VC0000968599 INDN:KRAY PC CO ID:A046002284 CCD PMT INFO:TRN*1*0000271I4009129*1046002284*1060211 35\"/>
        <s v="COMM OF MASS DES:HCCLAIMPMT ID:VC0000968599 INDN:KRAY PC CO ID:A046002284 CCD PMT INFO:TRN*1*0000010I5010791*1046002284*1061295 12\"/>
        <s v="COMM OF MASS DES:HCCLAIMPMT ID:VC0000968599 INDN:KRAY PC CO ID:A046002284 CCD PMT INFO:TRN*1*0000250I4001011*1046002284*1059996 84\"/>
        <s v="BKOFAMERICA BC 05/30 #000006610 FR CHKG 243 Hartford Tpke Vernon CT"/>
        <s v="COMM OF MASS DES:HCCLAIMPMT ID:VC0000968599 INDN:KRAY PC CO ID:A046002284 CCD PMT INFO:TRN*1*0000003I5009375*1046002284*1061223 39\"/>
        <s v="COMM OF MASS DES:HCCLAIMPMT ID:VC0000968599 INDN:KRAY PC CO ID:A046002284 CCD PMT INFO:TRN*1*0000038I5012525*1046002284*1061572 13\"/>
        <s v="BKOFAMERICA ATM 06/19 #000005406 DEPOSIT VERNON CIRCLE VERNON CT CKCD 4135715006731171"/>
        <s v="BKOFAMERICA ATM 01/23 #000004756 DEPOSIT VERNON CIRCLE VERNON CT CKCD 4135715006731171"/>
        <s v="BKOFAMERICA ATM 09/03 #000005920 DEPOSIT WEST END HARTFORD CT CKCD 4135715006731171"/>
        <s v="GLOBAL PMTS INC DES:EFT ID:EID 56816 INDN:GORGEOUS SMILES DENTAL CO ID:5469221406 CCD"/>
        <s v="COMM OF MASS DES:HCCLAIMPMT ID:VC0000968599 INDN:KRAY PC CO ID:A046002284 CCD PMT INFO:TRN*1*0000362I4010465*1046002284*1061150 46\"/>
        <s v="Zelle payment to Ernil Hako for 2 trances of USD 100 - one is executed"/>
        <m/>
      </sharedItems>
    </cacheField>
    <cacheField name="CRDEB" numFmtId="0">
      <sharedItems containsBlank="1" count="3">
        <s v="DEBIT"/>
        <s v="CREDIT"/>
        <m/>
      </sharedItems>
    </cacheField>
    <cacheField name="CREDIT" numFmtId="0">
      <sharedItems containsString="0" containsBlank="1" containsNumber="1" minValue="0.04" maxValue="79323.600000000006" count="240">
        <m/>
        <n v="0.04"/>
        <n v="1.64"/>
        <n v="2.02"/>
        <n v="3.33"/>
        <n v="5.5"/>
        <n v="28.26"/>
        <n v="32.01"/>
        <n v="42.24"/>
        <n v="45.2"/>
        <n v="46.8"/>
        <n v="50"/>
        <n v="52.06"/>
        <n v="57.38"/>
        <n v="79.66"/>
        <n v="79.849999999999994"/>
        <n v="89.99"/>
        <n v="97.12"/>
        <n v="99"/>
        <n v="100"/>
        <n v="101"/>
        <n v="102.2"/>
        <n v="105.84"/>
        <n v="125"/>
        <n v="127.53"/>
        <n v="128"/>
        <n v="130"/>
        <n v="131"/>
        <n v="132.06"/>
        <n v="139"/>
        <n v="140.4"/>
        <n v="160.63"/>
        <n v="164"/>
        <n v="164.1"/>
        <n v="164.82"/>
        <n v="173.23"/>
        <n v="179.5"/>
        <n v="179.6"/>
        <n v="180"/>
        <n v="185.41"/>
        <n v="192.6"/>
        <n v="200"/>
        <n v="205"/>
        <n v="210"/>
        <n v="214.8"/>
        <n v="220.14"/>
        <n v="225"/>
        <n v="226"/>
        <n v="229.2"/>
        <n v="232"/>
        <n v="249.52"/>
        <n v="251.88"/>
        <n v="280"/>
        <n v="288.89"/>
        <n v="300"/>
        <n v="302.10000000000002"/>
        <n v="322.02"/>
        <n v="324"/>
        <n v="326.10000000000002"/>
        <n v="327"/>
        <n v="346"/>
        <n v="350"/>
        <n v="360.18"/>
        <n v="394.6"/>
        <n v="399.8"/>
        <n v="400"/>
        <n v="413"/>
        <n v="425.98"/>
        <n v="434"/>
        <n v="436.8"/>
        <n v="460"/>
        <n v="500"/>
        <n v="517"/>
        <n v="520.16999999999996"/>
        <n v="531.32000000000005"/>
        <n v="540.6"/>
        <n v="540.64"/>
        <n v="548.94000000000005"/>
        <n v="564.03"/>
        <n v="596"/>
        <n v="602.59"/>
        <n v="617"/>
        <n v="635.57000000000005"/>
        <n v="663.02"/>
        <n v="701.6"/>
        <n v="771.1"/>
        <n v="872.62"/>
        <n v="912"/>
        <n v="920.41"/>
        <n v="1005.8"/>
        <n v="1015.43"/>
        <n v="1023"/>
        <n v="1140.0999999999999"/>
        <n v="1214.8"/>
        <n v="1223.5"/>
        <n v="1244.3599999999999"/>
        <n v="1275"/>
        <n v="1320.56"/>
        <n v="1336"/>
        <n v="1417"/>
        <n v="1426.64"/>
        <n v="1442.4"/>
        <n v="1458"/>
        <n v="1472"/>
        <n v="1500"/>
        <n v="1571.99"/>
        <n v="1602"/>
        <n v="1750"/>
        <n v="1973"/>
        <n v="2000"/>
        <n v="2109"/>
        <n v="2195"/>
        <n v="2247.5"/>
        <n v="2353.25"/>
        <n v="2558.79"/>
        <n v="2662.03"/>
        <n v="2800"/>
        <n v="2830.36"/>
        <n v="2877"/>
        <n v="2900"/>
        <n v="2959.14"/>
        <n v="2978.5"/>
        <n v="2979"/>
        <n v="3110"/>
        <n v="3111"/>
        <n v="3162.86"/>
        <n v="3188"/>
        <n v="3189"/>
        <n v="3200"/>
        <n v="3266.05"/>
        <n v="3368"/>
        <n v="3522.91"/>
        <n v="3577.74"/>
        <n v="3907.46"/>
        <n v="3932"/>
        <n v="3935"/>
        <n v="4076.7"/>
        <n v="4182.8500000000004"/>
        <n v="4397.3"/>
        <n v="4405"/>
        <n v="4505"/>
        <n v="4510"/>
        <n v="4530"/>
        <n v="4664"/>
        <n v="4677.1400000000003"/>
        <n v="4700"/>
        <n v="4801.0200000000004"/>
        <n v="4880"/>
        <n v="4892"/>
        <n v="4900"/>
        <n v="5000"/>
        <n v="5090"/>
        <n v="5218.57"/>
        <n v="5402"/>
        <n v="5416"/>
        <n v="5430"/>
        <n v="5431"/>
        <n v="5439"/>
        <n v="5693"/>
        <n v="5748"/>
        <n v="5784"/>
        <n v="6167"/>
        <n v="6178"/>
        <n v="6194.4"/>
        <n v="7093"/>
        <n v="7200"/>
        <n v="7255"/>
        <n v="7331.56"/>
        <n v="8044"/>
        <n v="8140"/>
        <n v="8360.7000000000007"/>
        <n v="8391"/>
        <n v="8688"/>
        <n v="8767"/>
        <n v="8933"/>
        <n v="9000"/>
        <n v="9250.5"/>
        <n v="9746.6"/>
        <n v="9800"/>
        <n v="10000"/>
        <n v="10041.86"/>
        <n v="10190"/>
        <n v="10254"/>
        <n v="10336"/>
        <n v="10375.49"/>
        <n v="10377"/>
        <n v="10480.200000000001"/>
        <n v="10606"/>
        <n v="10701"/>
        <n v="11099"/>
        <n v="11311"/>
        <n v="11944"/>
        <n v="12000"/>
        <n v="12091"/>
        <n v="12121"/>
        <n v="12146"/>
        <n v="12149.9"/>
        <n v="12268"/>
        <n v="12385"/>
        <n v="13000"/>
        <n v="13296"/>
        <n v="13535"/>
        <n v="13643"/>
        <n v="13858.88"/>
        <n v="14000"/>
        <n v="14296"/>
        <n v="14581.87"/>
        <n v="15000"/>
        <n v="15156"/>
        <n v="15399"/>
        <n v="15928.5"/>
        <n v="16000"/>
        <n v="16255.86"/>
        <n v="16825"/>
        <n v="16882"/>
        <n v="16900"/>
        <n v="17000"/>
        <n v="18000"/>
        <n v="18127.96"/>
        <n v="18306"/>
        <n v="18404"/>
        <n v="19018"/>
        <n v="19333"/>
        <n v="20000"/>
        <n v="20717"/>
        <n v="22337"/>
        <n v="23000"/>
        <n v="23500"/>
        <n v="23705.26"/>
        <n v="24105"/>
        <n v="25000"/>
        <n v="26485"/>
        <n v="27000"/>
        <n v="30000"/>
        <n v="35000"/>
        <n v="38000"/>
        <n v="40000"/>
        <n v="54992.73"/>
        <n v="64919"/>
        <n v="79323.600000000006"/>
      </sharedItems>
    </cacheField>
    <cacheField name="DEBIT" numFmtId="0">
      <sharedItems containsString="0" containsBlank="1" containsNumber="1" minValue="-78184.95" maxValue="-7.0000000000000007E-2" count="644">
        <n v="-78184.95"/>
        <n v="-37537.53"/>
        <n v="-36469.589999999997"/>
        <n v="-30177.42"/>
        <n v="-26101.68"/>
        <n v="-25818.32"/>
        <n v="-25780.19"/>
        <n v="-25735.39"/>
        <n v="-25446.04"/>
        <n v="-24937.71"/>
        <n v="-24000"/>
        <n v="-23601.119999999999"/>
        <n v="-21641.34"/>
        <n v="-21640.71"/>
        <n v="-21486.77"/>
        <n v="-20656.77"/>
        <n v="-20000"/>
        <n v="-19855.04"/>
        <n v="-19269.150000000001"/>
        <n v="-18944.400000000001"/>
        <n v="-18897.11"/>
        <n v="-18760.060000000001"/>
        <n v="-18575.29"/>
        <n v="-18562.080000000002"/>
        <n v="-18514.95"/>
        <n v="-18433.349999999999"/>
        <n v="-18358"/>
        <n v="-18207.28"/>
        <n v="-17952.7"/>
        <n v="-17549.900000000001"/>
        <n v="-17048.75"/>
        <n v="-15000"/>
        <n v="-14000"/>
        <n v="-13244.44"/>
        <n v="-11588.83"/>
        <n v="-10780"/>
        <n v="-10482.81"/>
        <n v="-10326.18"/>
        <n v="-10325.25"/>
        <n v="-10202.219999999999"/>
        <n v="-10000"/>
        <n v="-9995.92"/>
        <n v="-9859.36"/>
        <n v="-9637.02"/>
        <n v="-9448.3700000000008"/>
        <n v="-9391.5400000000009"/>
        <n v="-9000"/>
        <n v="-8967.16"/>
        <n v="-8099.74"/>
        <n v="-8087.07"/>
        <n v="-8010"/>
        <n v="-7809.87"/>
        <n v="-7728.43"/>
        <n v="-7614.31"/>
        <n v="-7589.02"/>
        <n v="-7557.43"/>
        <n v="-7496.54"/>
        <n v="-7200"/>
        <n v="-7034.34"/>
        <n v="-6916.83"/>
        <n v="-6651.6"/>
        <n v="-6620.72"/>
        <n v="-6460.35"/>
        <n v="-6400"/>
        <n v="-6185.73"/>
        <n v="-6126.56"/>
        <n v="-6068.24"/>
        <n v="-5405.5"/>
        <n v="-5300.8"/>
        <n v="-5114.5"/>
        <n v="-5089.5"/>
        <n v="-5020.3900000000003"/>
        <n v="-5000"/>
        <n v="-4964.04"/>
        <n v="-4934.7700000000004"/>
        <n v="-4801.0200000000004"/>
        <n v="-4801"/>
        <n v="-4714.6499999999996"/>
        <n v="-4648.54"/>
        <n v="-4592.8500000000004"/>
        <n v="-4526.33"/>
        <n v="-4519.68"/>
        <n v="-4326.83"/>
        <n v="-4221.88"/>
        <n v="-4106.3900000000003"/>
        <n v="-4005.53"/>
        <n v="-3779.49"/>
        <n v="-3772.27"/>
        <n v="-3761.56"/>
        <n v="-3748.21"/>
        <n v="-3725.19"/>
        <n v="-3707.96"/>
        <n v="-3699.89"/>
        <n v="-3696.57"/>
        <n v="-3671.32"/>
        <n v="-3636.51"/>
        <n v="-3635.83"/>
        <n v="-3574.07"/>
        <n v="-3522.91"/>
        <n v="-3502.97"/>
        <n v="-3471.15"/>
        <n v="-3368"/>
        <n v="-3291.3"/>
        <n v="-3280.27"/>
        <n v="-3233.69"/>
        <n v="-3183.48"/>
        <n v="-3173.8"/>
        <n v="-3088"/>
        <n v="-3063.53"/>
        <n v="-3051.21"/>
        <n v="-3046.53"/>
        <n v="-2993.94"/>
        <n v="-2989.94"/>
        <n v="-2968.53"/>
        <n v="-2884.31"/>
        <n v="-2865.03"/>
        <n v="-2845.5"/>
        <n v="-2826.26"/>
        <n v="-2791.41"/>
        <n v="-2722.64"/>
        <n v="-2700"/>
        <n v="-2566.5"/>
        <n v="-2566.44"/>
        <n v="-2512"/>
        <n v="-2476.88"/>
        <n v="-2317.94"/>
        <n v="-2313.0500000000002"/>
        <n v="-2255"/>
        <n v="-2228.0700000000002"/>
        <n v="-2115.81"/>
        <n v="-2053.81"/>
        <n v="-2053.2199999999998"/>
        <n v="-2053.17"/>
        <n v="-2000"/>
        <n v="-1971.41"/>
        <n v="-1969.72"/>
        <n v="-1948.66"/>
        <n v="-1921.38"/>
        <n v="-1865.9"/>
        <n v="-1775.67"/>
        <n v="-1733.18"/>
        <n v="-1677.56"/>
        <n v="-1669.58"/>
        <n v="-1640.36"/>
        <n v="-1615"/>
        <n v="-1601.1"/>
        <n v="-1598"/>
        <n v="-1573.87"/>
        <n v="-1539.94"/>
        <n v="-1524.69"/>
        <n v="-1512.13"/>
        <n v="-1500"/>
        <n v="-1488.54"/>
        <n v="-1484.4"/>
        <n v="-1479.22"/>
        <n v="-1478"/>
        <n v="-1445"/>
        <n v="-1428"/>
        <n v="-1420"/>
        <n v="-1388.76"/>
        <n v="-1384.18"/>
        <n v="-1355.56"/>
        <n v="-1347.12"/>
        <n v="-1317.99"/>
        <n v="-1316.64"/>
        <n v="-1311.14"/>
        <n v="-1280.52"/>
        <n v="-1275.9100000000001"/>
        <n v="-1270.3900000000001"/>
        <n v="-1261.74"/>
        <n v="-1260.4100000000001"/>
        <n v="-1259.3499999999999"/>
        <n v="-1248.1199999999999"/>
        <n v="-1200"/>
        <n v="-1177"/>
        <n v="-1151.3699999999999"/>
        <n v="-1136.1400000000001"/>
        <n v="-1120"/>
        <n v="-1095.83"/>
        <n v="-1076.3"/>
        <n v="-1076.05"/>
        <n v="-1062.97"/>
        <n v="-1054.1300000000001"/>
        <n v="-1050.6099999999999"/>
        <n v="-1026.56"/>
        <n v="-1022.45"/>
        <n v="-1014"/>
        <n v="-993"/>
        <n v="-992.67"/>
        <n v="-990.74"/>
        <n v="-985.16"/>
        <n v="-984"/>
        <n v="-982.16"/>
        <n v="-979.48"/>
        <n v="-976"/>
        <n v="-967.7"/>
        <n v="-961.91"/>
        <n v="-952.02"/>
        <n v="-948"/>
        <n v="-914"/>
        <n v="-913.14"/>
        <n v="-903.49"/>
        <n v="-893.23"/>
        <n v="-867.5"/>
        <n v="-865.87"/>
        <n v="-863.55"/>
        <n v="-849"/>
        <n v="-819.72"/>
        <n v="-772.37"/>
        <n v="-766.8"/>
        <n v="-756.25"/>
        <n v="-753.4"/>
        <n v="-749.78"/>
        <n v="-743.95"/>
        <n v="-724.85"/>
        <n v="-724.56"/>
        <n v="-723.48"/>
        <n v="-718.34"/>
        <n v="-716.51"/>
        <n v="-705.34"/>
        <n v="-691.83"/>
        <n v="-689.43"/>
        <n v="-683.04"/>
        <n v="-669.57"/>
        <n v="-656.69"/>
        <n v="-653.54999999999995"/>
        <n v="-649.99"/>
        <n v="-638.25"/>
        <n v="-603.75"/>
        <n v="-574.55999999999995"/>
        <n v="-567.53"/>
        <n v="-562.20000000000005"/>
        <n v="-550.58000000000004"/>
        <n v="-549.52"/>
        <n v="-548.94000000000005"/>
        <n v="-544.13"/>
        <n v="-543.55999999999995"/>
        <n v="-542.53"/>
        <n v="-542.44000000000005"/>
        <n v="-540.64"/>
        <n v="-536.41999999999996"/>
        <n v="-535.91"/>
        <n v="-535.49"/>
        <n v="-533.13"/>
        <n v="-531.32000000000005"/>
        <n v="-523.59"/>
        <n v="-515.87"/>
        <n v="-515.63"/>
        <n v="-514.01"/>
        <n v="-513.33000000000004"/>
        <n v="-512.54999999999995"/>
        <n v="-510.24"/>
        <n v="-509.35"/>
        <n v="-500"/>
        <n v="-498.8"/>
        <n v="-495.82"/>
        <n v="-492.36"/>
        <n v="-488.71"/>
        <n v="-480.3"/>
        <n v="-469.44"/>
        <n v="-466.84"/>
        <n v="-465.56"/>
        <n v="-460.89"/>
        <n v="-457.41"/>
        <n v="-456"/>
        <n v="-455.02"/>
        <n v="-446.52"/>
        <n v="-439.62"/>
        <n v="-433.73"/>
        <n v="-433.38"/>
        <n v="-424.84"/>
        <n v="-424.2"/>
        <n v="-421.82"/>
        <n v="-421.48"/>
        <n v="-410.49"/>
        <n v="-407.39"/>
        <n v="-401.63"/>
        <n v="-400"/>
        <n v="-398.9"/>
        <n v="-397.91"/>
        <n v="-395.42"/>
        <n v="-390.74"/>
        <n v="-390"/>
        <n v="-386.02"/>
        <n v="-383.41"/>
        <n v="-382.87"/>
        <n v="-382.8"/>
        <n v="-382.5"/>
        <n v="-382"/>
        <n v="-381.26"/>
        <n v="-380"/>
        <n v="-376.47"/>
        <n v="-372.19"/>
        <n v="-370"/>
        <n v="-367.19"/>
        <n v="-354.57"/>
        <n v="-354"/>
        <n v="-353.7"/>
        <n v="-350"/>
        <n v="-348"/>
        <n v="-342.5"/>
        <n v="-342"/>
        <n v="-336"/>
        <n v="-333.36"/>
        <n v="-330.86"/>
        <n v="-316.58"/>
        <n v="-309.95"/>
        <n v="-309.92"/>
        <n v="-307.45"/>
        <n v="-304.58"/>
        <n v="-304.45999999999998"/>
        <n v="-303.83"/>
        <n v="-301.27"/>
        <n v="-300"/>
        <n v="-294.48"/>
        <n v="-292.89999999999998"/>
        <n v="-286.05"/>
        <n v="-279.60000000000002"/>
        <n v="-278.60000000000002"/>
        <n v="-277.97000000000003"/>
        <n v="-275.86"/>
        <n v="-274.13"/>
        <n v="-273.25"/>
        <n v="-272.22000000000003"/>
        <n v="-271.82"/>
        <n v="-265.72000000000003"/>
        <n v="-265.29000000000002"/>
        <n v="-264.56"/>
        <n v="-260.29000000000002"/>
        <n v="-258.04000000000002"/>
        <n v="-254.16"/>
        <n v="-254.05"/>
        <n v="-252.09"/>
        <n v="-251.76"/>
        <n v="-251.75"/>
        <n v="-250.86"/>
        <n v="-250.6"/>
        <n v="-250.1"/>
        <n v="-250"/>
        <n v="-249.37"/>
        <n v="-248.54"/>
        <n v="-247.76"/>
        <n v="-246.19"/>
        <n v="-246.17"/>
        <n v="-244.36"/>
        <n v="-238.04"/>
        <n v="-238.01"/>
        <n v="-237.99"/>
        <n v="-235.53"/>
        <n v="-232.69"/>
        <n v="-230.29"/>
        <n v="-226.7"/>
        <n v="-225.51"/>
        <n v="-222.36"/>
        <n v="-219.81"/>
        <n v="-219.27"/>
        <n v="-218.07"/>
        <n v="-217.5"/>
        <n v="-217"/>
        <n v="-212.68"/>
        <n v="-212.5"/>
        <n v="-210.34"/>
        <n v="-206.41"/>
        <n v="-205.62"/>
        <n v="-204.38"/>
        <n v="-204"/>
        <n v="-202.94"/>
        <n v="-202.73"/>
        <n v="-200.07"/>
        <n v="-200.06"/>
        <n v="-200"/>
        <n v="-194.16"/>
        <n v="-193.1"/>
        <n v="-189"/>
        <n v="-186.62"/>
        <n v="-186.25"/>
        <n v="-182.65"/>
        <n v="-182.54"/>
        <n v="-182.11"/>
        <n v="-181.98"/>
        <n v="-181.24"/>
        <n v="-180.36"/>
        <n v="-180"/>
        <n v="-179.71"/>
        <n v="-178.37"/>
        <n v="-174.7"/>
        <n v="-173.23"/>
        <n v="-172.37"/>
        <n v="-171.22"/>
        <n v="-169.83"/>
        <n v="-169.81"/>
        <n v="-169.58"/>
        <n v="-168.79"/>
        <n v="-167"/>
        <n v="-166.49"/>
        <n v="-165.88"/>
        <n v="-165.87"/>
        <n v="-165.36"/>
        <n v="-163.78"/>
        <n v="-162.56"/>
        <n v="-161.03"/>
        <n v="-160.63"/>
        <n v="-159.69999999999999"/>
        <n v="-159.51"/>
        <n v="-159.38"/>
        <n v="-154.54"/>
        <n v="-153.83000000000001"/>
        <n v="-153.09"/>
        <n v="-152.16999999999999"/>
        <n v="-150.93"/>
        <n v="-150"/>
        <n v="-149.94999999999999"/>
        <n v="-148.41"/>
        <n v="-147.91999999999999"/>
        <n v="-147.76"/>
        <n v="-147.69"/>
        <n v="-145.86000000000001"/>
        <n v="-144.49"/>
        <n v="-142"/>
        <n v="-141.26"/>
        <n v="-140.38"/>
        <n v="-139.99"/>
        <n v="-139.56"/>
        <n v="-138.26"/>
        <n v="-135.28"/>
        <n v="-135"/>
        <n v="-134.83000000000001"/>
        <n v="-133.94"/>
        <n v="-133.37"/>
        <n v="-133.13"/>
        <n v="-132.56"/>
        <n v="-132.44"/>
        <n v="-130.80000000000001"/>
        <n v="-130.72"/>
        <n v="-129.36000000000001"/>
        <n v="-127.59"/>
        <n v="-126.56"/>
        <n v="-126.43"/>
        <n v="-126"/>
        <n v="-124.78"/>
        <n v="-123.29"/>
        <n v="-122.65"/>
        <n v="-121.14"/>
        <n v="-119.14"/>
        <n v="-119"/>
        <n v="-118.95"/>
        <n v="-118.41"/>
        <n v="-118.1"/>
        <n v="-116.96"/>
        <n v="-115.22"/>
        <n v="-114.22"/>
        <n v="-114.17"/>
        <n v="-114.05"/>
        <n v="-112.96"/>
        <n v="-112.6"/>
        <n v="-108.43"/>
        <n v="-107.4"/>
        <n v="-106.93"/>
        <n v="-106.24"/>
        <n v="-106.2"/>
        <n v="-105.77"/>
        <n v="-105.29"/>
        <n v="-105.19"/>
        <n v="-103.7"/>
        <n v="-100"/>
        <n v="-99.86"/>
        <n v="-99.48"/>
        <n v="-98.99"/>
        <n v="-98.32"/>
        <n v="-98.09"/>
        <n v="-95.67"/>
        <n v="-95.42"/>
        <n v="-94.92"/>
        <n v="-93.94"/>
        <n v="-93.46"/>
        <n v="-92.54"/>
        <n v="-91.57"/>
        <n v="-91.46"/>
        <n v="-91.44"/>
        <n v="-88.75"/>
        <n v="-87.82"/>
        <n v="-86.92"/>
        <n v="-85.75"/>
        <n v="-85.08"/>
        <n v="-85.06"/>
        <n v="-85.05"/>
        <n v="-82.6"/>
        <n v="-82.53"/>
        <n v="-82.3"/>
        <n v="-81.67"/>
        <n v="-81.52"/>
        <n v="-80.150000000000006"/>
        <n v="-80.040000000000006"/>
        <n v="-79"/>
        <n v="-78.680000000000007"/>
        <n v="-76.81"/>
        <n v="-76.77"/>
        <n v="-76.56"/>
        <n v="-76.040000000000006"/>
        <n v="-75.680000000000007"/>
        <n v="-75.510000000000005"/>
        <n v="-74.36"/>
        <n v="-73.64"/>
        <n v="-71.010000000000005"/>
        <n v="-70.319999999999993"/>
        <n v="-68.05"/>
        <n v="-67.86"/>
        <n v="-67.55"/>
        <n v="-66.930000000000007"/>
        <n v="-66.459999999999994"/>
        <n v="-64.52"/>
        <n v="-63.22"/>
        <n v="-61.23"/>
        <n v="-59.88"/>
        <n v="-59"/>
        <n v="-58.78"/>
        <n v="-57.1"/>
        <n v="-55.86"/>
        <n v="-55.05"/>
        <n v="-53.35"/>
        <n v="-53.13"/>
        <n v="-53.1"/>
        <n v="-52.99"/>
        <n v="-52.96"/>
        <n v="-52.93"/>
        <n v="-52.92"/>
        <n v="-51.43"/>
        <n v="-50.9"/>
        <n v="-50.25"/>
        <n v="-50"/>
        <n v="-49.99"/>
        <n v="-49.71"/>
        <n v="-48.39"/>
        <n v="-47.35"/>
        <n v="-46.7"/>
        <n v="-45"/>
        <n v="-44.68"/>
        <n v="-44.61"/>
        <n v="-44.58"/>
        <n v="-44.17"/>
        <n v="-42.5"/>
        <n v="-42.49"/>
        <n v="-42.36"/>
        <n v="-42.05"/>
        <n v="-40.659999999999997"/>
        <n v="-39.76"/>
        <n v="-37.18"/>
        <n v="-37.17"/>
        <n v="-36.979999999999997"/>
        <n v="-36.159999999999997"/>
        <n v="-35.9"/>
        <n v="-35.700000000000003"/>
        <n v="-35.67"/>
        <n v="-35.659999999999997"/>
        <n v="-35.65"/>
        <n v="-35.6"/>
        <n v="-35.46"/>
        <n v="-35.29"/>
        <n v="-35.07"/>
        <n v="-35"/>
        <n v="-34.950000000000003"/>
        <n v="-34.799999999999997"/>
        <n v="-34.65"/>
        <n v="-34.6"/>
        <n v="-34.25"/>
        <n v="-34"/>
        <n v="-33.86"/>
        <n v="-33.85"/>
        <n v="-33.299999999999997"/>
        <n v="-33.29"/>
        <n v="-33"/>
        <n v="-32.68"/>
        <n v="-32.06"/>
        <n v="-31.86"/>
        <n v="-31.8"/>
        <n v="-31.2"/>
        <n v="-31.19"/>
        <n v="-31.16"/>
        <n v="-30.45"/>
        <n v="-30"/>
        <n v="-29.99"/>
        <n v="-28.26"/>
        <n v="-28.19"/>
        <n v="-27.55"/>
        <n v="-27.53"/>
        <n v="-27.08"/>
        <n v="-27"/>
        <n v="-26.61"/>
        <n v="-26.55"/>
        <n v="-26.34"/>
        <n v="-26.1"/>
        <n v="-26"/>
        <n v="-25"/>
        <n v="-24.43"/>
        <n v="-24.14"/>
        <n v="-24"/>
        <n v="-23.15"/>
        <n v="-22.95"/>
        <n v="-21.72"/>
        <n v="-21.4"/>
        <n v="-21.26"/>
        <n v="-21"/>
        <n v="-20.53"/>
        <n v="-20.37"/>
        <n v="-20.23"/>
        <n v="-20.16"/>
        <n v="-20"/>
        <n v="-19.64"/>
        <n v="-19.13"/>
        <n v="-19"/>
        <n v="-18.05"/>
        <n v="-18"/>
        <n v="-17.010000000000002"/>
        <n v="-16.12"/>
        <n v="-16"/>
        <n v="-15.56"/>
        <n v="-15.37"/>
        <n v="-15.03"/>
        <n v="-15"/>
        <n v="-14.99"/>
        <n v="-14.5"/>
        <n v="-14.19"/>
        <n v="-14"/>
        <n v="-13.13"/>
        <n v="-12.57"/>
        <n v="-12.55"/>
        <n v="-11.68"/>
        <n v="-11.02"/>
        <n v="-10.06"/>
        <n v="-10"/>
        <n v="-9.1"/>
        <n v="-8.51"/>
        <n v="-8.5"/>
        <n v="-8.4700000000000006"/>
        <n v="-8.26"/>
        <n v="-7.53"/>
        <n v="-7.28"/>
        <n v="-6.36"/>
        <n v="-5.83"/>
        <n v="-5.79"/>
        <n v="-1"/>
        <n v="-7.0000000000000007E-2"/>
        <m/>
        <n v="-1543.76"/>
      </sharedItems>
    </cacheField>
    <cacheField name="DEBITPOS" numFmtId="0">
      <sharedItems containsString="0" containsBlank="1" containsNumber="1" minValue="7.0000000000000007E-2" maxValue="78184.95"/>
    </cacheField>
    <cacheField name="Amount" numFmtId="0">
      <sharedItems containsString="0" containsBlank="1" containsNumber="1" minValue="-78184.95" maxValue="79323.600000000006" count="883">
        <n v="-78184.95"/>
        <n v="-37537.53"/>
        <n v="-36469.589999999997"/>
        <n v="-30177.42"/>
        <n v="-26101.68"/>
        <n v="-25818.32"/>
        <n v="-25780.19"/>
        <n v="-25735.39"/>
        <n v="-25446.04"/>
        <n v="-24937.71"/>
        <n v="-24000"/>
        <n v="-23601.119999999999"/>
        <n v="-21641.34"/>
        <n v="-21640.71"/>
        <n v="-21486.77"/>
        <n v="-20656.77"/>
        <n v="-20000"/>
        <n v="-19855.04"/>
        <n v="-19269.150000000001"/>
        <n v="-18944.400000000001"/>
        <n v="-18897.11"/>
        <n v="-18760.060000000001"/>
        <n v="-18575.29"/>
        <n v="-18562.080000000002"/>
        <n v="-18514.95"/>
        <n v="-18433.349999999999"/>
        <n v="-18358"/>
        <n v="-18207.28"/>
        <n v="-17952.7"/>
        <n v="-17549.900000000001"/>
        <n v="-17048.75"/>
        <n v="-15000"/>
        <n v="-14000"/>
        <n v="-13244.44"/>
        <n v="-11588.83"/>
        <n v="-10780"/>
        <n v="-10482.81"/>
        <n v="-10326.18"/>
        <n v="-10325.25"/>
        <n v="-10202.219999999999"/>
        <n v="-10000"/>
        <n v="-9995.92"/>
        <n v="-9859.36"/>
        <n v="-9637.02"/>
        <n v="-9448.3700000000008"/>
        <n v="-9391.5400000000009"/>
        <n v="-9000"/>
        <n v="-8967.16"/>
        <n v="-8099.74"/>
        <n v="-8087.07"/>
        <n v="-8010"/>
        <n v="-7809.87"/>
        <n v="-7728.43"/>
        <n v="-7614.31"/>
        <n v="-7589.02"/>
        <n v="-7557.43"/>
        <n v="-7496.54"/>
        <n v="-7200"/>
        <n v="-7034.34"/>
        <n v="-6916.83"/>
        <n v="-6651.6"/>
        <n v="-6620.72"/>
        <n v="-6460.35"/>
        <n v="-6400"/>
        <n v="-6185.73"/>
        <n v="-6126.56"/>
        <n v="-6068.24"/>
        <n v="-5405.5"/>
        <n v="-5300.8"/>
        <n v="-5114.5"/>
        <n v="-5089.5"/>
        <n v="-5020.3900000000003"/>
        <n v="-5000"/>
        <n v="-4964.04"/>
        <n v="-4934.7700000000004"/>
        <n v="-4801.0200000000004"/>
        <n v="-4801"/>
        <n v="-4714.6499999999996"/>
        <n v="-4648.54"/>
        <n v="-4592.8500000000004"/>
        <n v="-4526.33"/>
        <n v="-4519.68"/>
        <n v="-4326.83"/>
        <n v="-4221.88"/>
        <n v="-4106.3900000000003"/>
        <n v="-4005.53"/>
        <n v="-3779.49"/>
        <n v="-3772.27"/>
        <n v="-3761.56"/>
        <n v="-3748.21"/>
        <n v="-3725.19"/>
        <n v="-3707.96"/>
        <n v="-3699.89"/>
        <n v="-3696.57"/>
        <n v="-3671.32"/>
        <n v="-3636.51"/>
        <n v="-3635.83"/>
        <n v="-3574.07"/>
        <n v="-3522.91"/>
        <n v="-3502.97"/>
        <n v="-3471.15"/>
        <n v="-3368"/>
        <n v="-3291.3"/>
        <n v="-3280.27"/>
        <n v="-3233.69"/>
        <n v="-3183.48"/>
        <n v="-3173.8"/>
        <n v="-3088"/>
        <n v="-3063.53"/>
        <n v="-3051.21"/>
        <n v="-3046.53"/>
        <n v="-2993.94"/>
        <n v="-2989.94"/>
        <n v="-2968.53"/>
        <n v="-2884.31"/>
        <n v="-2865.03"/>
        <n v="-2845.5"/>
        <n v="-2826.26"/>
        <n v="-2791.41"/>
        <n v="-2722.64"/>
        <n v="-2700"/>
        <n v="-2566.5"/>
        <n v="-2566.44"/>
        <n v="-2512"/>
        <n v="-2476.88"/>
        <n v="-2317.94"/>
        <n v="-2313.0500000000002"/>
        <n v="-2255"/>
        <n v="-2228.0700000000002"/>
        <n v="-2115.81"/>
        <n v="-2053.81"/>
        <n v="-2053.2199999999998"/>
        <n v="-2053.17"/>
        <n v="-2000"/>
        <n v="-1971.41"/>
        <n v="-1969.72"/>
        <n v="-1948.66"/>
        <n v="-1921.38"/>
        <n v="-1865.9"/>
        <n v="-1775.67"/>
        <n v="-1733.18"/>
        <n v="-1677.56"/>
        <n v="-1669.58"/>
        <n v="-1640.36"/>
        <n v="-1615"/>
        <n v="-1601.1"/>
        <n v="-1598"/>
        <n v="-1573.87"/>
        <n v="-1539.94"/>
        <n v="-1524.69"/>
        <n v="-1512.13"/>
        <n v="-1500"/>
        <n v="-1488.54"/>
        <n v="-1484.4"/>
        <n v="-1479.22"/>
        <n v="-1478"/>
        <n v="-1445"/>
        <n v="-1428"/>
        <n v="-1420"/>
        <n v="-1388.76"/>
        <n v="-1384.18"/>
        <n v="-1355.56"/>
        <n v="-1347.12"/>
        <n v="-1317.99"/>
        <n v="-1316.64"/>
        <n v="-1311.14"/>
        <n v="-1280.52"/>
        <n v="-1275.9100000000001"/>
        <n v="-1270.3900000000001"/>
        <n v="-1261.74"/>
        <n v="-1260.4100000000001"/>
        <n v="-1259.3499999999999"/>
        <n v="-1248.1199999999999"/>
        <n v="-1200"/>
        <n v="-1177"/>
        <n v="-1151.3699999999999"/>
        <n v="-1136.1400000000001"/>
        <n v="-1120"/>
        <n v="-1095.83"/>
        <n v="-1076.3"/>
        <n v="-1076.05"/>
        <n v="-1062.97"/>
        <n v="-1054.1300000000001"/>
        <n v="-1050.6099999999999"/>
        <n v="-1026.56"/>
        <n v="-1022.45"/>
        <n v="-1014"/>
        <n v="-993"/>
        <n v="-992.67"/>
        <n v="-990.74"/>
        <n v="-985.16"/>
        <n v="-984"/>
        <n v="-982.16"/>
        <n v="-979.48"/>
        <n v="-976"/>
        <n v="-967.7"/>
        <n v="-961.91"/>
        <n v="-952.02"/>
        <n v="-948"/>
        <n v="-914"/>
        <n v="-913.14"/>
        <n v="-903.49"/>
        <n v="-893.23"/>
        <n v="-867.5"/>
        <n v="-865.87"/>
        <n v="-863.55"/>
        <n v="-849"/>
        <n v="-819.72"/>
        <n v="-772.37"/>
        <n v="-766.8"/>
        <n v="-756.25"/>
        <n v="-753.4"/>
        <n v="-749.78"/>
        <n v="-743.95"/>
        <n v="-724.85"/>
        <n v="-724.56"/>
        <n v="-723.48"/>
        <n v="-718.34"/>
        <n v="-716.51"/>
        <n v="-705.34"/>
        <n v="-691.83"/>
        <n v="-689.43"/>
        <n v="-683.04"/>
        <n v="-669.57"/>
        <n v="-656.69"/>
        <n v="-653.54999999999995"/>
        <n v="-649.99"/>
        <n v="-638.25"/>
        <n v="-603.75"/>
        <n v="-574.55999999999995"/>
        <n v="-567.53"/>
        <n v="-562.20000000000005"/>
        <n v="-550.58000000000004"/>
        <n v="-549.52"/>
        <n v="-548.94000000000005"/>
        <n v="-544.13"/>
        <n v="-543.55999999999995"/>
        <n v="-542.53"/>
        <n v="-542.44000000000005"/>
        <n v="-540.64"/>
        <n v="-536.41999999999996"/>
        <n v="-535.91"/>
        <n v="-535.49"/>
        <n v="-533.13"/>
        <n v="-531.32000000000005"/>
        <n v="-523.59"/>
        <n v="-515.87"/>
        <n v="-515.63"/>
        <n v="-514.01"/>
        <n v="-513.33000000000004"/>
        <n v="-512.54999999999995"/>
        <n v="-510.24"/>
        <n v="-509.35"/>
        <n v="-500"/>
        <n v="-498.8"/>
        <n v="-495.82"/>
        <n v="-492.36"/>
        <n v="-488.71"/>
        <n v="-480.3"/>
        <n v="-469.44"/>
        <n v="-466.84"/>
        <n v="-465.56"/>
        <n v="-460.89"/>
        <n v="-457.41"/>
        <n v="-456"/>
        <n v="-455.02"/>
        <n v="-446.52"/>
        <n v="-439.62"/>
        <n v="-433.73"/>
        <n v="-433.38"/>
        <n v="-424.84"/>
        <n v="-424.2"/>
        <n v="-421.82"/>
        <n v="-421.48"/>
        <n v="-410.49"/>
        <n v="-407.39"/>
        <n v="-401.63"/>
        <n v="-400"/>
        <n v="-398.9"/>
        <n v="-397.91"/>
        <n v="-395.42"/>
        <n v="-390.74"/>
        <n v="-390"/>
        <n v="-386.02"/>
        <n v="-383.41"/>
        <n v="-382.87"/>
        <n v="-382.8"/>
        <n v="-382.5"/>
        <n v="-382"/>
        <n v="-381.26"/>
        <n v="-380"/>
        <n v="-376.47"/>
        <n v="-372.19"/>
        <n v="-370"/>
        <n v="-367.19"/>
        <n v="-354.57"/>
        <n v="-354"/>
        <n v="-353.7"/>
        <n v="-350"/>
        <n v="-348"/>
        <n v="-342.5"/>
        <n v="-342"/>
        <n v="-336"/>
        <n v="-333.36"/>
        <n v="-330.86"/>
        <n v="-316.58"/>
        <n v="-309.95"/>
        <n v="-309.92"/>
        <n v="-307.45"/>
        <n v="-304.58"/>
        <n v="-304.45999999999998"/>
        <n v="-303.83"/>
        <n v="-301.27"/>
        <n v="-300"/>
        <n v="-294.48"/>
        <n v="-292.89999999999998"/>
        <n v="-286.05"/>
        <n v="-279.60000000000002"/>
        <n v="-278.60000000000002"/>
        <n v="-277.97000000000003"/>
        <n v="-275.86"/>
        <n v="-274.13"/>
        <n v="-273.25"/>
        <n v="-272.22000000000003"/>
        <n v="-271.82"/>
        <n v="-265.72000000000003"/>
        <n v="-265.29000000000002"/>
        <n v="-264.56"/>
        <n v="-260.29000000000002"/>
        <n v="-258.04000000000002"/>
        <n v="-254.16"/>
        <n v="-254.05"/>
        <n v="-252.09"/>
        <n v="-251.76"/>
        <n v="-251.75"/>
        <n v="-250.86"/>
        <n v="-250.6"/>
        <n v="-250.1"/>
        <n v="-250"/>
        <n v="-249.37"/>
        <n v="-248.54"/>
        <n v="-247.76"/>
        <n v="-246.19"/>
        <n v="-246.17"/>
        <n v="-244.36"/>
        <n v="-238.04"/>
        <n v="-238.01"/>
        <n v="-237.99"/>
        <n v="-235.53"/>
        <n v="-232.69"/>
        <n v="-230.29"/>
        <n v="-226.7"/>
        <n v="-225.51"/>
        <n v="-222.36"/>
        <n v="-219.81"/>
        <n v="-219.27"/>
        <n v="-218.07"/>
        <n v="-217.5"/>
        <n v="-217"/>
        <n v="-212.68"/>
        <n v="-212.5"/>
        <n v="-210.34"/>
        <n v="-206.41"/>
        <n v="-205.62"/>
        <n v="-204.38"/>
        <n v="-204"/>
        <n v="-202.94"/>
        <n v="-202.73"/>
        <n v="-200.07"/>
        <n v="-200.06"/>
        <n v="-200"/>
        <n v="-194.16"/>
        <n v="-193.1"/>
        <n v="-189"/>
        <n v="-186.62"/>
        <n v="-186.25"/>
        <n v="-182.65"/>
        <n v="-182.54"/>
        <n v="-182.11"/>
        <n v="-181.98"/>
        <n v="-181.24"/>
        <n v="-180.36"/>
        <n v="-180"/>
        <n v="-179.71"/>
        <n v="-178.37"/>
        <n v="-174.7"/>
        <n v="-173.23"/>
        <n v="-172.37"/>
        <n v="-171.22"/>
        <n v="-169.83"/>
        <n v="-169.81"/>
        <n v="-169.58"/>
        <n v="-168.79"/>
        <n v="-167"/>
        <n v="-166.49"/>
        <n v="-165.88"/>
        <n v="-165.87"/>
        <n v="-165.36"/>
        <n v="-163.78"/>
        <n v="-162.56"/>
        <n v="-161.03"/>
        <n v="-160.63"/>
        <n v="-159.69999999999999"/>
        <n v="-159.51"/>
        <n v="-159.38"/>
        <n v="-154.54"/>
        <n v="-153.83000000000001"/>
        <n v="-153.09"/>
        <n v="-152.16999999999999"/>
        <n v="-150.93"/>
        <n v="-150"/>
        <n v="-149.94999999999999"/>
        <n v="-148.41"/>
        <n v="-147.91999999999999"/>
        <n v="-147.76"/>
        <n v="-147.69"/>
        <n v="-145.86000000000001"/>
        <n v="-144.49"/>
        <n v="-142"/>
        <n v="-141.26"/>
        <n v="-140.38"/>
        <n v="-139.99"/>
        <n v="-139.56"/>
        <n v="-138.26"/>
        <n v="-135.28"/>
        <n v="-135"/>
        <n v="-134.83000000000001"/>
        <n v="-133.94"/>
        <n v="-133.37"/>
        <n v="-133.13"/>
        <n v="-132.56"/>
        <n v="-132.44"/>
        <n v="-130.80000000000001"/>
        <n v="-130.72"/>
        <n v="-129.36000000000001"/>
        <n v="-127.59"/>
        <n v="-126.56"/>
        <n v="-126.43"/>
        <n v="-126"/>
        <n v="-124.78"/>
        <n v="-123.29"/>
        <n v="-122.65"/>
        <n v="-121.14"/>
        <n v="-119.14"/>
        <n v="-119"/>
        <n v="-118.95"/>
        <n v="-118.41"/>
        <n v="-118.1"/>
        <n v="-116.96"/>
        <n v="-115.22"/>
        <n v="-114.22"/>
        <n v="-114.17"/>
        <n v="-114.05"/>
        <n v="-112.96"/>
        <n v="-112.6"/>
        <n v="-108.43"/>
        <n v="-107.4"/>
        <n v="-106.93"/>
        <n v="-106.24"/>
        <n v="-106.2"/>
        <n v="-105.77"/>
        <n v="-105.29"/>
        <n v="-105.19"/>
        <n v="-103.7"/>
        <n v="-100"/>
        <n v="-99.86"/>
        <n v="-99.48"/>
        <n v="-98.99"/>
        <n v="-98.32"/>
        <n v="-98.09"/>
        <n v="-95.67"/>
        <n v="-95.42"/>
        <n v="-94.92"/>
        <n v="-93.94"/>
        <n v="-93.46"/>
        <n v="-92.54"/>
        <n v="-91.57"/>
        <n v="-91.46"/>
        <n v="-91.44"/>
        <n v="-88.75"/>
        <n v="-87.82"/>
        <n v="-86.92"/>
        <n v="-85.75"/>
        <n v="-85.08"/>
        <n v="-85.06"/>
        <n v="-85.05"/>
        <n v="-82.6"/>
        <n v="-82.53"/>
        <n v="-82.3"/>
        <n v="-81.67"/>
        <n v="-81.52"/>
        <n v="-80.150000000000006"/>
        <n v="-80.040000000000006"/>
        <n v="-79"/>
        <n v="-78.680000000000007"/>
        <n v="-76.81"/>
        <n v="-76.77"/>
        <n v="-76.56"/>
        <n v="-76.040000000000006"/>
        <n v="-75.680000000000007"/>
        <n v="-75.510000000000005"/>
        <n v="-74.36"/>
        <n v="-73.64"/>
        <n v="-71.010000000000005"/>
        <n v="-70.319999999999993"/>
        <n v="-68.05"/>
        <n v="-67.86"/>
        <n v="-67.55"/>
        <n v="-66.930000000000007"/>
        <n v="-66.459999999999994"/>
        <n v="-64.52"/>
        <n v="-63.22"/>
        <n v="-61.23"/>
        <n v="-59.88"/>
        <n v="-59"/>
        <n v="-58.78"/>
        <n v="-57.1"/>
        <n v="-55.86"/>
        <n v="-55.05"/>
        <n v="-53.35"/>
        <n v="-53.13"/>
        <n v="-53.1"/>
        <n v="-52.99"/>
        <n v="-52.96"/>
        <n v="-52.93"/>
        <n v="-52.92"/>
        <n v="-51.43"/>
        <n v="-50.9"/>
        <n v="-50.25"/>
        <n v="-50"/>
        <n v="-49.99"/>
        <n v="-49.71"/>
        <n v="-48.39"/>
        <n v="-47.35"/>
        <n v="-46.7"/>
        <n v="-45"/>
        <n v="-44.68"/>
        <n v="-44.61"/>
        <n v="-44.58"/>
        <n v="-44.17"/>
        <n v="-42.5"/>
        <n v="-42.49"/>
        <n v="-42.36"/>
        <n v="-42.05"/>
        <n v="-40.659999999999997"/>
        <n v="-39.76"/>
        <n v="-37.18"/>
        <n v="-37.17"/>
        <n v="-36.979999999999997"/>
        <n v="-36.159999999999997"/>
        <n v="-35.9"/>
        <n v="-35.700000000000003"/>
        <n v="-35.67"/>
        <n v="-35.659999999999997"/>
        <n v="-35.65"/>
        <n v="-35.6"/>
        <n v="-35.46"/>
        <n v="-35.29"/>
        <n v="-35.07"/>
        <n v="-35"/>
        <n v="-34.950000000000003"/>
        <n v="-34.799999999999997"/>
        <n v="-34.65"/>
        <n v="-34.6"/>
        <n v="-34.25"/>
        <n v="-34"/>
        <n v="-33.86"/>
        <n v="-33.85"/>
        <n v="-33.299999999999997"/>
        <n v="-33.29"/>
        <n v="-33"/>
        <n v="-32.68"/>
        <n v="-32.06"/>
        <n v="-31.86"/>
        <n v="-31.8"/>
        <n v="-31.2"/>
        <n v="-31.19"/>
        <n v="-31.16"/>
        <n v="-30.45"/>
        <n v="-30"/>
        <n v="-29.99"/>
        <n v="-28.26"/>
        <n v="-28.19"/>
        <n v="-27.55"/>
        <n v="-27.53"/>
        <n v="-27.08"/>
        <n v="-27"/>
        <n v="-26.61"/>
        <n v="-26.55"/>
        <n v="-26.34"/>
        <n v="-26.1"/>
        <n v="-26"/>
        <n v="-25"/>
        <n v="-24.43"/>
        <n v="-24.14"/>
        <n v="-24"/>
        <n v="-23.15"/>
        <n v="-22.95"/>
        <n v="-21.72"/>
        <n v="-21.4"/>
        <n v="-21.26"/>
        <n v="-21"/>
        <n v="-20.53"/>
        <n v="-20.37"/>
        <n v="-20.23"/>
        <n v="-20.16"/>
        <n v="-20"/>
        <n v="-19.64"/>
        <n v="-19.13"/>
        <n v="-19"/>
        <n v="-18.05"/>
        <n v="-18"/>
        <n v="-17.010000000000002"/>
        <n v="-16.12"/>
        <n v="-16"/>
        <n v="-15.56"/>
        <n v="-15.37"/>
        <n v="-15.03"/>
        <n v="-15"/>
        <n v="-14.99"/>
        <n v="-14.5"/>
        <n v="-14.19"/>
        <n v="-14"/>
        <n v="-13.13"/>
        <n v="-12.57"/>
        <n v="-12.55"/>
        <n v="-11.68"/>
        <n v="-11.02"/>
        <n v="-10.06"/>
        <n v="-10"/>
        <n v="-9.1"/>
        <n v="-8.51"/>
        <n v="-8.5"/>
        <n v="-8.4700000000000006"/>
        <n v="-8.26"/>
        <n v="-7.53"/>
        <n v="-7.28"/>
        <n v="-6.36"/>
        <n v="-5.83"/>
        <n v="-5.79"/>
        <n v="-1"/>
        <n v="-7.0000000000000007E-2"/>
        <n v="0.04"/>
        <n v="1.64"/>
        <n v="2.02"/>
        <n v="3.33"/>
        <n v="5.5"/>
        <n v="28.26"/>
        <n v="32.01"/>
        <n v="42.24"/>
        <n v="45.2"/>
        <n v="46.8"/>
        <n v="50"/>
        <n v="52.06"/>
        <n v="57.38"/>
        <n v="79.66"/>
        <n v="79.849999999999994"/>
        <n v="89.99"/>
        <n v="97.12"/>
        <n v="99"/>
        <n v="100"/>
        <n v="101"/>
        <n v="102.2"/>
        <n v="105.84"/>
        <n v="125"/>
        <n v="127.53"/>
        <n v="128"/>
        <n v="130"/>
        <n v="131"/>
        <n v="132.06"/>
        <n v="139"/>
        <n v="140.4"/>
        <n v="160.63"/>
        <n v="164"/>
        <n v="164.1"/>
        <n v="164.82"/>
        <n v="173.23"/>
        <n v="179.5"/>
        <n v="179.6"/>
        <n v="180"/>
        <n v="185.41"/>
        <n v="192.6"/>
        <n v="200"/>
        <n v="205"/>
        <n v="210"/>
        <n v="214.8"/>
        <n v="220.14"/>
        <n v="225"/>
        <n v="226"/>
        <n v="229.2"/>
        <n v="232"/>
        <n v="249.52"/>
        <n v="251.88"/>
        <n v="280"/>
        <n v="288.89"/>
        <n v="300"/>
        <n v="302.10000000000002"/>
        <n v="322.02"/>
        <n v="324"/>
        <n v="326.10000000000002"/>
        <n v="327"/>
        <n v="346"/>
        <n v="350"/>
        <n v="360.18"/>
        <n v="394.6"/>
        <n v="399.8"/>
        <n v="400"/>
        <n v="413"/>
        <n v="425.98"/>
        <n v="434"/>
        <n v="436.8"/>
        <n v="460"/>
        <n v="500"/>
        <n v="517"/>
        <n v="520.16999999999996"/>
        <n v="531.32000000000005"/>
        <n v="540.6"/>
        <n v="540.64"/>
        <n v="548.94000000000005"/>
        <n v="564.03"/>
        <n v="596"/>
        <n v="602.59"/>
        <n v="617"/>
        <n v="635.57000000000005"/>
        <n v="663.02"/>
        <n v="701.6"/>
        <n v="771.1"/>
        <n v="872.62"/>
        <n v="912"/>
        <n v="920.41"/>
        <n v="1005.8"/>
        <n v="1015.43"/>
        <n v="1023"/>
        <n v="1140.0999999999999"/>
        <n v="1214.8"/>
        <n v="1223.5"/>
        <n v="1244.3599999999999"/>
        <n v="1275"/>
        <n v="1320.56"/>
        <n v="1336"/>
        <n v="1417"/>
        <n v="1426.64"/>
        <n v="1442.4"/>
        <n v="1458"/>
        <n v="1472"/>
        <n v="1500"/>
        <n v="1571.99"/>
        <n v="1602"/>
        <n v="1750"/>
        <n v="1973"/>
        <n v="2000"/>
        <n v="2109"/>
        <n v="2195"/>
        <n v="2247.5"/>
        <n v="2353.25"/>
        <n v="2558.79"/>
        <n v="2662.03"/>
        <n v="2800"/>
        <n v="2830.36"/>
        <n v="2877"/>
        <n v="2900"/>
        <n v="2959.14"/>
        <n v="2978.5"/>
        <n v="2979"/>
        <n v="3110"/>
        <n v="3111"/>
        <n v="3162.86"/>
        <n v="3188"/>
        <n v="3189"/>
        <n v="3200"/>
        <n v="3266.05"/>
        <n v="3368"/>
        <n v="3522.91"/>
        <n v="3577.74"/>
        <n v="3907.46"/>
        <n v="3932"/>
        <n v="3935"/>
        <n v="4076.7"/>
        <n v="4182.8500000000004"/>
        <n v="4397.3"/>
        <n v="4405"/>
        <n v="4505"/>
        <n v="4510"/>
        <n v="4530"/>
        <n v="4664"/>
        <n v="4677.1400000000003"/>
        <n v="4700"/>
        <n v="4801.0200000000004"/>
        <n v="4880"/>
        <n v="4892"/>
        <n v="4900"/>
        <n v="5000"/>
        <n v="5090"/>
        <n v="5218.57"/>
        <n v="5402"/>
        <n v="5416"/>
        <n v="5430"/>
        <n v="5431"/>
        <n v="5439"/>
        <n v="5693"/>
        <n v="5748"/>
        <n v="5784"/>
        <n v="6167"/>
        <n v="6178"/>
        <n v="6194.4"/>
        <n v="7093"/>
        <n v="7200"/>
        <n v="7255"/>
        <n v="7331.56"/>
        <n v="8044"/>
        <n v="8140"/>
        <n v="8360.7000000000007"/>
        <n v="8391"/>
        <n v="8688"/>
        <n v="8767"/>
        <n v="8933"/>
        <n v="9000"/>
        <n v="9250.5"/>
        <n v="9746.6"/>
        <n v="9800"/>
        <n v="10000"/>
        <n v="10041.86"/>
        <n v="10190"/>
        <n v="10254"/>
        <n v="10336"/>
        <n v="10375.49"/>
        <n v="10377"/>
        <n v="10480.200000000001"/>
        <n v="10606"/>
        <n v="10701"/>
        <n v="11099"/>
        <n v="11311"/>
        <n v="11944"/>
        <n v="12000"/>
        <n v="12091"/>
        <n v="12121"/>
        <n v="12146"/>
        <n v="12149.9"/>
        <n v="12268"/>
        <n v="12385"/>
        <n v="13000"/>
        <n v="13296"/>
        <n v="13535"/>
        <n v="13643"/>
        <n v="13858.88"/>
        <n v="14000"/>
        <n v="14296"/>
        <n v="14581.87"/>
        <n v="15000"/>
        <n v="15156"/>
        <n v="15399"/>
        <n v="15928.5"/>
        <n v="16000"/>
        <n v="16255.86"/>
        <n v="16825"/>
        <n v="16882"/>
        <n v="16900"/>
        <n v="17000"/>
        <n v="18000"/>
        <n v="18127.96"/>
        <n v="18306"/>
        <n v="18404"/>
        <n v="19018"/>
        <n v="19333"/>
        <n v="20000"/>
        <n v="20717"/>
        <n v="22337"/>
        <n v="23000"/>
        <n v="23500"/>
        <n v="23705.26"/>
        <n v="24105"/>
        <n v="25000"/>
        <n v="26485"/>
        <n v="27000"/>
        <n v="30000"/>
        <n v="35000"/>
        <n v="38000"/>
        <n v="40000"/>
        <n v="54992.73"/>
        <n v="64919"/>
        <n v="79323.600000000006"/>
        <n v="1543.76"/>
        <m/>
      </sharedItems>
    </cacheField>
    <cacheField name="AMOUNTPOS" numFmtId="0">
      <sharedItems containsString="0" containsBlank="1" containsNumber="1" minValue="0.04" maxValue="79323.600000000006"/>
    </cacheField>
    <cacheField name="Running Bal." numFmtId="0">
      <sharedItems containsString="0" containsBlank="1" containsNumber="1" minValue="597.86" maxValue="158382.10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4">
  <r>
    <x v="0"/>
    <n v="1"/>
    <d v="2025-01-02T00:00:00"/>
    <x v="0"/>
    <x v="0"/>
    <x v="0"/>
    <x v="0"/>
    <n v="78184.95"/>
    <x v="0"/>
    <n v="78184.95"/>
    <n v="65620.56"/>
  </r>
  <r>
    <x v="1"/>
    <n v="10"/>
    <d v="2024-10-04T00:00:00"/>
    <x v="1"/>
    <x v="0"/>
    <x v="0"/>
    <x v="1"/>
    <n v="37537.53"/>
    <x v="1"/>
    <n v="37537.53"/>
    <n v="49970.64"/>
  </r>
  <r>
    <x v="1"/>
    <n v="12"/>
    <d v="2024-12-27T00:00:00"/>
    <x v="2"/>
    <x v="0"/>
    <x v="0"/>
    <x v="2"/>
    <n v="36469.589999999997"/>
    <x v="2"/>
    <n v="36469.589999999997"/>
    <n v="99530.46"/>
  </r>
  <r>
    <x v="1"/>
    <n v="12"/>
    <d v="2024-12-16T00:00:00"/>
    <x v="3"/>
    <x v="0"/>
    <x v="0"/>
    <x v="3"/>
    <n v="30177.42"/>
    <x v="3"/>
    <n v="30177.42"/>
    <n v="40686.15"/>
  </r>
  <r>
    <x v="0"/>
    <n v="2"/>
    <d v="2025-02-07T00:00:00"/>
    <x v="4"/>
    <x v="0"/>
    <x v="0"/>
    <x v="4"/>
    <n v="26101.68"/>
    <x v="4"/>
    <n v="26101.68"/>
    <n v="47257.67"/>
  </r>
  <r>
    <x v="1"/>
    <n v="8"/>
    <d v="2024-08-08T00:00:00"/>
    <x v="5"/>
    <x v="0"/>
    <x v="0"/>
    <x v="5"/>
    <n v="25818.32"/>
    <x v="5"/>
    <n v="25818.32"/>
    <n v="15427.69"/>
  </r>
  <r>
    <x v="0"/>
    <n v="1"/>
    <d v="2025-01-24T00:00:00"/>
    <x v="6"/>
    <x v="0"/>
    <x v="0"/>
    <x v="6"/>
    <n v="25780.19"/>
    <x v="6"/>
    <n v="25780.19"/>
    <n v="52609.2"/>
  </r>
  <r>
    <x v="1"/>
    <n v="11"/>
    <d v="2024-11-01T00:00:00"/>
    <x v="7"/>
    <x v="0"/>
    <x v="0"/>
    <x v="7"/>
    <n v="25735.39"/>
    <x v="7"/>
    <n v="25735.39"/>
    <n v="36377.61"/>
  </r>
  <r>
    <x v="1"/>
    <n v="10"/>
    <d v="2024-10-18T00:00:00"/>
    <x v="8"/>
    <x v="0"/>
    <x v="0"/>
    <x v="8"/>
    <n v="25446.04"/>
    <x v="8"/>
    <n v="25446.04"/>
    <n v="70987.600000000006"/>
  </r>
  <r>
    <x v="1"/>
    <n v="8"/>
    <d v="2024-08-23T00:00:00"/>
    <x v="9"/>
    <x v="0"/>
    <x v="0"/>
    <x v="9"/>
    <n v="24937.71"/>
    <x v="9"/>
    <n v="24937.71"/>
    <n v="30664.52"/>
  </r>
  <r>
    <x v="1"/>
    <n v="8"/>
    <d v="2024-08-22T00:00:00"/>
    <x v="10"/>
    <x v="0"/>
    <x v="0"/>
    <x v="10"/>
    <n v="24000"/>
    <x v="10"/>
    <n v="24000"/>
    <n v="54299.15"/>
  </r>
  <r>
    <x v="1"/>
    <n v="9"/>
    <d v="2024-09-06T00:00:00"/>
    <x v="11"/>
    <x v="0"/>
    <x v="0"/>
    <x v="11"/>
    <n v="23601.119999999999"/>
    <x v="11"/>
    <n v="23601.119999999999"/>
    <n v="54895.83"/>
  </r>
  <r>
    <x v="1"/>
    <n v="9"/>
    <d v="2024-09-20T00:00:00"/>
    <x v="12"/>
    <x v="0"/>
    <x v="0"/>
    <x v="12"/>
    <n v="21641.34"/>
    <x v="12"/>
    <n v="21641.34"/>
    <n v="61130.12"/>
  </r>
  <r>
    <x v="1"/>
    <n v="11"/>
    <d v="2024-11-15T00:00:00"/>
    <x v="13"/>
    <x v="0"/>
    <x v="0"/>
    <x v="13"/>
    <n v="21640.71"/>
    <x v="13"/>
    <n v="21640.71"/>
    <n v="11168.3"/>
  </r>
  <r>
    <x v="0"/>
    <n v="1"/>
    <d v="2025-01-10T00:00:00"/>
    <x v="14"/>
    <x v="0"/>
    <x v="0"/>
    <x v="14"/>
    <n v="21486.77"/>
    <x v="14"/>
    <n v="21486.77"/>
    <n v="41607.58"/>
  </r>
  <r>
    <x v="1"/>
    <n v="3"/>
    <d v="2024-03-07T00:00:00"/>
    <x v="15"/>
    <x v="0"/>
    <x v="0"/>
    <x v="15"/>
    <n v="20656.77"/>
    <x v="15"/>
    <n v="20656.77"/>
    <n v="26079"/>
  </r>
  <r>
    <x v="1"/>
    <n v="4"/>
    <d v="2024-04-17T00:00:00"/>
    <x v="16"/>
    <x v="0"/>
    <x v="0"/>
    <x v="16"/>
    <n v="20000"/>
    <x v="16"/>
    <n v="20000"/>
    <n v="27172.76"/>
  </r>
  <r>
    <x v="0"/>
    <n v="1"/>
    <d v="2025-01-06T00:00:00"/>
    <x v="17"/>
    <x v="0"/>
    <x v="0"/>
    <x v="16"/>
    <n v="20000"/>
    <x v="16"/>
    <n v="20000"/>
    <n v="86789.36"/>
  </r>
  <r>
    <x v="0"/>
    <n v="2"/>
    <d v="2025-02-21T00:00:00"/>
    <x v="18"/>
    <x v="0"/>
    <x v="0"/>
    <x v="17"/>
    <n v="19855.04"/>
    <x v="17"/>
    <n v="19855.04"/>
    <n v="44403.07"/>
  </r>
  <r>
    <x v="1"/>
    <n v="7"/>
    <d v="2024-07-25T00:00:00"/>
    <x v="19"/>
    <x v="0"/>
    <x v="0"/>
    <x v="18"/>
    <n v="19269.150000000001"/>
    <x v="18"/>
    <n v="19269.150000000001"/>
    <n v="25397.78"/>
  </r>
  <r>
    <x v="1"/>
    <n v="5"/>
    <d v="2024-05-31T00:00:00"/>
    <x v="20"/>
    <x v="0"/>
    <x v="0"/>
    <x v="19"/>
    <n v="18944.400000000001"/>
    <x v="19"/>
    <n v="18944.400000000001"/>
    <n v="14819.88"/>
  </r>
  <r>
    <x v="1"/>
    <n v="6"/>
    <d v="2024-06-13T00:00:00"/>
    <x v="21"/>
    <x v="0"/>
    <x v="0"/>
    <x v="20"/>
    <n v="18897.11"/>
    <x v="20"/>
    <n v="18897.11"/>
    <n v="24498.15"/>
  </r>
  <r>
    <x v="1"/>
    <n v="3"/>
    <d v="2024-03-21T00:00:00"/>
    <x v="22"/>
    <x v="0"/>
    <x v="0"/>
    <x v="21"/>
    <n v="18760.060000000001"/>
    <x v="21"/>
    <n v="18760.060000000001"/>
    <n v="8648.33"/>
  </r>
  <r>
    <x v="1"/>
    <n v="5"/>
    <d v="2024-05-03T00:00:00"/>
    <x v="23"/>
    <x v="0"/>
    <x v="0"/>
    <x v="22"/>
    <n v="18575.29"/>
    <x v="22"/>
    <n v="18575.29"/>
    <n v="8659.07"/>
  </r>
  <r>
    <x v="1"/>
    <n v="4"/>
    <d v="2024-04-05T00:00:00"/>
    <x v="24"/>
    <x v="0"/>
    <x v="0"/>
    <x v="23"/>
    <n v="18562.080000000002"/>
    <x v="23"/>
    <n v="18562.080000000002"/>
    <n v="15831.17"/>
  </r>
  <r>
    <x v="1"/>
    <n v="12"/>
    <d v="2024-12-13T00:00:00"/>
    <x v="25"/>
    <x v="0"/>
    <x v="0"/>
    <x v="24"/>
    <n v="18514.95"/>
    <x v="24"/>
    <n v="18514.95"/>
    <n v="6458.8"/>
  </r>
  <r>
    <x v="1"/>
    <n v="7"/>
    <d v="2024-07-12T00:00:00"/>
    <x v="26"/>
    <x v="0"/>
    <x v="0"/>
    <x v="25"/>
    <n v="18433.349999999999"/>
    <x v="25"/>
    <n v="18433.349999999999"/>
    <n v="63043.839999999997"/>
  </r>
  <r>
    <x v="1"/>
    <n v="6"/>
    <d v="2024-06-27T00:00:00"/>
    <x v="27"/>
    <x v="0"/>
    <x v="0"/>
    <x v="26"/>
    <n v="18358"/>
    <x v="26"/>
    <n v="18358"/>
    <n v="60050.36"/>
  </r>
  <r>
    <x v="1"/>
    <n v="4"/>
    <d v="2024-04-18T00:00:00"/>
    <x v="28"/>
    <x v="0"/>
    <x v="0"/>
    <x v="27"/>
    <n v="18207.28"/>
    <x v="27"/>
    <n v="18207.28"/>
    <n v="8905.43"/>
  </r>
  <r>
    <x v="1"/>
    <n v="5"/>
    <d v="2024-05-17T00:00:00"/>
    <x v="29"/>
    <x v="0"/>
    <x v="0"/>
    <x v="28"/>
    <n v="17952.7"/>
    <x v="28"/>
    <n v="17952.7"/>
    <n v="12467.84"/>
  </r>
  <r>
    <x v="0"/>
    <n v="1"/>
    <d v="2025-01-09T00:00:00"/>
    <x v="30"/>
    <x v="0"/>
    <x v="0"/>
    <x v="29"/>
    <n v="17549.900000000001"/>
    <x v="29"/>
    <n v="17549.900000000001"/>
    <n v="59954.73"/>
  </r>
  <r>
    <x v="1"/>
    <n v="11"/>
    <d v="2024-11-12T00:00:00"/>
    <x v="31"/>
    <x v="0"/>
    <x v="0"/>
    <x v="30"/>
    <n v="17048.75"/>
    <x v="30"/>
    <n v="17048.75"/>
    <n v="32707.87"/>
  </r>
  <r>
    <x v="2"/>
    <n v="12"/>
    <d v="2023-12-28T00:00:00"/>
    <x v="32"/>
    <x v="0"/>
    <x v="0"/>
    <x v="31"/>
    <n v="15000"/>
    <x v="31"/>
    <n v="15000"/>
    <n v="47324.81"/>
  </r>
  <r>
    <x v="1"/>
    <n v="1"/>
    <d v="2024-01-10T00:00:00"/>
    <x v="33"/>
    <x v="0"/>
    <x v="0"/>
    <x v="31"/>
    <n v="15000"/>
    <x v="31"/>
    <n v="15000"/>
    <n v="32090.37"/>
  </r>
  <r>
    <x v="0"/>
    <n v="1"/>
    <d v="2025-01-29T00:00:00"/>
    <x v="34"/>
    <x v="0"/>
    <x v="0"/>
    <x v="31"/>
    <n v="15000"/>
    <x v="31"/>
    <n v="15000"/>
    <n v="40824.35"/>
  </r>
  <r>
    <x v="1"/>
    <n v="12"/>
    <d v="2024-12-30T00:00:00"/>
    <x v="35"/>
    <x v="0"/>
    <x v="0"/>
    <x v="32"/>
    <n v="14000"/>
    <x v="32"/>
    <n v="14000"/>
    <n v="144382.10999999999"/>
  </r>
  <r>
    <x v="1"/>
    <n v="11"/>
    <d v="2024-11-29T00:00:00"/>
    <x v="36"/>
    <x v="0"/>
    <x v="0"/>
    <x v="33"/>
    <n v="13244.44"/>
    <x v="33"/>
    <n v="13244.44"/>
    <n v="6347.14"/>
  </r>
  <r>
    <x v="1"/>
    <n v="5"/>
    <d v="2024-05-31T00:00:00"/>
    <x v="37"/>
    <x v="0"/>
    <x v="0"/>
    <x v="34"/>
    <n v="11588.83"/>
    <x v="34"/>
    <n v="11588.83"/>
    <n v="33764.28"/>
  </r>
  <r>
    <x v="1"/>
    <n v="8"/>
    <d v="2024-08-29T00:00:00"/>
    <x v="38"/>
    <x v="0"/>
    <x v="0"/>
    <x v="35"/>
    <n v="10780"/>
    <x v="35"/>
    <n v="10780"/>
    <n v="32697.57"/>
  </r>
  <r>
    <x v="1"/>
    <n v="2"/>
    <d v="2024-02-08T00:00:00"/>
    <x v="39"/>
    <x v="0"/>
    <x v="0"/>
    <x v="36"/>
    <n v="10482.81"/>
    <x v="36"/>
    <n v="10482.81"/>
    <n v="23949.360000000001"/>
  </r>
  <r>
    <x v="1"/>
    <n v="2"/>
    <d v="2024-02-22T00:00:00"/>
    <x v="40"/>
    <x v="0"/>
    <x v="0"/>
    <x v="37"/>
    <n v="10326.18"/>
    <x v="37"/>
    <n v="10326.18"/>
    <n v="21523.29"/>
  </r>
  <r>
    <x v="1"/>
    <n v="7"/>
    <d v="2024-07-16T00:00:00"/>
    <x v="41"/>
    <x v="0"/>
    <x v="0"/>
    <x v="38"/>
    <n v="10325.25"/>
    <x v="38"/>
    <n v="10325.25"/>
    <n v="53208.44"/>
  </r>
  <r>
    <x v="1"/>
    <n v="1"/>
    <d v="2024-01-25T00:00:00"/>
    <x v="42"/>
    <x v="0"/>
    <x v="0"/>
    <x v="39"/>
    <n v="10202.219999999999"/>
    <x v="39"/>
    <n v="10202.219999999999"/>
    <n v="31111.79"/>
  </r>
  <r>
    <x v="0"/>
    <n v="1"/>
    <d v="2025-01-15T00:00:00"/>
    <x v="43"/>
    <x v="0"/>
    <x v="0"/>
    <x v="40"/>
    <n v="10000"/>
    <x v="40"/>
    <n v="10000"/>
    <n v="45868.61"/>
  </r>
  <r>
    <x v="2"/>
    <n v="12"/>
    <d v="2023-12-01T00:00:00"/>
    <x v="44"/>
    <x v="0"/>
    <x v="0"/>
    <x v="41"/>
    <n v="9995.92"/>
    <x v="41"/>
    <n v="9995.92"/>
    <n v="22662.21"/>
  </r>
  <r>
    <x v="2"/>
    <n v="12"/>
    <d v="2023-12-28T00:00:00"/>
    <x v="45"/>
    <x v="0"/>
    <x v="0"/>
    <x v="42"/>
    <n v="9859.36"/>
    <x v="42"/>
    <n v="9859.36"/>
    <n v="37465.449999999997"/>
  </r>
  <r>
    <x v="2"/>
    <n v="10"/>
    <d v="2023-10-04T00:00:00"/>
    <x v="46"/>
    <x v="0"/>
    <x v="0"/>
    <x v="43"/>
    <n v="9637.02"/>
    <x v="43"/>
    <n v="9637.02"/>
    <n v="13513.9"/>
  </r>
  <r>
    <x v="1"/>
    <n v="1"/>
    <d v="2024-01-12T00:00:00"/>
    <x v="47"/>
    <x v="0"/>
    <x v="0"/>
    <x v="44"/>
    <n v="9448.3700000000008"/>
    <x v="44"/>
    <n v="9448.3700000000008"/>
    <n v="24259.17"/>
  </r>
  <r>
    <x v="2"/>
    <n v="11"/>
    <d v="2023-11-16T00:00:00"/>
    <x v="48"/>
    <x v="0"/>
    <x v="0"/>
    <x v="45"/>
    <n v="9391.5400000000009"/>
    <x v="45"/>
    <n v="9391.5400000000009"/>
    <n v="28482.91"/>
  </r>
  <r>
    <x v="1"/>
    <n v="8"/>
    <d v="2024-08-19T00:00:00"/>
    <x v="49"/>
    <x v="0"/>
    <x v="0"/>
    <x v="46"/>
    <n v="9000"/>
    <x v="46"/>
    <n v="9000"/>
    <n v="61899.199999999997"/>
  </r>
  <r>
    <x v="2"/>
    <n v="11"/>
    <d v="2023-11-02T00:00:00"/>
    <x v="50"/>
    <x v="0"/>
    <x v="0"/>
    <x v="47"/>
    <n v="8967.16"/>
    <x v="47"/>
    <n v="8967.16"/>
    <n v="15578.25"/>
  </r>
  <r>
    <x v="1"/>
    <n v="1"/>
    <d v="2024-01-11T00:00:00"/>
    <x v="51"/>
    <x v="0"/>
    <x v="0"/>
    <x v="48"/>
    <n v="8099.74"/>
    <x v="48"/>
    <n v="8099.74"/>
    <n v="37318.57"/>
  </r>
  <r>
    <x v="2"/>
    <n v="11"/>
    <d v="2023-11-01T00:00:00"/>
    <x v="52"/>
    <x v="0"/>
    <x v="0"/>
    <x v="49"/>
    <n v="8087.07"/>
    <x v="49"/>
    <n v="8087.07"/>
    <n v="24623.54"/>
  </r>
  <r>
    <x v="1"/>
    <n v="10"/>
    <d v="2024-10-02T00:00:00"/>
    <x v="53"/>
    <x v="0"/>
    <x v="0"/>
    <x v="50"/>
    <n v="8010"/>
    <x v="50"/>
    <n v="8010"/>
    <n v="79214.41"/>
  </r>
  <r>
    <x v="1"/>
    <n v="10"/>
    <d v="2024-10-04T00:00:00"/>
    <x v="54"/>
    <x v="0"/>
    <x v="0"/>
    <x v="51"/>
    <n v="7809.87"/>
    <x v="51"/>
    <n v="7809.87"/>
    <n v="42160.77"/>
  </r>
  <r>
    <x v="0"/>
    <n v="2"/>
    <d v="2025-02-07T00:00:00"/>
    <x v="55"/>
    <x v="0"/>
    <x v="0"/>
    <x v="52"/>
    <n v="7728.43"/>
    <x v="52"/>
    <n v="7728.43"/>
    <n v="39529.24"/>
  </r>
  <r>
    <x v="2"/>
    <n v="12"/>
    <d v="2023-12-14T00:00:00"/>
    <x v="56"/>
    <x v="0"/>
    <x v="0"/>
    <x v="53"/>
    <n v="7614.31"/>
    <x v="53"/>
    <n v="7614.31"/>
    <n v="46541.94"/>
  </r>
  <r>
    <x v="0"/>
    <n v="1"/>
    <d v="2025-01-24T00:00:00"/>
    <x v="57"/>
    <x v="0"/>
    <x v="0"/>
    <x v="54"/>
    <n v="7589.02"/>
    <x v="54"/>
    <n v="7589.02"/>
    <n v="45020.18"/>
  </r>
  <r>
    <x v="2"/>
    <n v="10"/>
    <d v="2023-10-20T00:00:00"/>
    <x v="58"/>
    <x v="0"/>
    <x v="0"/>
    <x v="55"/>
    <n v="7557.43"/>
    <x v="55"/>
    <n v="7557.43"/>
    <n v="5553.38"/>
  </r>
  <r>
    <x v="1"/>
    <n v="8"/>
    <d v="2024-08-08T00:00:00"/>
    <x v="59"/>
    <x v="0"/>
    <x v="0"/>
    <x v="56"/>
    <n v="7496.54"/>
    <x v="56"/>
    <n v="7496.54"/>
    <n v="7931.15"/>
  </r>
  <r>
    <x v="1"/>
    <n v="9"/>
    <d v="2024-09-19T00:00:00"/>
    <x v="60"/>
    <x v="0"/>
    <x v="0"/>
    <x v="57"/>
    <n v="7200"/>
    <x v="57"/>
    <n v="7200"/>
    <n v="82534.31"/>
  </r>
  <r>
    <x v="2"/>
    <n v="10"/>
    <d v="2023-10-05T00:00:00"/>
    <x v="61"/>
    <x v="0"/>
    <x v="0"/>
    <x v="58"/>
    <n v="7034.34"/>
    <x v="58"/>
    <n v="7034.34"/>
    <n v="3644.39"/>
  </r>
  <r>
    <x v="1"/>
    <n v="12"/>
    <d v="2024-12-27T00:00:00"/>
    <x v="62"/>
    <x v="0"/>
    <x v="0"/>
    <x v="59"/>
    <n v="6916.83"/>
    <x v="59"/>
    <n v="6916.83"/>
    <n v="136000.04999999999"/>
  </r>
  <r>
    <x v="1"/>
    <n v="10"/>
    <d v="2024-10-18T00:00:00"/>
    <x v="63"/>
    <x v="0"/>
    <x v="0"/>
    <x v="60"/>
    <n v="6651.6"/>
    <x v="60"/>
    <n v="6651.6"/>
    <n v="64336"/>
  </r>
  <r>
    <x v="1"/>
    <n v="8"/>
    <d v="2024-08-23T00:00:00"/>
    <x v="64"/>
    <x v="0"/>
    <x v="0"/>
    <x v="61"/>
    <n v="6620.72"/>
    <x v="61"/>
    <n v="6620.72"/>
    <n v="24043.8"/>
  </r>
  <r>
    <x v="1"/>
    <n v="8"/>
    <d v="2024-08-05T00:00:00"/>
    <x v="65"/>
    <x v="0"/>
    <x v="0"/>
    <x v="62"/>
    <n v="6460.35"/>
    <x v="62"/>
    <n v="6460.35"/>
    <n v="42776.94"/>
  </r>
  <r>
    <x v="0"/>
    <n v="1"/>
    <d v="2025-01-02T00:00:00"/>
    <x v="66"/>
    <x v="0"/>
    <x v="0"/>
    <x v="63"/>
    <n v="6400"/>
    <x v="63"/>
    <n v="6400"/>
    <n v="143805.51"/>
  </r>
  <r>
    <x v="1"/>
    <n v="12"/>
    <d v="2024-12-27T00:00:00"/>
    <x v="67"/>
    <x v="0"/>
    <x v="0"/>
    <x v="64"/>
    <n v="6185.73"/>
    <x v="64"/>
    <n v="6185.73"/>
    <n v="93344.73"/>
  </r>
  <r>
    <x v="0"/>
    <n v="2"/>
    <d v="2025-02-18T00:00:00"/>
    <x v="68"/>
    <x v="0"/>
    <x v="0"/>
    <x v="65"/>
    <n v="6126.56"/>
    <x v="65"/>
    <n v="6126.56"/>
    <n v="58114.89"/>
  </r>
  <r>
    <x v="1"/>
    <n v="9"/>
    <d v="2024-09-06T00:00:00"/>
    <x v="69"/>
    <x v="0"/>
    <x v="0"/>
    <x v="66"/>
    <n v="6068.24"/>
    <x v="66"/>
    <n v="6068.24"/>
    <n v="48827.59"/>
  </r>
  <r>
    <x v="1"/>
    <n v="6"/>
    <d v="2024-06-27T00:00:00"/>
    <x v="70"/>
    <x v="0"/>
    <x v="0"/>
    <x v="67"/>
    <n v="5405.5"/>
    <x v="67"/>
    <n v="5405.5"/>
    <n v="80397.17"/>
  </r>
  <r>
    <x v="0"/>
    <n v="1"/>
    <d v="2025-01-02T00:00:00"/>
    <x v="71"/>
    <x v="0"/>
    <x v="0"/>
    <x v="68"/>
    <n v="5300.8"/>
    <x v="68"/>
    <n v="5300.8"/>
    <n v="60319.76"/>
  </r>
  <r>
    <x v="1"/>
    <n v="9"/>
    <d v="2024-09-27T00:00:00"/>
    <x v="72"/>
    <x v="0"/>
    <x v="0"/>
    <x v="69"/>
    <n v="5114.5"/>
    <x v="69"/>
    <n v="5114.5"/>
    <n v="77664.75"/>
  </r>
  <r>
    <x v="0"/>
    <n v="1"/>
    <d v="2025-01-07T00:00:00"/>
    <x v="73"/>
    <x v="0"/>
    <x v="0"/>
    <x v="70"/>
    <n v="5089.5"/>
    <x v="70"/>
    <n v="5089.5"/>
    <n v="78770.19"/>
  </r>
  <r>
    <x v="0"/>
    <n v="1"/>
    <d v="2025-01-10T00:00:00"/>
    <x v="74"/>
    <x v="0"/>
    <x v="0"/>
    <x v="71"/>
    <n v="5020.3900000000003"/>
    <x v="71"/>
    <n v="5020.3900000000003"/>
    <n v="36587.19"/>
  </r>
  <r>
    <x v="1"/>
    <n v="4"/>
    <d v="2024-04-25T00:00:00"/>
    <x v="75"/>
    <x v="0"/>
    <x v="0"/>
    <x v="72"/>
    <n v="5000"/>
    <x v="72"/>
    <n v="5000"/>
    <n v="6804.69"/>
  </r>
  <r>
    <x v="1"/>
    <n v="10"/>
    <d v="2024-10-31T00:00:00"/>
    <x v="76"/>
    <x v="0"/>
    <x v="0"/>
    <x v="72"/>
    <n v="5000"/>
    <x v="72"/>
    <n v="5000"/>
    <n v="66986.63"/>
  </r>
  <r>
    <x v="0"/>
    <n v="2"/>
    <d v="2025-02-26T00:00:00"/>
    <x v="77"/>
    <x v="0"/>
    <x v="0"/>
    <x v="72"/>
    <n v="5000"/>
    <x v="72"/>
    <n v="5000"/>
    <n v="56357.49"/>
  </r>
  <r>
    <x v="1"/>
    <n v="12"/>
    <d v="2024-12-13T00:00:00"/>
    <x v="78"/>
    <x v="0"/>
    <x v="0"/>
    <x v="73"/>
    <n v="4964.04"/>
    <x v="73"/>
    <n v="4964.04"/>
    <n v="1494.76"/>
  </r>
  <r>
    <x v="1"/>
    <n v="11"/>
    <d v="2024-11-29T00:00:00"/>
    <x v="79"/>
    <x v="0"/>
    <x v="0"/>
    <x v="74"/>
    <n v="4934.7700000000004"/>
    <x v="74"/>
    <n v="4934.7700000000004"/>
    <n v="1412.37"/>
  </r>
  <r>
    <x v="2"/>
    <n v="9"/>
    <d v="2023-09-22T00:00:00"/>
    <x v="80"/>
    <x v="0"/>
    <x v="0"/>
    <x v="75"/>
    <n v="4801.0200000000004"/>
    <x v="75"/>
    <n v="4801.0200000000004"/>
    <n v="9906.84"/>
  </r>
  <r>
    <x v="2"/>
    <n v="11"/>
    <d v="2023-11-01T00:00:00"/>
    <x v="81"/>
    <x v="0"/>
    <x v="0"/>
    <x v="76"/>
    <n v="4801"/>
    <x v="76"/>
    <n v="4801"/>
    <n v="32710.61"/>
  </r>
  <r>
    <x v="2"/>
    <n v="12"/>
    <d v="2023-12-01T00:00:00"/>
    <x v="82"/>
    <x v="0"/>
    <x v="0"/>
    <x v="76"/>
    <n v="4801"/>
    <x v="76"/>
    <n v="4801"/>
    <n v="32658.13"/>
  </r>
  <r>
    <x v="1"/>
    <n v="1"/>
    <d v="2024-01-02T00:00:00"/>
    <x v="83"/>
    <x v="0"/>
    <x v="0"/>
    <x v="76"/>
    <n v="4801"/>
    <x v="76"/>
    <n v="4801"/>
    <n v="28687.93"/>
  </r>
  <r>
    <x v="1"/>
    <n v="2"/>
    <d v="2024-02-01T00:00:00"/>
    <x v="84"/>
    <x v="0"/>
    <x v="0"/>
    <x v="76"/>
    <n v="4801"/>
    <x v="76"/>
    <n v="4801"/>
    <n v="20827.05"/>
  </r>
  <r>
    <x v="1"/>
    <n v="3"/>
    <d v="2024-03-01T00:00:00"/>
    <x v="85"/>
    <x v="0"/>
    <x v="0"/>
    <x v="76"/>
    <n v="4801"/>
    <x v="76"/>
    <n v="4801"/>
    <n v="24299.040000000001"/>
  </r>
  <r>
    <x v="1"/>
    <n v="4"/>
    <d v="2024-04-01T00:00:00"/>
    <x v="86"/>
    <x v="0"/>
    <x v="0"/>
    <x v="76"/>
    <n v="4801"/>
    <x v="76"/>
    <n v="4801"/>
    <n v="19325.21"/>
  </r>
  <r>
    <x v="1"/>
    <n v="5"/>
    <d v="2024-05-01T00:00:00"/>
    <x v="87"/>
    <x v="0"/>
    <x v="0"/>
    <x v="76"/>
    <n v="4801"/>
    <x v="76"/>
    <n v="4801"/>
    <n v="15741.31"/>
  </r>
  <r>
    <x v="1"/>
    <n v="6"/>
    <d v="2024-06-03T00:00:00"/>
    <x v="88"/>
    <x v="0"/>
    <x v="0"/>
    <x v="76"/>
    <n v="4801"/>
    <x v="76"/>
    <n v="4801"/>
    <n v="5959.15"/>
  </r>
  <r>
    <x v="1"/>
    <n v="7"/>
    <d v="2024-07-01T00:00:00"/>
    <x v="89"/>
    <x v="0"/>
    <x v="0"/>
    <x v="76"/>
    <n v="4801"/>
    <x v="76"/>
    <n v="4801"/>
    <n v="62823.55"/>
  </r>
  <r>
    <x v="1"/>
    <n v="8"/>
    <d v="2024-08-01T00:00:00"/>
    <x v="90"/>
    <x v="0"/>
    <x v="0"/>
    <x v="76"/>
    <n v="4801"/>
    <x v="76"/>
    <n v="4801"/>
    <n v="42850.46"/>
  </r>
  <r>
    <x v="1"/>
    <n v="9"/>
    <d v="2024-09-03T00:00:00"/>
    <x v="91"/>
    <x v="0"/>
    <x v="0"/>
    <x v="76"/>
    <n v="4801"/>
    <x v="76"/>
    <n v="4801"/>
    <n v="71257.64"/>
  </r>
  <r>
    <x v="1"/>
    <n v="10"/>
    <d v="2024-10-01T00:00:00"/>
    <x v="92"/>
    <x v="0"/>
    <x v="0"/>
    <x v="76"/>
    <n v="4801"/>
    <x v="76"/>
    <n v="4801"/>
    <n v="89148.72"/>
  </r>
  <r>
    <x v="1"/>
    <n v="11"/>
    <d v="2024-11-01T00:00:00"/>
    <x v="93"/>
    <x v="0"/>
    <x v="0"/>
    <x v="76"/>
    <n v="4801"/>
    <x v="76"/>
    <n v="4801"/>
    <n v="62113"/>
  </r>
  <r>
    <x v="0"/>
    <n v="1"/>
    <d v="2025-01-31T00:00:00"/>
    <x v="73"/>
    <x v="0"/>
    <x v="0"/>
    <x v="76"/>
    <n v="4801"/>
    <x v="76"/>
    <n v="4801"/>
    <n v="49223.56"/>
  </r>
  <r>
    <x v="0"/>
    <n v="2"/>
    <d v="2025-02-28T00:00:00"/>
    <x v="73"/>
    <x v="0"/>
    <x v="0"/>
    <x v="76"/>
    <n v="4801"/>
    <x v="76"/>
    <n v="4801"/>
    <n v="61279.77"/>
  </r>
  <r>
    <x v="1"/>
    <n v="11"/>
    <d v="2024-11-01T00:00:00"/>
    <x v="94"/>
    <x v="0"/>
    <x v="0"/>
    <x v="77"/>
    <n v="4714.6499999999996"/>
    <x v="77"/>
    <n v="4714.6499999999996"/>
    <n v="31662.959999999999"/>
  </r>
  <r>
    <x v="1"/>
    <n v="8"/>
    <d v="2024-08-26T00:00:00"/>
    <x v="95"/>
    <x v="0"/>
    <x v="0"/>
    <x v="78"/>
    <n v="4648.54"/>
    <x v="78"/>
    <n v="4648.54"/>
    <n v="36750.33"/>
  </r>
  <r>
    <x v="1"/>
    <n v="11"/>
    <d v="2024-11-15T00:00:00"/>
    <x v="96"/>
    <x v="0"/>
    <x v="0"/>
    <x v="79"/>
    <n v="4592.8500000000004"/>
    <x v="79"/>
    <n v="4592.8500000000004"/>
    <n v="6575.45"/>
  </r>
  <r>
    <x v="1"/>
    <n v="9"/>
    <d v="2024-09-20T00:00:00"/>
    <x v="97"/>
    <x v="0"/>
    <x v="0"/>
    <x v="80"/>
    <n v="4526.33"/>
    <x v="80"/>
    <n v="4526.33"/>
    <n v="56603.79"/>
  </r>
  <r>
    <x v="1"/>
    <n v="11"/>
    <d v="2024-11-13T00:00:00"/>
    <x v="98"/>
    <x v="0"/>
    <x v="0"/>
    <x v="81"/>
    <n v="4519.68"/>
    <x v="81"/>
    <n v="4519.68"/>
    <n v="24081.81"/>
  </r>
  <r>
    <x v="1"/>
    <n v="3"/>
    <d v="2024-03-07T00:00:00"/>
    <x v="99"/>
    <x v="0"/>
    <x v="0"/>
    <x v="82"/>
    <n v="4326.83"/>
    <x v="82"/>
    <n v="4326.83"/>
    <n v="21752.17"/>
  </r>
  <r>
    <x v="0"/>
    <n v="2"/>
    <d v="2025-02-19T00:00:00"/>
    <x v="100"/>
    <x v="0"/>
    <x v="0"/>
    <x v="83"/>
    <n v="4221.88"/>
    <x v="83"/>
    <n v="4221.88"/>
    <n v="51571.06"/>
  </r>
  <r>
    <x v="1"/>
    <n v="7"/>
    <d v="2024-07-25T00:00:00"/>
    <x v="101"/>
    <x v="0"/>
    <x v="0"/>
    <x v="84"/>
    <n v="4106.3900000000003"/>
    <x v="84"/>
    <n v="4106.3900000000003"/>
    <n v="44720.28"/>
  </r>
  <r>
    <x v="1"/>
    <n v="8"/>
    <d v="2024-08-12T00:00:00"/>
    <x v="102"/>
    <x v="0"/>
    <x v="0"/>
    <x v="84"/>
    <n v="4106.3900000000003"/>
    <x v="84"/>
    <n v="4106.3900000000003"/>
    <n v="25922.77"/>
  </r>
  <r>
    <x v="0"/>
    <n v="2"/>
    <d v="2025-02-21T00:00:00"/>
    <x v="103"/>
    <x v="0"/>
    <x v="0"/>
    <x v="85"/>
    <n v="4005.53"/>
    <x v="85"/>
    <n v="4005.53"/>
    <n v="40397.54"/>
  </r>
  <r>
    <x v="1"/>
    <n v="3"/>
    <d v="2024-03-21T00:00:00"/>
    <x v="104"/>
    <x v="0"/>
    <x v="0"/>
    <x v="86"/>
    <n v="3779.49"/>
    <x v="86"/>
    <n v="3779.49"/>
    <n v="4868.84"/>
  </r>
  <r>
    <x v="1"/>
    <n v="2"/>
    <d v="2024-02-08T00:00:00"/>
    <x v="105"/>
    <x v="0"/>
    <x v="0"/>
    <x v="87"/>
    <n v="3772.27"/>
    <x v="87"/>
    <n v="3772.27"/>
    <n v="20177.09"/>
  </r>
  <r>
    <x v="1"/>
    <n v="7"/>
    <d v="2024-07-12T00:00:00"/>
    <x v="106"/>
    <x v="0"/>
    <x v="0"/>
    <x v="88"/>
    <n v="3761.56"/>
    <x v="88"/>
    <n v="3761.56"/>
    <n v="59282.28"/>
  </r>
  <r>
    <x v="1"/>
    <n v="6"/>
    <d v="2024-06-13T00:00:00"/>
    <x v="107"/>
    <x v="0"/>
    <x v="0"/>
    <x v="89"/>
    <n v="3748.21"/>
    <x v="89"/>
    <n v="3748.21"/>
    <n v="20749.939999999999"/>
  </r>
  <r>
    <x v="1"/>
    <n v="7"/>
    <d v="2024-07-25T00:00:00"/>
    <x v="108"/>
    <x v="0"/>
    <x v="0"/>
    <x v="90"/>
    <n v="3725.19"/>
    <x v="90"/>
    <n v="3725.19"/>
    <n v="21672.59"/>
  </r>
  <r>
    <x v="1"/>
    <n v="5"/>
    <d v="2024-05-31T00:00:00"/>
    <x v="109"/>
    <x v="0"/>
    <x v="0"/>
    <x v="91"/>
    <n v="3707.96"/>
    <x v="91"/>
    <n v="3707.96"/>
    <n v="11111.92"/>
  </r>
  <r>
    <x v="1"/>
    <n v="1"/>
    <d v="2024-01-25T00:00:00"/>
    <x v="110"/>
    <x v="0"/>
    <x v="0"/>
    <x v="92"/>
    <n v="3699.89"/>
    <x v="92"/>
    <n v="3699.89"/>
    <n v="27411.9"/>
  </r>
  <r>
    <x v="0"/>
    <n v="3"/>
    <d v="2025-03-03T00:00:00"/>
    <x v="111"/>
    <x v="0"/>
    <x v="0"/>
    <x v="93"/>
    <n v="3696.57"/>
    <x v="93"/>
    <n v="3696.57"/>
    <n v="86744.2"/>
  </r>
  <r>
    <x v="1"/>
    <n v="4"/>
    <d v="2024-04-05T00:00:00"/>
    <x v="112"/>
    <x v="0"/>
    <x v="0"/>
    <x v="94"/>
    <n v="3671.32"/>
    <x v="94"/>
    <n v="3671.32"/>
    <n v="12159.85"/>
  </r>
  <r>
    <x v="1"/>
    <n v="2"/>
    <d v="2024-02-22T00:00:00"/>
    <x v="113"/>
    <x v="0"/>
    <x v="0"/>
    <x v="95"/>
    <n v="3636.51"/>
    <x v="95"/>
    <n v="3636.51"/>
    <n v="17886.78"/>
  </r>
  <r>
    <x v="1"/>
    <n v="5"/>
    <d v="2024-05-03T00:00:00"/>
    <x v="114"/>
    <x v="0"/>
    <x v="0"/>
    <x v="96"/>
    <n v="3635.83"/>
    <x v="96"/>
    <n v="3635.83"/>
    <n v="5023.24"/>
  </r>
  <r>
    <x v="0"/>
    <n v="1"/>
    <d v="2025-01-21T00:00:00"/>
    <x v="115"/>
    <x v="0"/>
    <x v="0"/>
    <x v="97"/>
    <n v="3574.07"/>
    <x v="97"/>
    <n v="3574.07"/>
    <n v="53630.39"/>
  </r>
  <r>
    <x v="1"/>
    <n v="12"/>
    <d v="2024-12-12T00:00:00"/>
    <x v="116"/>
    <x v="0"/>
    <x v="0"/>
    <x v="98"/>
    <n v="3522.91"/>
    <x v="98"/>
    <n v="3522.91"/>
    <n v="22874.75"/>
  </r>
  <r>
    <x v="1"/>
    <n v="4"/>
    <d v="2024-04-18T00:00:00"/>
    <x v="117"/>
    <x v="0"/>
    <x v="0"/>
    <x v="99"/>
    <n v="3502.97"/>
    <x v="99"/>
    <n v="3502.97"/>
    <n v="5402.46"/>
  </r>
  <r>
    <x v="1"/>
    <n v="6"/>
    <d v="2024-06-27T00:00:00"/>
    <x v="118"/>
    <x v="0"/>
    <x v="0"/>
    <x v="100"/>
    <n v="3471.15"/>
    <x v="100"/>
    <n v="3471.15"/>
    <n v="56579.21"/>
  </r>
  <r>
    <x v="1"/>
    <n v="1"/>
    <d v="2024-01-12T00:00:00"/>
    <x v="119"/>
    <x v="0"/>
    <x v="0"/>
    <x v="101"/>
    <n v="3368"/>
    <x v="101"/>
    <n v="3368"/>
    <n v="20891.169999999998"/>
  </r>
  <r>
    <x v="0"/>
    <n v="2"/>
    <d v="2025-02-03T00:00:00"/>
    <x v="71"/>
    <x v="0"/>
    <x v="0"/>
    <x v="102"/>
    <n v="3291.3"/>
    <x v="102"/>
    <n v="3291.3"/>
    <n v="56301.81"/>
  </r>
  <r>
    <x v="1"/>
    <n v="5"/>
    <d v="2024-05-17T00:00:00"/>
    <x v="120"/>
    <x v="0"/>
    <x v="0"/>
    <x v="103"/>
    <n v="3280.27"/>
    <x v="103"/>
    <n v="3280.27"/>
    <n v="9187.57"/>
  </r>
  <r>
    <x v="2"/>
    <n v="9"/>
    <d v="2023-09-08T00:00:00"/>
    <x v="121"/>
    <x v="0"/>
    <x v="0"/>
    <x v="104"/>
    <n v="3233.69"/>
    <x v="104"/>
    <n v="3233.69"/>
    <n v="6606.02"/>
  </r>
  <r>
    <x v="2"/>
    <n v="12"/>
    <d v="2023-12-01T00:00:00"/>
    <x v="122"/>
    <x v="0"/>
    <x v="0"/>
    <x v="105"/>
    <n v="3183.48"/>
    <x v="105"/>
    <n v="3183.48"/>
    <n v="19478.73"/>
  </r>
  <r>
    <x v="2"/>
    <n v="12"/>
    <d v="2023-12-28T00:00:00"/>
    <x v="123"/>
    <x v="0"/>
    <x v="0"/>
    <x v="106"/>
    <n v="3173.8"/>
    <x v="106"/>
    <n v="3173.8"/>
    <n v="34291.65"/>
  </r>
  <r>
    <x v="1"/>
    <n v="4"/>
    <d v="2024-04-19T00:00:00"/>
    <x v="124"/>
    <x v="0"/>
    <x v="0"/>
    <x v="107"/>
    <n v="3088"/>
    <x v="107"/>
    <n v="3088"/>
    <n v="8600.19"/>
  </r>
  <r>
    <x v="2"/>
    <n v="11"/>
    <d v="2023-11-16T00:00:00"/>
    <x v="125"/>
    <x v="0"/>
    <x v="0"/>
    <x v="108"/>
    <n v="3063.53"/>
    <x v="108"/>
    <n v="3063.53"/>
    <n v="25419.38"/>
  </r>
  <r>
    <x v="2"/>
    <n v="11"/>
    <d v="2023-11-02T00:00:00"/>
    <x v="126"/>
    <x v="0"/>
    <x v="0"/>
    <x v="109"/>
    <n v="3051.21"/>
    <x v="109"/>
    <n v="3051.21"/>
    <n v="12527.04"/>
  </r>
  <r>
    <x v="2"/>
    <n v="10"/>
    <d v="2023-10-05T00:00:00"/>
    <x v="127"/>
    <x v="0"/>
    <x v="0"/>
    <x v="110"/>
    <n v="3046.53"/>
    <x v="110"/>
    <n v="3046.53"/>
    <n v="597.86"/>
  </r>
  <r>
    <x v="1"/>
    <n v="1"/>
    <d v="2024-01-04T00:00:00"/>
    <x v="128"/>
    <x v="0"/>
    <x v="0"/>
    <x v="111"/>
    <n v="2993.94"/>
    <x v="111"/>
    <n v="2993.94"/>
    <n v="24055.41"/>
  </r>
  <r>
    <x v="2"/>
    <n v="9"/>
    <d v="2023-09-21T00:00:00"/>
    <x v="129"/>
    <x v="0"/>
    <x v="0"/>
    <x v="112"/>
    <n v="2989.94"/>
    <x v="112"/>
    <n v="2989.94"/>
    <n v="14971.76"/>
  </r>
  <r>
    <x v="1"/>
    <n v="1"/>
    <d v="2024-01-11T00:00:00"/>
    <x v="130"/>
    <x v="0"/>
    <x v="0"/>
    <x v="113"/>
    <n v="2968.53"/>
    <x v="113"/>
    <n v="2968.53"/>
    <n v="34007.54"/>
  </r>
  <r>
    <x v="2"/>
    <n v="10"/>
    <d v="2023-10-20T00:00:00"/>
    <x v="131"/>
    <x v="0"/>
    <x v="0"/>
    <x v="114"/>
    <n v="2884.31"/>
    <x v="114"/>
    <n v="2884.31"/>
    <n v="2669.07"/>
  </r>
  <r>
    <x v="1"/>
    <n v="10"/>
    <d v="2024-10-31T00:00:00"/>
    <x v="132"/>
    <x v="0"/>
    <x v="0"/>
    <x v="115"/>
    <n v="2865.03"/>
    <x v="115"/>
    <n v="2865.03"/>
    <n v="72343.8"/>
  </r>
  <r>
    <x v="0"/>
    <n v="1"/>
    <d v="2025-01-30T00:00:00"/>
    <x v="133"/>
    <x v="0"/>
    <x v="0"/>
    <x v="116"/>
    <n v="2845.5"/>
    <x v="116"/>
    <n v="2845.5"/>
    <n v="52524.56"/>
  </r>
  <r>
    <x v="0"/>
    <n v="3"/>
    <d v="2025-03-03T00:00:00"/>
    <x v="134"/>
    <x v="0"/>
    <x v="0"/>
    <x v="117"/>
    <n v="2826.26"/>
    <x v="117"/>
    <n v="2826.26"/>
    <n v="83246.12"/>
  </r>
  <r>
    <x v="0"/>
    <n v="1"/>
    <d v="2025-01-07T00:00:00"/>
    <x v="135"/>
    <x v="0"/>
    <x v="0"/>
    <x v="118"/>
    <n v="2791.41"/>
    <x v="118"/>
    <n v="2791.41"/>
    <n v="83859.69"/>
  </r>
  <r>
    <x v="1"/>
    <n v="6"/>
    <d v="2024-06-13T00:00:00"/>
    <x v="136"/>
    <x v="0"/>
    <x v="0"/>
    <x v="119"/>
    <n v="2722.64"/>
    <x v="119"/>
    <n v="2722.64"/>
    <n v="44879.66"/>
  </r>
  <r>
    <x v="1"/>
    <n v="6"/>
    <d v="2024-06-20T00:00:00"/>
    <x v="137"/>
    <x v="0"/>
    <x v="0"/>
    <x v="120"/>
    <n v="2700"/>
    <x v="120"/>
    <n v="2700"/>
    <n v="53125.599999999999"/>
  </r>
  <r>
    <x v="1"/>
    <n v="10"/>
    <d v="2024-10-15T00:00:00"/>
    <x v="138"/>
    <x v="0"/>
    <x v="0"/>
    <x v="121"/>
    <n v="2566.5"/>
    <x v="121"/>
    <n v="2566.5"/>
    <n v="101401.88"/>
  </r>
  <r>
    <x v="1"/>
    <n v="11"/>
    <d v="2024-11-13T00:00:00"/>
    <x v="98"/>
    <x v="0"/>
    <x v="0"/>
    <x v="122"/>
    <n v="2566.44"/>
    <x v="122"/>
    <n v="2566.44"/>
    <n v="30141.43"/>
  </r>
  <r>
    <x v="1"/>
    <n v="8"/>
    <d v="2024-08-26T00:00:00"/>
    <x v="139"/>
    <x v="0"/>
    <x v="0"/>
    <x v="123"/>
    <n v="2512"/>
    <x v="123"/>
    <n v="2512"/>
    <n v="41398.870000000003"/>
  </r>
  <r>
    <x v="1"/>
    <n v="10"/>
    <d v="2024-10-09T00:00:00"/>
    <x v="140"/>
    <x v="0"/>
    <x v="0"/>
    <x v="124"/>
    <n v="2476.88"/>
    <x v="124"/>
    <n v="2476.88"/>
    <n v="66770.28"/>
  </r>
  <r>
    <x v="0"/>
    <n v="3"/>
    <d v="2025-03-03T00:00:00"/>
    <x v="141"/>
    <x v="0"/>
    <x v="0"/>
    <x v="125"/>
    <n v="2317.94"/>
    <x v="125"/>
    <n v="2317.94"/>
    <n v="80928.179999999993"/>
  </r>
  <r>
    <x v="1"/>
    <n v="10"/>
    <d v="2024-10-30T00:00:00"/>
    <x v="142"/>
    <x v="0"/>
    <x v="0"/>
    <x v="126"/>
    <n v="2313.0500000000002"/>
    <x v="126"/>
    <n v="2313.0500000000002"/>
    <n v="75208.86"/>
  </r>
  <r>
    <x v="1"/>
    <n v="1"/>
    <d v="2024-01-09T00:00:00"/>
    <x v="143"/>
    <x v="0"/>
    <x v="0"/>
    <x v="127"/>
    <n v="2255"/>
    <x v="127"/>
    <n v="2255"/>
    <n v="48216.42"/>
  </r>
  <r>
    <x v="2"/>
    <n v="12"/>
    <d v="2023-12-14T00:00:00"/>
    <x v="144"/>
    <x v="0"/>
    <x v="0"/>
    <x v="128"/>
    <n v="2228.0700000000002"/>
    <x v="128"/>
    <n v="2228.0700000000002"/>
    <n v="44313.87"/>
  </r>
  <r>
    <x v="1"/>
    <n v="9"/>
    <d v="2024-09-05T00:00:00"/>
    <x v="145"/>
    <x v="0"/>
    <x v="0"/>
    <x v="129"/>
    <n v="2115.81"/>
    <x v="129"/>
    <n v="2115.81"/>
    <n v="80279.11"/>
  </r>
  <r>
    <x v="1"/>
    <n v="3"/>
    <d v="2024-03-25T00:00:00"/>
    <x v="146"/>
    <x v="0"/>
    <x v="0"/>
    <x v="130"/>
    <n v="2053.81"/>
    <x v="130"/>
    <n v="2053.81"/>
    <n v="7585.65"/>
  </r>
  <r>
    <x v="1"/>
    <n v="9"/>
    <d v="2024-09-12T00:00:00"/>
    <x v="147"/>
    <x v="0"/>
    <x v="0"/>
    <x v="131"/>
    <n v="2053.2199999999998"/>
    <x v="131"/>
    <n v="2053.2199999999998"/>
    <n v="67558.8"/>
  </r>
  <r>
    <x v="1"/>
    <n v="9"/>
    <d v="2024-09-12T00:00:00"/>
    <x v="147"/>
    <x v="0"/>
    <x v="0"/>
    <x v="132"/>
    <n v="2053.17"/>
    <x v="132"/>
    <n v="2053.17"/>
    <n v="65505.63"/>
  </r>
  <r>
    <x v="1"/>
    <n v="5"/>
    <d v="2024-05-06T00:00:00"/>
    <x v="148"/>
    <x v="0"/>
    <x v="0"/>
    <x v="133"/>
    <n v="2000"/>
    <x v="133"/>
    <n v="2000"/>
    <n v="7480.44"/>
  </r>
  <r>
    <x v="1"/>
    <n v="10"/>
    <d v="2024-10-30T00:00:00"/>
    <x v="149"/>
    <x v="0"/>
    <x v="0"/>
    <x v="133"/>
    <n v="2000"/>
    <x v="133"/>
    <n v="2000"/>
    <n v="72008.86"/>
  </r>
  <r>
    <x v="0"/>
    <n v="1"/>
    <d v="2025-01-27T00:00:00"/>
    <x v="150"/>
    <x v="0"/>
    <x v="0"/>
    <x v="133"/>
    <n v="2000"/>
    <x v="133"/>
    <n v="2000"/>
    <n v="54743.11"/>
  </r>
  <r>
    <x v="1"/>
    <n v="7"/>
    <d v="2024-07-08T00:00:00"/>
    <x v="151"/>
    <x v="0"/>
    <x v="0"/>
    <x v="134"/>
    <n v="1971.41"/>
    <x v="134"/>
    <n v="1971.41"/>
    <n v="82863.16"/>
  </r>
  <r>
    <x v="2"/>
    <n v="11"/>
    <d v="2023-11-28T00:00:00"/>
    <x v="152"/>
    <x v="0"/>
    <x v="0"/>
    <x v="135"/>
    <n v="1969.72"/>
    <x v="135"/>
    <n v="1969.72"/>
    <n v="33505.879999999997"/>
  </r>
  <r>
    <x v="1"/>
    <n v="6"/>
    <d v="2024-06-28T00:00:00"/>
    <x v="153"/>
    <x v="0"/>
    <x v="0"/>
    <x v="136"/>
    <n v="1948.66"/>
    <x v="136"/>
    <n v="1948.66"/>
    <n v="63356.25"/>
  </r>
  <r>
    <x v="0"/>
    <n v="3"/>
    <d v="2025-03-06T00:00:00"/>
    <x v="154"/>
    <x v="0"/>
    <x v="0"/>
    <x v="137"/>
    <n v="1921.38"/>
    <x v="137"/>
    <n v="1921.38"/>
    <n v="77631.179999999993"/>
  </r>
  <r>
    <x v="2"/>
    <n v="9"/>
    <d v="2023-09-21T00:00:00"/>
    <x v="155"/>
    <x v="0"/>
    <x v="0"/>
    <x v="138"/>
    <n v="1865.9"/>
    <x v="138"/>
    <n v="1865.9"/>
    <n v="13105.86"/>
  </r>
  <r>
    <x v="1"/>
    <n v="8"/>
    <d v="2024-08-28T00:00:00"/>
    <x v="156"/>
    <x v="0"/>
    <x v="0"/>
    <x v="139"/>
    <n v="1775.67"/>
    <x v="139"/>
    <n v="1775.67"/>
    <n v="33326.720000000001"/>
  </r>
  <r>
    <x v="0"/>
    <n v="2"/>
    <d v="2025-02-20T00:00:00"/>
    <x v="157"/>
    <x v="0"/>
    <x v="0"/>
    <x v="140"/>
    <n v="1733.18"/>
    <x v="140"/>
    <n v="1733.18"/>
    <n v="58268.38"/>
  </r>
  <r>
    <x v="1"/>
    <n v="2"/>
    <d v="2024-02-13T00:00:00"/>
    <x v="158"/>
    <x v="0"/>
    <x v="0"/>
    <x v="141"/>
    <n v="1677.56"/>
    <x v="141"/>
    <n v="1677.56"/>
    <n v="18118.669999999998"/>
  </r>
  <r>
    <x v="2"/>
    <n v="11"/>
    <d v="2023-11-15T00:00:00"/>
    <x v="159"/>
    <x v="0"/>
    <x v="0"/>
    <x v="142"/>
    <n v="1669.58"/>
    <x v="142"/>
    <n v="1669.58"/>
    <n v="37874.449999999997"/>
  </r>
  <r>
    <x v="1"/>
    <n v="7"/>
    <d v="2024-07-19T00:00:00"/>
    <x v="160"/>
    <x v="0"/>
    <x v="0"/>
    <x v="143"/>
    <n v="1640.36"/>
    <x v="143"/>
    <n v="1640.36"/>
    <n v="49112.63"/>
  </r>
  <r>
    <x v="2"/>
    <n v="11"/>
    <d v="2023-11-10T00:00:00"/>
    <x v="161"/>
    <x v="0"/>
    <x v="0"/>
    <x v="144"/>
    <n v="1615"/>
    <x v="144"/>
    <n v="1615"/>
    <n v="39992.93"/>
  </r>
  <r>
    <x v="1"/>
    <n v="11"/>
    <d v="2024-11-18T00:00:00"/>
    <x v="162"/>
    <x v="0"/>
    <x v="0"/>
    <x v="145"/>
    <n v="1601.1"/>
    <x v="145"/>
    <n v="1601.1"/>
    <n v="4633.67"/>
  </r>
  <r>
    <x v="1"/>
    <n v="8"/>
    <d v="2024-08-02T00:00:00"/>
    <x v="163"/>
    <x v="0"/>
    <x v="0"/>
    <x v="146"/>
    <n v="1598"/>
    <x v="146"/>
    <n v="1598"/>
    <n v="44088.15"/>
  </r>
  <r>
    <x v="1"/>
    <n v="10"/>
    <d v="2024-10-01T00:00:00"/>
    <x v="164"/>
    <x v="0"/>
    <x v="0"/>
    <x v="147"/>
    <n v="1573.87"/>
    <x v="147"/>
    <n v="1573.87"/>
    <n v="87574.85"/>
  </r>
  <r>
    <x v="1"/>
    <n v="11"/>
    <d v="2024-11-13T00:00:00"/>
    <x v="98"/>
    <x v="0"/>
    <x v="0"/>
    <x v="148"/>
    <n v="1539.94"/>
    <x v="148"/>
    <n v="1539.94"/>
    <n v="28601.49"/>
  </r>
  <r>
    <x v="1"/>
    <n v="7"/>
    <d v="2024-07-22T00:00:00"/>
    <x v="165"/>
    <x v="0"/>
    <x v="0"/>
    <x v="149"/>
    <n v="1524.69"/>
    <x v="149"/>
    <n v="1524.69"/>
    <n v="50258.79"/>
  </r>
  <r>
    <x v="1"/>
    <n v="8"/>
    <d v="2024-08-20T00:00:00"/>
    <x v="166"/>
    <x v="0"/>
    <x v="0"/>
    <x v="150"/>
    <n v="1512.13"/>
    <x v="150"/>
    <n v="1512.13"/>
    <n v="60337.07"/>
  </r>
  <r>
    <x v="1"/>
    <n v="9"/>
    <d v="2024-09-06T00:00:00"/>
    <x v="167"/>
    <x v="0"/>
    <x v="0"/>
    <x v="151"/>
    <n v="1500"/>
    <x v="151"/>
    <n v="1500"/>
    <n v="78496.95"/>
  </r>
  <r>
    <x v="2"/>
    <n v="10"/>
    <d v="2023-10-05T00:00:00"/>
    <x v="168"/>
    <x v="0"/>
    <x v="0"/>
    <x v="152"/>
    <n v="1488.54"/>
    <x v="152"/>
    <n v="1488.54"/>
    <n v="11936.36"/>
  </r>
  <r>
    <x v="1"/>
    <n v="6"/>
    <d v="2024-06-13T00:00:00"/>
    <x v="169"/>
    <x v="0"/>
    <x v="0"/>
    <x v="153"/>
    <n v="1484.4"/>
    <x v="153"/>
    <n v="1484.4"/>
    <n v="43395.26"/>
  </r>
  <r>
    <x v="1"/>
    <n v="7"/>
    <d v="2024-07-26T00:00:00"/>
    <x v="170"/>
    <x v="0"/>
    <x v="0"/>
    <x v="154"/>
    <n v="1479.22"/>
    <x v="154"/>
    <n v="1479.22"/>
    <n v="19993.009999999998"/>
  </r>
  <r>
    <x v="1"/>
    <n v="6"/>
    <d v="2024-06-27T00:00:00"/>
    <x v="171"/>
    <x v="0"/>
    <x v="0"/>
    <x v="155"/>
    <n v="1478"/>
    <x v="155"/>
    <n v="1478"/>
    <n v="78919.17"/>
  </r>
  <r>
    <x v="1"/>
    <n v="9"/>
    <d v="2024-09-26T00:00:00"/>
    <x v="172"/>
    <x v="0"/>
    <x v="0"/>
    <x v="156"/>
    <n v="1445"/>
    <x v="156"/>
    <n v="1445"/>
    <n v="81530.55"/>
  </r>
  <r>
    <x v="1"/>
    <n v="5"/>
    <d v="2024-05-29T00:00:00"/>
    <x v="173"/>
    <x v="0"/>
    <x v="0"/>
    <x v="157"/>
    <n v="1428"/>
    <x v="157"/>
    <n v="1428"/>
    <n v="24717.54"/>
  </r>
  <r>
    <x v="0"/>
    <n v="1"/>
    <d v="2025-01-09T00:00:00"/>
    <x v="174"/>
    <x v="0"/>
    <x v="0"/>
    <x v="158"/>
    <n v="1420"/>
    <x v="158"/>
    <n v="1420"/>
    <n v="77504.63"/>
  </r>
  <r>
    <x v="1"/>
    <n v="2"/>
    <d v="2024-02-27T00:00:00"/>
    <x v="175"/>
    <x v="0"/>
    <x v="0"/>
    <x v="159"/>
    <n v="1388.76"/>
    <x v="159"/>
    <n v="1388.76"/>
    <n v="22762.400000000001"/>
  </r>
  <r>
    <x v="1"/>
    <n v="2"/>
    <d v="2024-02-27T00:00:00"/>
    <x v="176"/>
    <x v="0"/>
    <x v="0"/>
    <x v="160"/>
    <n v="1384.18"/>
    <x v="160"/>
    <n v="1384.18"/>
    <n v="25002.44"/>
  </r>
  <r>
    <x v="1"/>
    <n v="11"/>
    <d v="2024-11-01T00:00:00"/>
    <x v="164"/>
    <x v="0"/>
    <x v="0"/>
    <x v="161"/>
    <n v="1355.56"/>
    <x v="161"/>
    <n v="1355.56"/>
    <n v="30307.4"/>
  </r>
  <r>
    <x v="1"/>
    <n v="8"/>
    <d v="2024-08-30T00:00:00"/>
    <x v="177"/>
    <x v="0"/>
    <x v="0"/>
    <x v="162"/>
    <n v="1347.12"/>
    <x v="162"/>
    <n v="1347.12"/>
    <n v="31350.45"/>
  </r>
  <r>
    <x v="1"/>
    <n v="4"/>
    <d v="2024-04-23T00:00:00"/>
    <x v="178"/>
    <x v="0"/>
    <x v="0"/>
    <x v="163"/>
    <n v="1317.99"/>
    <x v="163"/>
    <n v="1317.99"/>
    <n v="12207.91"/>
  </r>
  <r>
    <x v="0"/>
    <n v="3"/>
    <d v="2025-03-03T00:00:00"/>
    <x v="71"/>
    <x v="0"/>
    <x v="0"/>
    <x v="164"/>
    <n v="1316.64"/>
    <x v="164"/>
    <n v="1316.64"/>
    <n v="79611.539999999994"/>
  </r>
  <r>
    <x v="1"/>
    <n v="2"/>
    <d v="2024-02-05T00:00:00"/>
    <x v="179"/>
    <x v="0"/>
    <x v="0"/>
    <x v="165"/>
    <n v="1311.14"/>
    <x v="165"/>
    <n v="1311.14"/>
    <n v="35192.76"/>
  </r>
  <r>
    <x v="1"/>
    <n v="5"/>
    <d v="2024-05-24T00:00:00"/>
    <x v="180"/>
    <x v="0"/>
    <x v="0"/>
    <x v="166"/>
    <n v="1280.52"/>
    <x v="166"/>
    <n v="1280.52"/>
    <n v="17254.349999999999"/>
  </r>
  <r>
    <x v="0"/>
    <n v="2"/>
    <d v="2025-02-18T00:00:00"/>
    <x v="181"/>
    <x v="0"/>
    <x v="0"/>
    <x v="167"/>
    <n v="1275.9100000000001"/>
    <x v="167"/>
    <n v="1275.9100000000001"/>
    <n v="56838.98"/>
  </r>
  <r>
    <x v="1"/>
    <n v="6"/>
    <d v="2024-06-28T00:00:00"/>
    <x v="182"/>
    <x v="0"/>
    <x v="0"/>
    <x v="168"/>
    <n v="1270.3900000000001"/>
    <x v="168"/>
    <n v="1270.3900000000001"/>
    <n v="65435.71"/>
  </r>
  <r>
    <x v="1"/>
    <n v="6"/>
    <d v="2024-06-17T00:00:00"/>
    <x v="183"/>
    <x v="0"/>
    <x v="0"/>
    <x v="169"/>
    <n v="1261.74"/>
    <x v="169"/>
    <n v="1261.74"/>
    <n v="33137.72"/>
  </r>
  <r>
    <x v="1"/>
    <n v="9"/>
    <d v="2024-09-18T00:00:00"/>
    <x v="184"/>
    <x v="0"/>
    <x v="0"/>
    <x v="170"/>
    <n v="1260.4100000000001"/>
    <x v="170"/>
    <n v="1260.4100000000001"/>
    <n v="84212.75"/>
  </r>
  <r>
    <x v="2"/>
    <n v="10"/>
    <d v="2023-10-11T00:00:00"/>
    <x v="185"/>
    <x v="0"/>
    <x v="0"/>
    <x v="171"/>
    <n v="1259.3499999999999"/>
    <x v="171"/>
    <n v="1259.3499999999999"/>
    <n v="3160.76"/>
  </r>
  <r>
    <x v="1"/>
    <n v="4"/>
    <d v="2024-04-29T00:00:00"/>
    <x v="186"/>
    <x v="0"/>
    <x v="0"/>
    <x v="172"/>
    <n v="1248.1199999999999"/>
    <x v="172"/>
    <n v="1248.1199999999999"/>
    <n v="20624.11"/>
  </r>
  <r>
    <x v="1"/>
    <n v="9"/>
    <d v="2024-09-17T00:00:00"/>
    <x v="187"/>
    <x v="0"/>
    <x v="0"/>
    <x v="173"/>
    <n v="1200"/>
    <x v="173"/>
    <n v="1200"/>
    <n v="85813.48"/>
  </r>
  <r>
    <x v="1"/>
    <n v="10"/>
    <d v="2024-10-02T00:00:00"/>
    <x v="188"/>
    <x v="0"/>
    <x v="0"/>
    <x v="173"/>
    <n v="1200"/>
    <x v="173"/>
    <n v="1200"/>
    <n v="78014.41"/>
  </r>
  <r>
    <x v="1"/>
    <n v="10"/>
    <d v="2024-10-16T00:00:00"/>
    <x v="189"/>
    <x v="0"/>
    <x v="0"/>
    <x v="173"/>
    <n v="1200"/>
    <x v="173"/>
    <n v="1200"/>
    <n v="96852.800000000003"/>
  </r>
  <r>
    <x v="1"/>
    <n v="10"/>
    <d v="2024-10-30T00:00:00"/>
    <x v="190"/>
    <x v="0"/>
    <x v="0"/>
    <x v="173"/>
    <n v="1200"/>
    <x v="173"/>
    <n v="1200"/>
    <n v="74008.86"/>
  </r>
  <r>
    <x v="2"/>
    <n v="9"/>
    <d v="2023-09-08T00:00:00"/>
    <x v="191"/>
    <x v="0"/>
    <x v="0"/>
    <x v="174"/>
    <n v="1177"/>
    <x v="174"/>
    <n v="1177"/>
    <n v="5429.02"/>
  </r>
  <r>
    <x v="1"/>
    <n v="7"/>
    <d v="2024-07-01T00:00:00"/>
    <x v="164"/>
    <x v="0"/>
    <x v="0"/>
    <x v="175"/>
    <n v="1151.3699999999999"/>
    <x v="175"/>
    <n v="1151.3699999999999"/>
    <n v="61672.18"/>
  </r>
  <r>
    <x v="0"/>
    <n v="2"/>
    <d v="2025-02-24T00:00:00"/>
    <x v="192"/>
    <x v="0"/>
    <x v="0"/>
    <x v="176"/>
    <n v="1136.1400000000001"/>
    <x v="176"/>
    <n v="1136.1400000000001"/>
    <n v="61845.38"/>
  </r>
  <r>
    <x v="1"/>
    <n v="2"/>
    <d v="2024-02-13T00:00:00"/>
    <x v="193"/>
    <x v="0"/>
    <x v="0"/>
    <x v="177"/>
    <n v="1120"/>
    <x v="177"/>
    <n v="1120"/>
    <n v="16998.669999999998"/>
  </r>
  <r>
    <x v="1"/>
    <n v="10"/>
    <d v="2024-10-18T00:00:00"/>
    <x v="194"/>
    <x v="0"/>
    <x v="0"/>
    <x v="178"/>
    <n v="1095.83"/>
    <x v="178"/>
    <n v="1095.83"/>
    <n v="63240.17"/>
  </r>
  <r>
    <x v="1"/>
    <n v="4"/>
    <d v="2024-04-18T00:00:00"/>
    <x v="195"/>
    <x v="0"/>
    <x v="0"/>
    <x v="179"/>
    <n v="1076.3"/>
    <x v="179"/>
    <n v="1076.3"/>
    <n v="4326.16"/>
  </r>
  <r>
    <x v="1"/>
    <n v="1"/>
    <d v="2024-01-09T00:00:00"/>
    <x v="196"/>
    <x v="0"/>
    <x v="0"/>
    <x v="180"/>
    <n v="1076.05"/>
    <x v="180"/>
    <n v="1076.05"/>
    <n v="47140.37"/>
  </r>
  <r>
    <x v="1"/>
    <n v="8"/>
    <d v="2024-08-23T00:00:00"/>
    <x v="197"/>
    <x v="0"/>
    <x v="0"/>
    <x v="181"/>
    <n v="1062.97"/>
    <x v="181"/>
    <n v="1062.97"/>
    <n v="55602.23"/>
  </r>
  <r>
    <x v="1"/>
    <n v="5"/>
    <d v="2024-05-17T00:00:00"/>
    <x v="198"/>
    <x v="0"/>
    <x v="0"/>
    <x v="182"/>
    <n v="1054.1300000000001"/>
    <x v="182"/>
    <n v="1054.1300000000001"/>
    <n v="8133.44"/>
  </r>
  <r>
    <x v="1"/>
    <n v="1"/>
    <d v="2024-01-04T00:00:00"/>
    <x v="199"/>
    <x v="0"/>
    <x v="0"/>
    <x v="183"/>
    <n v="1050.6099999999999"/>
    <x v="183"/>
    <n v="1050.6099999999999"/>
    <n v="27049.35"/>
  </r>
  <r>
    <x v="1"/>
    <n v="10"/>
    <d v="2024-10-15T00:00:00"/>
    <x v="138"/>
    <x v="0"/>
    <x v="0"/>
    <x v="184"/>
    <n v="1026.56"/>
    <x v="184"/>
    <n v="1026.56"/>
    <n v="100375.32"/>
  </r>
  <r>
    <x v="1"/>
    <n v="2"/>
    <d v="2024-02-15T00:00:00"/>
    <x v="200"/>
    <x v="0"/>
    <x v="0"/>
    <x v="185"/>
    <n v="1022.45"/>
    <x v="185"/>
    <n v="1022.45"/>
    <n v="15531.86"/>
  </r>
  <r>
    <x v="1"/>
    <n v="3"/>
    <d v="2024-03-08T00:00:00"/>
    <x v="201"/>
    <x v="0"/>
    <x v="0"/>
    <x v="186"/>
    <n v="1014"/>
    <x v="186"/>
    <n v="1014"/>
    <n v="20531.61"/>
  </r>
  <r>
    <x v="2"/>
    <n v="12"/>
    <d v="2023-12-14T00:00:00"/>
    <x v="202"/>
    <x v="0"/>
    <x v="0"/>
    <x v="187"/>
    <n v="993"/>
    <x v="187"/>
    <n v="993"/>
    <n v="54156.25"/>
  </r>
  <r>
    <x v="0"/>
    <n v="1"/>
    <d v="2025-01-17T00:00:00"/>
    <x v="203"/>
    <x v="0"/>
    <x v="0"/>
    <x v="188"/>
    <n v="992.67"/>
    <x v="188"/>
    <n v="992.67"/>
    <n v="49656.02"/>
  </r>
  <r>
    <x v="1"/>
    <n v="3"/>
    <d v="2024-03-18T00:00:00"/>
    <x v="204"/>
    <x v="0"/>
    <x v="0"/>
    <x v="189"/>
    <n v="990.74"/>
    <x v="189"/>
    <n v="990.74"/>
    <n v="27783.8"/>
  </r>
  <r>
    <x v="1"/>
    <n v="1"/>
    <d v="2024-01-18T00:00:00"/>
    <x v="205"/>
    <x v="0"/>
    <x v="0"/>
    <x v="190"/>
    <n v="985.16"/>
    <x v="190"/>
    <n v="985.16"/>
    <n v="18384.68"/>
  </r>
  <r>
    <x v="1"/>
    <n v="4"/>
    <d v="2024-04-15T00:00:00"/>
    <x v="206"/>
    <x v="0"/>
    <x v="0"/>
    <x v="191"/>
    <n v="984"/>
    <x v="191"/>
    <n v="984"/>
    <n v="47222.76"/>
  </r>
  <r>
    <x v="1"/>
    <n v="9"/>
    <d v="2024-09-27T00:00:00"/>
    <x v="207"/>
    <x v="0"/>
    <x v="0"/>
    <x v="192"/>
    <n v="982.16"/>
    <x v="192"/>
    <n v="982.16"/>
    <n v="76667.600000000006"/>
  </r>
  <r>
    <x v="1"/>
    <n v="7"/>
    <d v="2024-07-16T00:00:00"/>
    <x v="208"/>
    <x v="0"/>
    <x v="0"/>
    <x v="193"/>
    <n v="979.48"/>
    <x v="193"/>
    <n v="979.48"/>
    <n v="51276.94"/>
  </r>
  <r>
    <x v="1"/>
    <n v="9"/>
    <d v="2024-09-30T00:00:00"/>
    <x v="209"/>
    <x v="0"/>
    <x v="0"/>
    <x v="194"/>
    <n v="976"/>
    <x v="194"/>
    <n v="976"/>
    <n v="95077.39"/>
  </r>
  <r>
    <x v="2"/>
    <n v="9"/>
    <d v="2023-09-25T00:00:00"/>
    <x v="210"/>
    <x v="0"/>
    <x v="0"/>
    <x v="195"/>
    <n v="967.7"/>
    <x v="195"/>
    <n v="967.7"/>
    <n v="23590.16"/>
  </r>
  <r>
    <x v="1"/>
    <n v="11"/>
    <d v="2024-11-15T00:00:00"/>
    <x v="211"/>
    <x v="0"/>
    <x v="0"/>
    <x v="196"/>
    <n v="961.91"/>
    <x v="196"/>
    <n v="961.91"/>
    <n v="5613.54"/>
  </r>
  <r>
    <x v="1"/>
    <n v="7"/>
    <d v="2024-07-16T00:00:00"/>
    <x v="212"/>
    <x v="0"/>
    <x v="0"/>
    <x v="197"/>
    <n v="952.02"/>
    <x v="197"/>
    <n v="952.02"/>
    <n v="52256.42"/>
  </r>
  <r>
    <x v="1"/>
    <n v="3"/>
    <d v="2024-03-11T00:00:00"/>
    <x v="213"/>
    <x v="0"/>
    <x v="0"/>
    <x v="198"/>
    <n v="948"/>
    <x v="198"/>
    <n v="948"/>
    <n v="27661.96"/>
  </r>
  <r>
    <x v="2"/>
    <n v="12"/>
    <d v="2023-12-15T00:00:00"/>
    <x v="214"/>
    <x v="0"/>
    <x v="0"/>
    <x v="199"/>
    <n v="914"/>
    <x v="199"/>
    <n v="914"/>
    <n v="43399.87"/>
  </r>
  <r>
    <x v="1"/>
    <n v="9"/>
    <d v="2024-09-13T00:00:00"/>
    <x v="215"/>
    <x v="0"/>
    <x v="0"/>
    <x v="200"/>
    <n v="913.14"/>
    <x v="200"/>
    <n v="913.14"/>
    <n v="73905.89"/>
  </r>
  <r>
    <x v="2"/>
    <n v="11"/>
    <d v="2023-11-20T00:00:00"/>
    <x v="216"/>
    <x v="0"/>
    <x v="0"/>
    <x v="201"/>
    <n v="903.49"/>
    <x v="201"/>
    <n v="903.49"/>
    <n v="23671.23"/>
  </r>
  <r>
    <x v="1"/>
    <n v="12"/>
    <d v="2024-12-17T00:00:00"/>
    <x v="217"/>
    <x v="0"/>
    <x v="0"/>
    <x v="202"/>
    <n v="893.23"/>
    <x v="202"/>
    <n v="893.23"/>
    <n v="39792.92"/>
  </r>
  <r>
    <x v="2"/>
    <n v="12"/>
    <d v="2023-12-14T00:00:00"/>
    <x v="218"/>
    <x v="0"/>
    <x v="0"/>
    <x v="203"/>
    <n v="867.5"/>
    <x v="203"/>
    <n v="867.5"/>
    <n v="55149.25"/>
  </r>
  <r>
    <x v="1"/>
    <n v="1"/>
    <d v="2024-01-24T00:00:00"/>
    <x v="219"/>
    <x v="0"/>
    <x v="0"/>
    <x v="204"/>
    <n v="865.87"/>
    <x v="204"/>
    <n v="865.87"/>
    <n v="42038.57"/>
  </r>
  <r>
    <x v="1"/>
    <n v="7"/>
    <d v="2024-07-09T00:00:00"/>
    <x v="220"/>
    <x v="0"/>
    <x v="0"/>
    <x v="205"/>
    <n v="863.55"/>
    <x v="205"/>
    <n v="863.55"/>
    <n v="81443.75"/>
  </r>
  <r>
    <x v="1"/>
    <n v="9"/>
    <d v="2024-09-30T00:00:00"/>
    <x v="221"/>
    <x v="0"/>
    <x v="0"/>
    <x v="206"/>
    <n v="849"/>
    <x v="206"/>
    <n v="849"/>
    <n v="94228.39"/>
  </r>
  <r>
    <x v="2"/>
    <n v="11"/>
    <d v="2023-11-20T00:00:00"/>
    <x v="222"/>
    <x v="0"/>
    <x v="0"/>
    <x v="207"/>
    <n v="819.72"/>
    <x v="207"/>
    <n v="819.72"/>
    <n v="22851.51"/>
  </r>
  <r>
    <x v="0"/>
    <n v="2"/>
    <d v="2025-02-19T00:00:00"/>
    <x v="223"/>
    <x v="0"/>
    <x v="0"/>
    <x v="208"/>
    <n v="772.37"/>
    <x v="208"/>
    <n v="772.37"/>
    <n v="55881.69"/>
  </r>
  <r>
    <x v="1"/>
    <n v="10"/>
    <d v="2024-10-03T00:00:00"/>
    <x v="224"/>
    <x v="0"/>
    <x v="0"/>
    <x v="209"/>
    <n v="766.8"/>
    <x v="209"/>
    <n v="766.8"/>
    <n v="88311.24"/>
  </r>
  <r>
    <x v="1"/>
    <n v="2"/>
    <d v="2024-02-27T00:00:00"/>
    <x v="176"/>
    <x v="0"/>
    <x v="0"/>
    <x v="210"/>
    <n v="756.25"/>
    <x v="210"/>
    <n v="756.25"/>
    <n v="24246.19"/>
  </r>
  <r>
    <x v="1"/>
    <n v="6"/>
    <d v="2024-06-14T00:00:00"/>
    <x v="225"/>
    <x v="0"/>
    <x v="0"/>
    <x v="211"/>
    <n v="753.4"/>
    <x v="211"/>
    <n v="753.4"/>
    <n v="20296.54"/>
  </r>
  <r>
    <x v="1"/>
    <n v="8"/>
    <d v="2024-08-29T00:00:00"/>
    <x v="226"/>
    <x v="0"/>
    <x v="0"/>
    <x v="212"/>
    <n v="749.78"/>
    <x v="212"/>
    <n v="749.78"/>
    <n v="43477.57"/>
  </r>
  <r>
    <x v="1"/>
    <n v="8"/>
    <d v="2024-08-23T00:00:00"/>
    <x v="227"/>
    <x v="0"/>
    <x v="0"/>
    <x v="213"/>
    <n v="743.95"/>
    <x v="213"/>
    <n v="743.95"/>
    <n v="56665.2"/>
  </r>
  <r>
    <x v="1"/>
    <n v="5"/>
    <d v="2024-05-28T00:00:00"/>
    <x v="228"/>
    <x v="0"/>
    <x v="0"/>
    <x v="214"/>
    <n v="724.85"/>
    <x v="214"/>
    <n v="724.85"/>
    <n v="27069.54"/>
  </r>
  <r>
    <x v="1"/>
    <n v="1"/>
    <d v="2024-01-24T00:00:00"/>
    <x v="229"/>
    <x v="0"/>
    <x v="0"/>
    <x v="215"/>
    <n v="724.56"/>
    <x v="215"/>
    <n v="724.56"/>
    <n v="41314.01"/>
  </r>
  <r>
    <x v="2"/>
    <n v="12"/>
    <d v="2023-12-19T00:00:00"/>
    <x v="230"/>
    <x v="0"/>
    <x v="0"/>
    <x v="216"/>
    <n v="723.48"/>
    <x v="216"/>
    <n v="723.48"/>
    <n v="41746.949999999997"/>
  </r>
  <r>
    <x v="1"/>
    <n v="8"/>
    <d v="2024-08-05T00:00:00"/>
    <x v="231"/>
    <x v="0"/>
    <x v="0"/>
    <x v="217"/>
    <n v="718.34"/>
    <x v="217"/>
    <n v="718.34"/>
    <n v="42058.6"/>
  </r>
  <r>
    <x v="2"/>
    <n v="12"/>
    <d v="2023-12-20T00:00:00"/>
    <x v="232"/>
    <x v="0"/>
    <x v="0"/>
    <x v="218"/>
    <n v="716.51"/>
    <x v="218"/>
    <n v="716.51"/>
    <n v="39940.33"/>
  </r>
  <r>
    <x v="2"/>
    <n v="10"/>
    <d v="2023-10-05T00:00:00"/>
    <x v="233"/>
    <x v="0"/>
    <x v="0"/>
    <x v="219"/>
    <n v="705.34"/>
    <x v="219"/>
    <n v="705.34"/>
    <n v="11125.25"/>
  </r>
  <r>
    <x v="1"/>
    <n v="9"/>
    <d v="2024-09-03T00:00:00"/>
    <x v="164"/>
    <x v="0"/>
    <x v="0"/>
    <x v="220"/>
    <n v="691.83"/>
    <x v="220"/>
    <n v="691.83"/>
    <n v="70460.52"/>
  </r>
  <r>
    <x v="1"/>
    <n v="10"/>
    <d v="2024-10-31T00:00:00"/>
    <x v="234"/>
    <x v="0"/>
    <x v="0"/>
    <x v="221"/>
    <n v="689.43"/>
    <x v="221"/>
    <n v="689.43"/>
    <n v="75666.09"/>
  </r>
  <r>
    <x v="1"/>
    <n v="7"/>
    <d v="2024-07-01T00:00:00"/>
    <x v="235"/>
    <x v="0"/>
    <x v="0"/>
    <x v="222"/>
    <n v="683.04"/>
    <x v="222"/>
    <n v="683.04"/>
    <n v="60989.14"/>
  </r>
  <r>
    <x v="0"/>
    <n v="1"/>
    <d v="2025-01-24T00:00:00"/>
    <x v="236"/>
    <x v="0"/>
    <x v="0"/>
    <x v="223"/>
    <n v="669.57"/>
    <x v="223"/>
    <n v="669.57"/>
    <n v="44350.61"/>
  </r>
  <r>
    <x v="1"/>
    <n v="7"/>
    <d v="2024-07-23T00:00:00"/>
    <x v="237"/>
    <x v="0"/>
    <x v="0"/>
    <x v="224"/>
    <n v="656.69"/>
    <x v="224"/>
    <n v="656.69"/>
    <n v="49248.4"/>
  </r>
  <r>
    <x v="0"/>
    <n v="2"/>
    <d v="2025-02-07T00:00:00"/>
    <x v="238"/>
    <x v="0"/>
    <x v="0"/>
    <x v="225"/>
    <n v="653.54999999999995"/>
    <x v="225"/>
    <n v="653.54999999999995"/>
    <n v="38875.69"/>
  </r>
  <r>
    <x v="2"/>
    <n v="12"/>
    <d v="2023-12-19T00:00:00"/>
    <x v="230"/>
    <x v="0"/>
    <x v="0"/>
    <x v="226"/>
    <n v="649.99"/>
    <x v="226"/>
    <n v="649.99"/>
    <n v="41096.959999999999"/>
  </r>
  <r>
    <x v="0"/>
    <n v="2"/>
    <d v="2025-02-03T00:00:00"/>
    <x v="239"/>
    <x v="0"/>
    <x v="0"/>
    <x v="227"/>
    <n v="638.25"/>
    <x v="227"/>
    <n v="638.25"/>
    <n v="55663.56"/>
  </r>
  <r>
    <x v="2"/>
    <n v="12"/>
    <d v="2023-12-28T00:00:00"/>
    <x v="240"/>
    <x v="0"/>
    <x v="0"/>
    <x v="228"/>
    <n v="603.75"/>
    <x v="228"/>
    <n v="603.75"/>
    <n v="33687.9"/>
  </r>
  <r>
    <x v="1"/>
    <n v="12"/>
    <d v="2024-12-04T00:00:00"/>
    <x v="241"/>
    <x v="0"/>
    <x v="0"/>
    <x v="229"/>
    <n v="574.55999999999995"/>
    <x v="229"/>
    <n v="574.55999999999995"/>
    <n v="2056.7199999999998"/>
  </r>
  <r>
    <x v="1"/>
    <n v="1"/>
    <d v="2024-01-29T00:00:00"/>
    <x v="242"/>
    <x v="0"/>
    <x v="0"/>
    <x v="230"/>
    <n v="567.53"/>
    <x v="230"/>
    <n v="567.53"/>
    <n v="26592.41"/>
  </r>
  <r>
    <x v="1"/>
    <n v="11"/>
    <d v="2024-11-27T00:00:00"/>
    <x v="243"/>
    <x v="0"/>
    <x v="0"/>
    <x v="231"/>
    <n v="562.20000000000005"/>
    <x v="231"/>
    <n v="562.20000000000005"/>
    <n v="20402.3"/>
  </r>
  <r>
    <x v="1"/>
    <n v="8"/>
    <d v="2024-08-01T00:00:00"/>
    <x v="164"/>
    <x v="0"/>
    <x v="0"/>
    <x v="232"/>
    <n v="550.58000000000004"/>
    <x v="232"/>
    <n v="550.58000000000004"/>
    <n v="42299.88"/>
  </r>
  <r>
    <x v="1"/>
    <n v="4"/>
    <d v="2024-04-15T00:00:00"/>
    <x v="244"/>
    <x v="0"/>
    <x v="0"/>
    <x v="233"/>
    <n v="549.52"/>
    <x v="233"/>
    <n v="549.52"/>
    <n v="48206.76"/>
  </r>
  <r>
    <x v="1"/>
    <n v="10"/>
    <d v="2024-10-24T00:00:00"/>
    <x v="245"/>
    <x v="0"/>
    <x v="0"/>
    <x v="234"/>
    <n v="548.94000000000005"/>
    <x v="234"/>
    <n v="548.94000000000005"/>
    <n v="71723.8"/>
  </r>
  <r>
    <x v="1"/>
    <n v="6"/>
    <d v="2024-06-18T00:00:00"/>
    <x v="246"/>
    <x v="0"/>
    <x v="0"/>
    <x v="235"/>
    <n v="544.13"/>
    <x v="235"/>
    <n v="544.13"/>
    <n v="32695.79"/>
  </r>
  <r>
    <x v="1"/>
    <n v="3"/>
    <d v="2024-03-25T00:00:00"/>
    <x v="247"/>
    <x v="0"/>
    <x v="0"/>
    <x v="236"/>
    <n v="543.55999999999995"/>
    <x v="236"/>
    <n v="543.55999999999995"/>
    <n v="9639.4599999999991"/>
  </r>
  <r>
    <x v="1"/>
    <n v="5"/>
    <d v="2024-05-28T00:00:00"/>
    <x v="248"/>
    <x v="0"/>
    <x v="0"/>
    <x v="237"/>
    <n v="542.53"/>
    <x v="237"/>
    <n v="542.53"/>
    <n v="26358.22"/>
  </r>
  <r>
    <x v="1"/>
    <n v="6"/>
    <d v="2024-06-26T00:00:00"/>
    <x v="249"/>
    <x v="0"/>
    <x v="0"/>
    <x v="238"/>
    <n v="542.44000000000005"/>
    <x v="238"/>
    <n v="542.44000000000005"/>
    <n v="86312.02"/>
  </r>
  <r>
    <x v="1"/>
    <n v="11"/>
    <d v="2024-11-27T00:00:00"/>
    <x v="243"/>
    <x v="0"/>
    <x v="0"/>
    <x v="239"/>
    <n v="540.64"/>
    <x v="239"/>
    <n v="540.64"/>
    <n v="19861.66"/>
  </r>
  <r>
    <x v="1"/>
    <n v="7"/>
    <d v="2024-07-26T00:00:00"/>
    <x v="250"/>
    <x v="0"/>
    <x v="0"/>
    <x v="240"/>
    <n v="536.41999999999996"/>
    <x v="240"/>
    <n v="536.41999999999996"/>
    <n v="19456.59"/>
  </r>
  <r>
    <x v="1"/>
    <n v="4"/>
    <d v="2024-04-26T00:00:00"/>
    <x v="251"/>
    <x v="0"/>
    <x v="0"/>
    <x v="241"/>
    <n v="535.91"/>
    <x v="241"/>
    <n v="535.91"/>
    <n v="6268.78"/>
  </r>
  <r>
    <x v="1"/>
    <n v="8"/>
    <d v="2024-08-27T00:00:00"/>
    <x v="252"/>
    <x v="0"/>
    <x v="0"/>
    <x v="242"/>
    <n v="535.49"/>
    <x v="242"/>
    <n v="535.49"/>
    <n v="36322.839999999997"/>
  </r>
  <r>
    <x v="1"/>
    <n v="11"/>
    <d v="2024-11-20T00:00:00"/>
    <x v="253"/>
    <x v="0"/>
    <x v="0"/>
    <x v="243"/>
    <n v="533.13"/>
    <x v="243"/>
    <n v="533.13"/>
    <n v="3788.59"/>
  </r>
  <r>
    <x v="1"/>
    <n v="9"/>
    <d v="2024-09-27T00:00:00"/>
    <x v="254"/>
    <x v="0"/>
    <x v="0"/>
    <x v="244"/>
    <n v="531.32000000000005"/>
    <x v="244"/>
    <n v="531.32000000000005"/>
    <n v="83133.820000000007"/>
  </r>
  <r>
    <x v="1"/>
    <n v="9"/>
    <d v="2024-09-20T00:00:00"/>
    <x v="255"/>
    <x v="0"/>
    <x v="0"/>
    <x v="245"/>
    <n v="523.59"/>
    <x v="245"/>
    <n v="523.59"/>
    <n v="82771.460000000006"/>
  </r>
  <r>
    <x v="1"/>
    <n v="9"/>
    <d v="2024-09-24T00:00:00"/>
    <x v="256"/>
    <x v="0"/>
    <x v="0"/>
    <x v="246"/>
    <n v="515.87"/>
    <x v="246"/>
    <n v="515.87"/>
    <n v="66112.460000000006"/>
  </r>
  <r>
    <x v="1"/>
    <n v="1"/>
    <d v="2024-01-11T00:00:00"/>
    <x v="257"/>
    <x v="0"/>
    <x v="0"/>
    <x v="247"/>
    <n v="515.63"/>
    <x v="247"/>
    <n v="515.63"/>
    <n v="45418.31"/>
  </r>
  <r>
    <x v="1"/>
    <n v="5"/>
    <d v="2024-05-06T00:00:00"/>
    <x v="258"/>
    <x v="0"/>
    <x v="0"/>
    <x v="248"/>
    <n v="514.01"/>
    <x v="248"/>
    <n v="514.01"/>
    <n v="9607"/>
  </r>
  <r>
    <x v="1"/>
    <n v="10"/>
    <d v="2024-10-15T00:00:00"/>
    <x v="138"/>
    <x v="0"/>
    <x v="0"/>
    <x v="249"/>
    <n v="513.33000000000004"/>
    <x v="249"/>
    <n v="513.33000000000004"/>
    <n v="103968.38"/>
  </r>
  <r>
    <x v="2"/>
    <n v="11"/>
    <d v="2023-11-17T00:00:00"/>
    <x v="259"/>
    <x v="0"/>
    <x v="0"/>
    <x v="250"/>
    <n v="512.54999999999995"/>
    <x v="250"/>
    <n v="512.54999999999995"/>
    <n v="24642.27"/>
  </r>
  <r>
    <x v="0"/>
    <n v="2"/>
    <d v="2025-02-10T00:00:00"/>
    <x v="260"/>
    <x v="0"/>
    <x v="0"/>
    <x v="251"/>
    <n v="510.24"/>
    <x v="251"/>
    <n v="510.24"/>
    <n v="61102.45"/>
  </r>
  <r>
    <x v="1"/>
    <n v="6"/>
    <d v="2024-06-26T00:00:00"/>
    <x v="261"/>
    <x v="0"/>
    <x v="0"/>
    <x v="252"/>
    <n v="509.35"/>
    <x v="252"/>
    <n v="509.35"/>
    <n v="85802.67"/>
  </r>
  <r>
    <x v="1"/>
    <n v="2"/>
    <d v="2024-02-28T00:00:00"/>
    <x v="262"/>
    <x v="0"/>
    <x v="0"/>
    <x v="253"/>
    <n v="500"/>
    <x v="253"/>
    <n v="500"/>
    <n v="29322.400000000001"/>
  </r>
  <r>
    <x v="1"/>
    <n v="3"/>
    <d v="2024-03-12T00:00:00"/>
    <x v="263"/>
    <x v="0"/>
    <x v="0"/>
    <x v="253"/>
    <n v="500"/>
    <x v="253"/>
    <n v="500"/>
    <n v="26536.66"/>
  </r>
  <r>
    <x v="1"/>
    <n v="6"/>
    <d v="2024-06-17T00:00:00"/>
    <x v="264"/>
    <x v="0"/>
    <x v="0"/>
    <x v="253"/>
    <n v="500"/>
    <x v="253"/>
    <n v="500"/>
    <n v="34399.46"/>
  </r>
  <r>
    <x v="1"/>
    <n v="6"/>
    <d v="2024-06-24T00:00:00"/>
    <x v="265"/>
    <x v="0"/>
    <x v="0"/>
    <x v="253"/>
    <n v="500"/>
    <x v="253"/>
    <n v="500"/>
    <n v="74758.460000000006"/>
  </r>
  <r>
    <x v="1"/>
    <n v="7"/>
    <d v="2024-07-09T00:00:00"/>
    <x v="266"/>
    <x v="0"/>
    <x v="0"/>
    <x v="253"/>
    <n v="500"/>
    <x v="253"/>
    <n v="500"/>
    <n v="82307.3"/>
  </r>
  <r>
    <x v="1"/>
    <n v="7"/>
    <d v="2024-07-15T00:00:00"/>
    <x v="267"/>
    <x v="0"/>
    <x v="0"/>
    <x v="253"/>
    <n v="500"/>
    <x v="253"/>
    <n v="500"/>
    <n v="63756.63"/>
  </r>
  <r>
    <x v="0"/>
    <n v="1"/>
    <d v="2025-01-08T00:00:00"/>
    <x v="268"/>
    <x v="0"/>
    <x v="0"/>
    <x v="253"/>
    <n v="500"/>
    <x v="253"/>
    <n v="500"/>
    <n v="78883.210000000006"/>
  </r>
  <r>
    <x v="1"/>
    <n v="7"/>
    <d v="2024-07-02T00:00:00"/>
    <x v="269"/>
    <x v="0"/>
    <x v="0"/>
    <x v="254"/>
    <n v="498.8"/>
    <x v="254"/>
    <n v="498.8"/>
    <n v="72075.259999999995"/>
  </r>
  <r>
    <x v="1"/>
    <n v="6"/>
    <d v="2024-06-27T00:00:00"/>
    <x v="270"/>
    <x v="0"/>
    <x v="0"/>
    <x v="255"/>
    <n v="495.82"/>
    <x v="255"/>
    <n v="495.82"/>
    <n v="78423.350000000006"/>
  </r>
  <r>
    <x v="1"/>
    <n v="8"/>
    <d v="2024-08-27T00:00:00"/>
    <x v="271"/>
    <x v="0"/>
    <x v="0"/>
    <x v="256"/>
    <n v="492.36"/>
    <x v="256"/>
    <n v="492.36"/>
    <n v="35265.07"/>
  </r>
  <r>
    <x v="1"/>
    <n v="1"/>
    <d v="2024-01-17T00:00:00"/>
    <x v="272"/>
    <x v="0"/>
    <x v="0"/>
    <x v="257"/>
    <n v="488.71"/>
    <x v="257"/>
    <n v="488.71"/>
    <n v="19504.84"/>
  </r>
  <r>
    <x v="1"/>
    <n v="1"/>
    <d v="2024-01-16T00:00:00"/>
    <x v="273"/>
    <x v="0"/>
    <x v="0"/>
    <x v="258"/>
    <n v="480.3"/>
    <x v="258"/>
    <n v="480.3"/>
    <n v="20410.87"/>
  </r>
  <r>
    <x v="0"/>
    <n v="2"/>
    <d v="2025-02-19T00:00:00"/>
    <x v="274"/>
    <x v="0"/>
    <x v="0"/>
    <x v="259"/>
    <n v="469.44"/>
    <x v="259"/>
    <n v="469.44"/>
    <n v="56654.06"/>
  </r>
  <r>
    <x v="1"/>
    <n v="11"/>
    <d v="2024-11-15T00:00:00"/>
    <x v="275"/>
    <x v="0"/>
    <x v="0"/>
    <x v="260"/>
    <n v="466.84"/>
    <x v="260"/>
    <n v="466.84"/>
    <n v="32809.01"/>
  </r>
  <r>
    <x v="1"/>
    <n v="8"/>
    <d v="2024-08-19T00:00:00"/>
    <x v="276"/>
    <x v="0"/>
    <x v="0"/>
    <x v="261"/>
    <n v="465.56"/>
    <x v="261"/>
    <n v="465.56"/>
    <n v="71148.570000000007"/>
  </r>
  <r>
    <x v="0"/>
    <n v="2"/>
    <d v="2025-02-24T00:00:00"/>
    <x v="277"/>
    <x v="0"/>
    <x v="0"/>
    <x v="262"/>
    <n v="460.89"/>
    <x v="262"/>
    <n v="460.89"/>
    <n v="61384.49"/>
  </r>
  <r>
    <x v="1"/>
    <n v="3"/>
    <d v="2024-03-28T00:00:00"/>
    <x v="278"/>
    <x v="0"/>
    <x v="0"/>
    <x v="263"/>
    <n v="457.41"/>
    <x v="263"/>
    <n v="457.41"/>
    <n v="22012.39"/>
  </r>
  <r>
    <x v="1"/>
    <n v="3"/>
    <d v="2024-03-15T00:00:00"/>
    <x v="279"/>
    <x v="0"/>
    <x v="0"/>
    <x v="264"/>
    <n v="456"/>
    <x v="264"/>
    <n v="456"/>
    <n v="25976.959999999999"/>
  </r>
  <r>
    <x v="1"/>
    <n v="9"/>
    <d v="2024-09-18T00:00:00"/>
    <x v="280"/>
    <x v="0"/>
    <x v="0"/>
    <x v="264"/>
    <n v="456"/>
    <x v="264"/>
    <n v="456"/>
    <n v="83756.75"/>
  </r>
  <r>
    <x v="1"/>
    <n v="10"/>
    <d v="2024-10-02T00:00:00"/>
    <x v="281"/>
    <x v="0"/>
    <x v="0"/>
    <x v="265"/>
    <n v="455.02"/>
    <x v="265"/>
    <n v="455.02"/>
    <n v="87224.41"/>
  </r>
  <r>
    <x v="2"/>
    <n v="10"/>
    <d v="2023-10-05T00:00:00"/>
    <x v="282"/>
    <x v="0"/>
    <x v="0"/>
    <x v="266"/>
    <n v="446.52"/>
    <x v="266"/>
    <n v="446.52"/>
    <n v="10678.73"/>
  </r>
  <r>
    <x v="2"/>
    <n v="10"/>
    <d v="2023-10-11T00:00:00"/>
    <x v="283"/>
    <x v="0"/>
    <x v="0"/>
    <x v="267"/>
    <n v="439.62"/>
    <x v="267"/>
    <n v="439.62"/>
    <n v="4420.1099999999997"/>
  </r>
  <r>
    <x v="1"/>
    <n v="10"/>
    <d v="2024-10-02T00:00:00"/>
    <x v="284"/>
    <x v="0"/>
    <x v="0"/>
    <x v="268"/>
    <n v="433.73"/>
    <x v="268"/>
    <n v="433.73"/>
    <n v="77580.679999999993"/>
  </r>
  <r>
    <x v="0"/>
    <n v="1"/>
    <d v="2025-01-10T00:00:00"/>
    <x v="285"/>
    <x v="0"/>
    <x v="0"/>
    <x v="269"/>
    <n v="433.38"/>
    <x v="269"/>
    <n v="433.38"/>
    <n v="36153.81"/>
  </r>
  <r>
    <x v="2"/>
    <n v="9"/>
    <d v="2023-09-19T00:00:00"/>
    <x v="286"/>
    <x v="0"/>
    <x v="0"/>
    <x v="270"/>
    <n v="424.84"/>
    <x v="270"/>
    <n v="424.84"/>
    <n v="8011.7"/>
  </r>
  <r>
    <x v="1"/>
    <n v="9"/>
    <d v="2024-09-26T00:00:00"/>
    <x v="287"/>
    <x v="0"/>
    <x v="0"/>
    <x v="271"/>
    <n v="424.2"/>
    <x v="271"/>
    <n v="424.2"/>
    <n v="81106.350000000006"/>
  </r>
  <r>
    <x v="0"/>
    <n v="2"/>
    <d v="2025-02-03T00:00:00"/>
    <x v="288"/>
    <x v="0"/>
    <x v="0"/>
    <x v="272"/>
    <n v="421.82"/>
    <x v="272"/>
    <n v="421.82"/>
    <n v="59593.11"/>
  </r>
  <r>
    <x v="0"/>
    <n v="3"/>
    <d v="2025-03-03T00:00:00"/>
    <x v="289"/>
    <x v="0"/>
    <x v="0"/>
    <x v="272"/>
    <n v="421.82"/>
    <x v="272"/>
    <n v="421.82"/>
    <n v="86072.38"/>
  </r>
  <r>
    <x v="1"/>
    <n v="2"/>
    <d v="2024-02-23T00:00:00"/>
    <x v="290"/>
    <x v="0"/>
    <x v="0"/>
    <x v="273"/>
    <n v="421.48"/>
    <x v="273"/>
    <n v="421.48"/>
    <n v="17453.62"/>
  </r>
  <r>
    <x v="1"/>
    <n v="9"/>
    <d v="2024-09-16T00:00:00"/>
    <x v="291"/>
    <x v="0"/>
    <x v="0"/>
    <x v="274"/>
    <n v="410.49"/>
    <x v="274"/>
    <n v="410.49"/>
    <n v="87509.7"/>
  </r>
  <r>
    <x v="2"/>
    <n v="12"/>
    <d v="2023-12-19T00:00:00"/>
    <x v="230"/>
    <x v="0"/>
    <x v="0"/>
    <x v="275"/>
    <n v="407.39"/>
    <x v="275"/>
    <n v="407.39"/>
    <n v="42470.43"/>
  </r>
  <r>
    <x v="1"/>
    <n v="8"/>
    <d v="2024-08-27T00:00:00"/>
    <x v="292"/>
    <x v="0"/>
    <x v="0"/>
    <x v="276"/>
    <n v="401.63"/>
    <x v="276"/>
    <n v="401.63"/>
    <n v="35757.43"/>
  </r>
  <r>
    <x v="1"/>
    <n v="12"/>
    <d v="2024-12-27T00:00:00"/>
    <x v="293"/>
    <x v="0"/>
    <x v="0"/>
    <x v="276"/>
    <n v="401.63"/>
    <x v="276"/>
    <n v="401.63"/>
    <n v="142916.88"/>
  </r>
  <r>
    <x v="0"/>
    <n v="2"/>
    <d v="2025-02-14T00:00:00"/>
    <x v="294"/>
    <x v="0"/>
    <x v="0"/>
    <x v="277"/>
    <n v="400"/>
    <x v="277"/>
    <n v="400"/>
    <n v="60943.62"/>
  </r>
  <r>
    <x v="2"/>
    <n v="11"/>
    <d v="2023-11-10T00:00:00"/>
    <x v="295"/>
    <x v="0"/>
    <x v="0"/>
    <x v="278"/>
    <n v="398.9"/>
    <x v="278"/>
    <n v="398.9"/>
    <n v="39594.03"/>
  </r>
  <r>
    <x v="1"/>
    <n v="9"/>
    <d v="2024-09-12T00:00:00"/>
    <x v="296"/>
    <x v="0"/>
    <x v="0"/>
    <x v="279"/>
    <n v="397.91"/>
    <x v="279"/>
    <n v="397.91"/>
    <n v="65107.72"/>
  </r>
  <r>
    <x v="1"/>
    <n v="12"/>
    <d v="2024-12-31T00:00:00"/>
    <x v="297"/>
    <x v="0"/>
    <x v="0"/>
    <x v="280"/>
    <n v="395.42"/>
    <x v="280"/>
    <n v="395.42"/>
    <n v="143579.95000000001"/>
  </r>
  <r>
    <x v="1"/>
    <n v="12"/>
    <d v="2024-12-31T00:00:00"/>
    <x v="298"/>
    <x v="0"/>
    <x v="0"/>
    <x v="281"/>
    <n v="390.74"/>
    <x v="281"/>
    <n v="390.74"/>
    <n v="143975.37"/>
  </r>
  <r>
    <x v="1"/>
    <n v="11"/>
    <d v="2024-11-15T00:00:00"/>
    <x v="299"/>
    <x v="0"/>
    <x v="0"/>
    <x v="282"/>
    <n v="390"/>
    <x v="282"/>
    <n v="390"/>
    <n v="5223.54"/>
  </r>
  <r>
    <x v="1"/>
    <n v="12"/>
    <d v="2024-12-13T00:00:00"/>
    <x v="300"/>
    <x v="0"/>
    <x v="0"/>
    <x v="282"/>
    <n v="390"/>
    <x v="282"/>
    <n v="390"/>
    <n v="1104.76"/>
  </r>
  <r>
    <x v="0"/>
    <n v="1"/>
    <d v="2025-01-17T00:00:00"/>
    <x v="301"/>
    <x v="0"/>
    <x v="0"/>
    <x v="282"/>
    <n v="390"/>
    <x v="282"/>
    <n v="390"/>
    <n v="49266.02"/>
  </r>
  <r>
    <x v="0"/>
    <n v="2"/>
    <d v="2025-02-21T00:00:00"/>
    <x v="302"/>
    <x v="0"/>
    <x v="0"/>
    <x v="283"/>
    <n v="386.02"/>
    <x v="283"/>
    <n v="386.02"/>
    <n v="40011.519999999997"/>
  </r>
  <r>
    <x v="1"/>
    <n v="9"/>
    <d v="2024-09-10T00:00:00"/>
    <x v="303"/>
    <x v="0"/>
    <x v="0"/>
    <x v="284"/>
    <n v="383.41"/>
    <x v="284"/>
    <n v="383.41"/>
    <n v="67506.960000000006"/>
  </r>
  <r>
    <x v="2"/>
    <n v="12"/>
    <d v="2023-12-20T00:00:00"/>
    <x v="304"/>
    <x v="0"/>
    <x v="0"/>
    <x v="285"/>
    <n v="382.87"/>
    <x v="285"/>
    <n v="382.87"/>
    <n v="39557.46"/>
  </r>
  <r>
    <x v="1"/>
    <n v="10"/>
    <d v="2024-10-15T00:00:00"/>
    <x v="305"/>
    <x v="0"/>
    <x v="0"/>
    <x v="286"/>
    <n v="382.8"/>
    <x v="286"/>
    <n v="382.8"/>
    <n v="99992.52"/>
  </r>
  <r>
    <x v="1"/>
    <n v="11"/>
    <d v="2024-11-22T00:00:00"/>
    <x v="306"/>
    <x v="0"/>
    <x v="0"/>
    <x v="287"/>
    <n v="382.5"/>
    <x v="287"/>
    <n v="382.5"/>
    <n v="4641.43"/>
  </r>
  <r>
    <x v="1"/>
    <n v="11"/>
    <d v="2024-11-04T00:00:00"/>
    <x v="239"/>
    <x v="0"/>
    <x v="0"/>
    <x v="288"/>
    <n v="382"/>
    <x v="288"/>
    <n v="382"/>
    <n v="40792.26"/>
  </r>
  <r>
    <x v="1"/>
    <n v="11"/>
    <d v="2024-11-12T00:00:00"/>
    <x v="307"/>
    <x v="0"/>
    <x v="0"/>
    <x v="289"/>
    <n v="381.26"/>
    <x v="289"/>
    <n v="381.26"/>
    <n v="49756.62"/>
  </r>
  <r>
    <x v="1"/>
    <n v="10"/>
    <d v="2024-10-11T00:00:00"/>
    <x v="308"/>
    <x v="0"/>
    <x v="0"/>
    <x v="290"/>
    <n v="380"/>
    <x v="290"/>
    <n v="380"/>
    <n v="67539.710000000006"/>
  </r>
  <r>
    <x v="1"/>
    <n v="8"/>
    <d v="2024-08-15T00:00:00"/>
    <x v="309"/>
    <x v="0"/>
    <x v="0"/>
    <x v="291"/>
    <n v="376.47"/>
    <x v="291"/>
    <n v="376.47"/>
    <n v="41072.949999999997"/>
  </r>
  <r>
    <x v="2"/>
    <n v="11"/>
    <d v="2023-11-06T00:00:00"/>
    <x v="310"/>
    <x v="0"/>
    <x v="0"/>
    <x v="292"/>
    <n v="372.19"/>
    <x v="292"/>
    <n v="372.19"/>
    <n v="12076.56"/>
  </r>
  <r>
    <x v="1"/>
    <n v="9"/>
    <d v="2024-09-13T00:00:00"/>
    <x v="311"/>
    <x v="0"/>
    <x v="0"/>
    <x v="293"/>
    <n v="370"/>
    <x v="293"/>
    <n v="370"/>
    <n v="73535.89"/>
  </r>
  <r>
    <x v="0"/>
    <n v="2"/>
    <d v="2025-02-05T00:00:00"/>
    <x v="312"/>
    <x v="0"/>
    <x v="0"/>
    <x v="294"/>
    <n v="367.19"/>
    <x v="294"/>
    <n v="367.19"/>
    <n v="55444.15"/>
  </r>
  <r>
    <x v="1"/>
    <n v="9"/>
    <d v="2024-09-27T00:00:00"/>
    <x v="313"/>
    <x v="0"/>
    <x v="0"/>
    <x v="295"/>
    <n v="354.57"/>
    <x v="295"/>
    <n v="354.57"/>
    <n v="82779.25"/>
  </r>
  <r>
    <x v="1"/>
    <n v="1"/>
    <d v="2024-01-08T00:00:00"/>
    <x v="314"/>
    <x v="0"/>
    <x v="0"/>
    <x v="296"/>
    <n v="354"/>
    <x v="296"/>
    <n v="354"/>
    <n v="50549"/>
  </r>
  <r>
    <x v="1"/>
    <n v="8"/>
    <d v="2024-08-16T00:00:00"/>
    <x v="315"/>
    <x v="0"/>
    <x v="0"/>
    <x v="296"/>
    <n v="354"/>
    <x v="296"/>
    <n v="354"/>
    <n v="58756.45"/>
  </r>
  <r>
    <x v="1"/>
    <n v="7"/>
    <d v="2024-07-22T00:00:00"/>
    <x v="316"/>
    <x v="0"/>
    <x v="0"/>
    <x v="297"/>
    <n v="353.7"/>
    <x v="297"/>
    <n v="353.7"/>
    <n v="49905.09"/>
  </r>
  <r>
    <x v="1"/>
    <n v="2"/>
    <d v="2024-02-21T00:00:00"/>
    <x v="317"/>
    <x v="0"/>
    <x v="0"/>
    <x v="298"/>
    <n v="350"/>
    <x v="298"/>
    <n v="350"/>
    <n v="15643.61"/>
  </r>
  <r>
    <x v="1"/>
    <n v="3"/>
    <d v="2024-03-15T00:00:00"/>
    <x v="318"/>
    <x v="0"/>
    <x v="0"/>
    <x v="299"/>
    <n v="348"/>
    <x v="299"/>
    <n v="348"/>
    <n v="25628.959999999999"/>
  </r>
  <r>
    <x v="1"/>
    <n v="1"/>
    <d v="2024-01-11T00:00:00"/>
    <x v="319"/>
    <x v="0"/>
    <x v="0"/>
    <x v="300"/>
    <n v="342.5"/>
    <x v="300"/>
    <n v="342.5"/>
    <n v="36976.07"/>
  </r>
  <r>
    <x v="1"/>
    <n v="6"/>
    <d v="2024-06-14T00:00:00"/>
    <x v="320"/>
    <x v="0"/>
    <x v="0"/>
    <x v="301"/>
    <n v="342"/>
    <x v="301"/>
    <n v="342"/>
    <n v="19954.54"/>
  </r>
  <r>
    <x v="1"/>
    <n v="7"/>
    <d v="2024-07-12T00:00:00"/>
    <x v="321"/>
    <x v="0"/>
    <x v="0"/>
    <x v="301"/>
    <n v="342"/>
    <x v="301"/>
    <n v="342"/>
    <n v="58940.28"/>
  </r>
  <r>
    <x v="1"/>
    <n v="4"/>
    <d v="2024-04-12T00:00:00"/>
    <x v="322"/>
    <x v="0"/>
    <x v="0"/>
    <x v="302"/>
    <n v="336"/>
    <x v="302"/>
    <n v="336"/>
    <n v="36371.279999999999"/>
  </r>
  <r>
    <x v="1"/>
    <n v="5"/>
    <d v="2024-05-10T00:00:00"/>
    <x v="323"/>
    <x v="0"/>
    <x v="0"/>
    <x v="302"/>
    <n v="336"/>
    <x v="302"/>
    <n v="336"/>
    <n v="6642.67"/>
  </r>
  <r>
    <x v="1"/>
    <n v="4"/>
    <d v="2024-04-25T00:00:00"/>
    <x v="324"/>
    <x v="0"/>
    <x v="0"/>
    <x v="303"/>
    <n v="333.36"/>
    <x v="303"/>
    <n v="333.36"/>
    <n v="11804.69"/>
  </r>
  <r>
    <x v="1"/>
    <n v="2"/>
    <d v="2024-02-13T00:00:00"/>
    <x v="325"/>
    <x v="0"/>
    <x v="0"/>
    <x v="304"/>
    <n v="330.86"/>
    <x v="304"/>
    <n v="330.86"/>
    <n v="19796.23"/>
  </r>
  <r>
    <x v="1"/>
    <n v="3"/>
    <d v="2024-03-28T00:00:00"/>
    <x v="326"/>
    <x v="0"/>
    <x v="0"/>
    <x v="305"/>
    <n v="316.58"/>
    <x v="305"/>
    <n v="316.58"/>
    <n v="21695.81"/>
  </r>
  <r>
    <x v="1"/>
    <n v="9"/>
    <d v="2024-09-19T00:00:00"/>
    <x v="327"/>
    <x v="0"/>
    <x v="0"/>
    <x v="306"/>
    <n v="309.95"/>
    <x v="306"/>
    <n v="309.95"/>
    <n v="89983.679999999993"/>
  </r>
  <r>
    <x v="2"/>
    <n v="12"/>
    <d v="2023-12-19T00:00:00"/>
    <x v="328"/>
    <x v="0"/>
    <x v="0"/>
    <x v="307"/>
    <n v="309.92"/>
    <x v="307"/>
    <n v="309.92"/>
    <n v="40787.040000000001"/>
  </r>
  <r>
    <x v="1"/>
    <n v="9"/>
    <d v="2024-09-16T00:00:00"/>
    <x v="329"/>
    <x v="0"/>
    <x v="0"/>
    <x v="308"/>
    <n v="307.45"/>
    <x v="308"/>
    <n v="307.45"/>
    <n v="87013.48"/>
  </r>
  <r>
    <x v="0"/>
    <n v="1"/>
    <d v="2025-01-09T00:00:00"/>
    <x v="330"/>
    <x v="0"/>
    <x v="0"/>
    <x v="309"/>
    <n v="304.58"/>
    <x v="309"/>
    <n v="304.58"/>
    <n v="78924.63"/>
  </r>
  <r>
    <x v="1"/>
    <n v="1"/>
    <d v="2024-01-16T00:00:00"/>
    <x v="331"/>
    <x v="0"/>
    <x v="0"/>
    <x v="310"/>
    <n v="304.45999999999998"/>
    <x v="310"/>
    <n v="304.45999999999998"/>
    <n v="19993.55"/>
  </r>
  <r>
    <x v="1"/>
    <n v="1"/>
    <d v="2024-01-03T00:00:00"/>
    <x v="332"/>
    <x v="0"/>
    <x v="0"/>
    <x v="311"/>
    <n v="303.83"/>
    <x v="311"/>
    <n v="303.83"/>
    <n v="28349.5"/>
  </r>
  <r>
    <x v="1"/>
    <n v="8"/>
    <d v="2024-08-02T00:00:00"/>
    <x v="333"/>
    <x v="0"/>
    <x v="0"/>
    <x v="312"/>
    <n v="301.27"/>
    <x v="312"/>
    <n v="301.27"/>
    <n v="45929.71"/>
  </r>
  <r>
    <x v="1"/>
    <n v="1"/>
    <d v="2024-01-12T00:00:00"/>
    <x v="334"/>
    <x v="0"/>
    <x v="0"/>
    <x v="313"/>
    <n v="300"/>
    <x v="313"/>
    <n v="300"/>
    <n v="33707.54"/>
  </r>
  <r>
    <x v="2"/>
    <n v="12"/>
    <d v="2023-12-12T00:00:00"/>
    <x v="335"/>
    <x v="0"/>
    <x v="0"/>
    <x v="314"/>
    <n v="294.48"/>
    <x v="314"/>
    <n v="294.48"/>
    <n v="56066.75"/>
  </r>
  <r>
    <x v="2"/>
    <n v="10"/>
    <d v="2023-10-06T00:00:00"/>
    <x v="336"/>
    <x v="0"/>
    <x v="0"/>
    <x v="315"/>
    <n v="292.89999999999998"/>
    <x v="315"/>
    <n v="292.89999999999998"/>
    <n v="5007.8599999999997"/>
  </r>
  <r>
    <x v="0"/>
    <n v="3"/>
    <d v="2025-03-04T00:00:00"/>
    <x v="337"/>
    <x v="0"/>
    <x v="0"/>
    <x v="316"/>
    <n v="286.05"/>
    <x v="316"/>
    <n v="286.05"/>
    <n v="79325.490000000005"/>
  </r>
  <r>
    <x v="1"/>
    <n v="10"/>
    <d v="2024-10-08T00:00:00"/>
    <x v="338"/>
    <x v="0"/>
    <x v="0"/>
    <x v="317"/>
    <n v="279.60000000000002"/>
    <x v="317"/>
    <n v="279.60000000000002"/>
    <n v="69422"/>
  </r>
  <r>
    <x v="1"/>
    <n v="8"/>
    <d v="2024-08-01T00:00:00"/>
    <x v="339"/>
    <x v="0"/>
    <x v="0"/>
    <x v="318"/>
    <n v="278.60000000000002"/>
    <x v="318"/>
    <n v="278.60000000000002"/>
    <n v="47651.46"/>
  </r>
  <r>
    <x v="2"/>
    <n v="10"/>
    <d v="2023-10-06T00:00:00"/>
    <x v="340"/>
    <x v="0"/>
    <x v="0"/>
    <x v="319"/>
    <n v="277.97000000000003"/>
    <x v="319"/>
    <n v="277.97000000000003"/>
    <n v="5319.89"/>
  </r>
  <r>
    <x v="2"/>
    <n v="12"/>
    <d v="2023-12-18T00:00:00"/>
    <x v="341"/>
    <x v="0"/>
    <x v="0"/>
    <x v="320"/>
    <n v="275.86"/>
    <x v="320"/>
    <n v="275.86"/>
    <n v="43124.01"/>
  </r>
  <r>
    <x v="1"/>
    <n v="9"/>
    <d v="2024-09-03T00:00:00"/>
    <x v="342"/>
    <x v="0"/>
    <x v="0"/>
    <x v="321"/>
    <n v="274.13"/>
    <x v="321"/>
    <n v="274.13"/>
    <n v="76058.64"/>
  </r>
  <r>
    <x v="1"/>
    <n v="9"/>
    <d v="2024-09-16T00:00:00"/>
    <x v="343"/>
    <x v="0"/>
    <x v="0"/>
    <x v="321"/>
    <n v="274.13"/>
    <x v="321"/>
    <n v="274.13"/>
    <n v="87920.19"/>
  </r>
  <r>
    <x v="1"/>
    <n v="10"/>
    <d v="2024-10-04T00:00:00"/>
    <x v="344"/>
    <x v="0"/>
    <x v="0"/>
    <x v="321"/>
    <n v="274.13"/>
    <x v="321"/>
    <n v="274.13"/>
    <n v="87759.03"/>
  </r>
  <r>
    <x v="1"/>
    <n v="11"/>
    <d v="2024-11-04T00:00:00"/>
    <x v="345"/>
    <x v="0"/>
    <x v="0"/>
    <x v="321"/>
    <n v="274.13"/>
    <x v="321"/>
    <n v="274.13"/>
    <n v="41425.120000000003"/>
  </r>
  <r>
    <x v="1"/>
    <n v="12"/>
    <d v="2024-12-04T00:00:00"/>
    <x v="346"/>
    <x v="0"/>
    <x v="0"/>
    <x v="321"/>
    <n v="274.13"/>
    <x v="321"/>
    <n v="274.13"/>
    <n v="2882.14"/>
  </r>
  <r>
    <x v="0"/>
    <n v="1"/>
    <d v="2025-01-06T00:00:00"/>
    <x v="347"/>
    <x v="0"/>
    <x v="0"/>
    <x v="321"/>
    <n v="274.13"/>
    <x v="321"/>
    <n v="274.13"/>
    <n v="106789.36"/>
  </r>
  <r>
    <x v="0"/>
    <n v="2"/>
    <d v="2025-02-21T00:00:00"/>
    <x v="348"/>
    <x v="0"/>
    <x v="0"/>
    <x v="322"/>
    <n v="273.25"/>
    <x v="322"/>
    <n v="273.25"/>
    <n v="64258.11"/>
  </r>
  <r>
    <x v="1"/>
    <n v="1"/>
    <d v="2024-01-30T00:00:00"/>
    <x v="349"/>
    <x v="0"/>
    <x v="0"/>
    <x v="323"/>
    <n v="272.22000000000003"/>
    <x v="323"/>
    <n v="272.22000000000003"/>
    <n v="26032.16"/>
  </r>
  <r>
    <x v="1"/>
    <n v="10"/>
    <d v="2024-10-09T00:00:00"/>
    <x v="350"/>
    <x v="0"/>
    <x v="0"/>
    <x v="324"/>
    <n v="271.82"/>
    <x v="324"/>
    <n v="271.82"/>
    <n v="69247.16"/>
  </r>
  <r>
    <x v="2"/>
    <n v="10"/>
    <d v="2023-10-18T00:00:00"/>
    <x v="351"/>
    <x v="0"/>
    <x v="0"/>
    <x v="325"/>
    <n v="265.72000000000003"/>
    <x v="325"/>
    <n v="265.72000000000003"/>
    <n v="13379.36"/>
  </r>
  <r>
    <x v="2"/>
    <n v="12"/>
    <d v="2023-12-07T00:00:00"/>
    <x v="352"/>
    <x v="0"/>
    <x v="0"/>
    <x v="326"/>
    <n v="265.29000000000002"/>
    <x v="326"/>
    <n v="265.29000000000002"/>
    <n v="18793.29"/>
  </r>
  <r>
    <x v="2"/>
    <n v="11"/>
    <d v="2023-11-17T00:00:00"/>
    <x v="353"/>
    <x v="0"/>
    <x v="0"/>
    <x v="327"/>
    <n v="264.56"/>
    <x v="327"/>
    <n v="264.56"/>
    <n v="25154.82"/>
  </r>
  <r>
    <x v="2"/>
    <n v="9"/>
    <d v="2023-09-07T00:00:00"/>
    <x v="354"/>
    <x v="0"/>
    <x v="0"/>
    <x v="328"/>
    <n v="260.29000000000002"/>
    <x v="328"/>
    <n v="260.29000000000002"/>
    <n v="9839.7099999999991"/>
  </r>
  <r>
    <x v="1"/>
    <n v="10"/>
    <d v="2024-10-01T00:00:00"/>
    <x v="355"/>
    <x v="0"/>
    <x v="0"/>
    <x v="329"/>
    <n v="258.04000000000002"/>
    <x v="329"/>
    <n v="258.04000000000002"/>
    <n v="93949.72"/>
  </r>
  <r>
    <x v="1"/>
    <n v="11"/>
    <d v="2024-11-01T00:00:00"/>
    <x v="356"/>
    <x v="0"/>
    <x v="0"/>
    <x v="329"/>
    <n v="258.04000000000002"/>
    <x v="329"/>
    <n v="258.04000000000002"/>
    <n v="66914"/>
  </r>
  <r>
    <x v="1"/>
    <n v="12"/>
    <d v="2024-12-02T00:00:00"/>
    <x v="357"/>
    <x v="0"/>
    <x v="0"/>
    <x v="329"/>
    <n v="258.04000000000002"/>
    <x v="329"/>
    <n v="258.04000000000002"/>
    <n v="3963.84"/>
  </r>
  <r>
    <x v="1"/>
    <n v="1"/>
    <d v="2024-01-30T00:00:00"/>
    <x v="358"/>
    <x v="0"/>
    <x v="0"/>
    <x v="330"/>
    <n v="254.16"/>
    <x v="330"/>
    <n v="254.16"/>
    <n v="25778"/>
  </r>
  <r>
    <x v="2"/>
    <n v="10"/>
    <d v="2023-10-19T00:00:00"/>
    <x v="359"/>
    <x v="0"/>
    <x v="0"/>
    <x v="331"/>
    <n v="254.05"/>
    <x v="331"/>
    <n v="254.05"/>
    <n v="13110.81"/>
  </r>
  <r>
    <x v="1"/>
    <n v="7"/>
    <d v="2024-07-30T00:00:00"/>
    <x v="360"/>
    <x v="0"/>
    <x v="0"/>
    <x v="332"/>
    <n v="252.09"/>
    <x v="332"/>
    <n v="252.09"/>
    <n v="31493.07"/>
  </r>
  <r>
    <x v="1"/>
    <n v="2"/>
    <d v="2024-02-02T00:00:00"/>
    <x v="361"/>
    <x v="0"/>
    <x v="0"/>
    <x v="333"/>
    <n v="251.76"/>
    <x v="333"/>
    <n v="251.76"/>
    <n v="36575.29"/>
  </r>
  <r>
    <x v="1"/>
    <n v="3"/>
    <d v="2024-03-04T00:00:00"/>
    <x v="362"/>
    <x v="0"/>
    <x v="0"/>
    <x v="334"/>
    <n v="251.75"/>
    <x v="334"/>
    <n v="251.75"/>
    <n v="28557.29"/>
  </r>
  <r>
    <x v="1"/>
    <n v="4"/>
    <d v="2024-04-02T00:00:00"/>
    <x v="363"/>
    <x v="0"/>
    <x v="0"/>
    <x v="334"/>
    <n v="251.75"/>
    <x v="334"/>
    <n v="251.75"/>
    <n v="34895.089999999997"/>
  </r>
  <r>
    <x v="1"/>
    <n v="5"/>
    <d v="2024-05-02T00:00:00"/>
    <x v="364"/>
    <x v="0"/>
    <x v="0"/>
    <x v="334"/>
    <n v="251.75"/>
    <x v="334"/>
    <n v="251.75"/>
    <n v="27417.5"/>
  </r>
  <r>
    <x v="1"/>
    <n v="6"/>
    <d v="2024-06-04T00:00:00"/>
    <x v="365"/>
    <x v="0"/>
    <x v="0"/>
    <x v="334"/>
    <n v="251.75"/>
    <x v="334"/>
    <n v="251.75"/>
    <n v="25377.41"/>
  </r>
  <r>
    <x v="1"/>
    <n v="7"/>
    <d v="2024-07-02T00:00:00"/>
    <x v="366"/>
    <x v="0"/>
    <x v="0"/>
    <x v="334"/>
    <n v="251.75"/>
    <x v="334"/>
    <n v="251.75"/>
    <n v="72597.009999999995"/>
  </r>
  <r>
    <x v="1"/>
    <n v="8"/>
    <d v="2024-08-02T00:00:00"/>
    <x v="367"/>
    <x v="0"/>
    <x v="0"/>
    <x v="334"/>
    <n v="251.75"/>
    <x v="334"/>
    <n v="251.75"/>
    <n v="46230.98"/>
  </r>
  <r>
    <x v="1"/>
    <n v="9"/>
    <d v="2024-09-04T00:00:00"/>
    <x v="368"/>
    <x v="0"/>
    <x v="0"/>
    <x v="334"/>
    <n v="251.75"/>
    <x v="334"/>
    <n v="251.75"/>
    <n v="70177.919999999998"/>
  </r>
  <r>
    <x v="1"/>
    <n v="10"/>
    <d v="2024-10-04T00:00:00"/>
    <x v="369"/>
    <x v="0"/>
    <x v="0"/>
    <x v="335"/>
    <n v="250.86"/>
    <x v="335"/>
    <n v="250.86"/>
    <n v="87508.17"/>
  </r>
  <r>
    <x v="1"/>
    <n v="11"/>
    <d v="2024-11-04T00:00:00"/>
    <x v="370"/>
    <x v="0"/>
    <x v="0"/>
    <x v="335"/>
    <n v="250.86"/>
    <x v="335"/>
    <n v="250.86"/>
    <n v="41174.26"/>
  </r>
  <r>
    <x v="1"/>
    <n v="12"/>
    <d v="2024-12-04T00:00:00"/>
    <x v="371"/>
    <x v="0"/>
    <x v="0"/>
    <x v="335"/>
    <n v="250.86"/>
    <x v="335"/>
    <n v="250.86"/>
    <n v="2631.28"/>
  </r>
  <r>
    <x v="1"/>
    <n v="7"/>
    <d v="2024-07-05T00:00:00"/>
    <x v="372"/>
    <x v="0"/>
    <x v="0"/>
    <x v="336"/>
    <n v="250.6"/>
    <x v="336"/>
    <n v="250.6"/>
    <n v="71671.360000000001"/>
  </r>
  <r>
    <x v="1"/>
    <n v="8"/>
    <d v="2024-08-05T00:00:00"/>
    <x v="373"/>
    <x v="0"/>
    <x v="0"/>
    <x v="336"/>
    <n v="250.6"/>
    <x v="336"/>
    <n v="250.6"/>
    <n v="41801.64"/>
  </r>
  <r>
    <x v="1"/>
    <n v="9"/>
    <d v="2024-09-04T00:00:00"/>
    <x v="374"/>
    <x v="0"/>
    <x v="0"/>
    <x v="336"/>
    <n v="250.6"/>
    <x v="336"/>
    <n v="250.6"/>
    <n v="70429.67"/>
  </r>
  <r>
    <x v="1"/>
    <n v="4"/>
    <d v="2024-04-04T00:00:00"/>
    <x v="375"/>
    <x v="0"/>
    <x v="0"/>
    <x v="337"/>
    <n v="250.1"/>
    <x v="337"/>
    <n v="250.1"/>
    <n v="34470.06"/>
  </r>
  <r>
    <x v="1"/>
    <n v="5"/>
    <d v="2024-05-06T00:00:00"/>
    <x v="376"/>
    <x v="0"/>
    <x v="0"/>
    <x v="337"/>
    <n v="250.1"/>
    <x v="337"/>
    <n v="250.1"/>
    <n v="10127.370000000001"/>
  </r>
  <r>
    <x v="1"/>
    <n v="6"/>
    <d v="2024-06-04T00:00:00"/>
    <x v="377"/>
    <x v="0"/>
    <x v="0"/>
    <x v="337"/>
    <n v="250.1"/>
    <x v="337"/>
    <n v="250.1"/>
    <n v="25629.16"/>
  </r>
  <r>
    <x v="1"/>
    <n v="10"/>
    <d v="2024-10-03T00:00:00"/>
    <x v="378"/>
    <x v="0"/>
    <x v="0"/>
    <x v="338"/>
    <n v="250"/>
    <x v="338"/>
    <n v="250"/>
    <n v="89113.04"/>
  </r>
  <r>
    <x v="1"/>
    <n v="11"/>
    <d v="2024-11-04T00:00:00"/>
    <x v="379"/>
    <x v="0"/>
    <x v="0"/>
    <x v="338"/>
    <n v="250"/>
    <x v="338"/>
    <n v="250"/>
    <n v="42043.12"/>
  </r>
  <r>
    <x v="1"/>
    <n v="12"/>
    <d v="2024-12-03T00:00:00"/>
    <x v="380"/>
    <x v="0"/>
    <x v="0"/>
    <x v="338"/>
    <n v="250"/>
    <x v="338"/>
    <n v="250"/>
    <n v="3563.84"/>
  </r>
  <r>
    <x v="0"/>
    <n v="1"/>
    <d v="2025-01-31T00:00:00"/>
    <x v="381"/>
    <x v="0"/>
    <x v="0"/>
    <x v="338"/>
    <n v="250"/>
    <x v="338"/>
    <n v="250"/>
    <n v="48973.56"/>
  </r>
  <r>
    <x v="0"/>
    <n v="2"/>
    <d v="2025-02-07T00:00:00"/>
    <x v="382"/>
    <x v="0"/>
    <x v="0"/>
    <x v="338"/>
    <n v="250"/>
    <x v="338"/>
    <n v="250"/>
    <n v="73359.350000000006"/>
  </r>
  <r>
    <x v="0"/>
    <n v="3"/>
    <d v="2025-03-03T00:00:00"/>
    <x v="383"/>
    <x v="0"/>
    <x v="0"/>
    <x v="338"/>
    <n v="250"/>
    <x v="338"/>
    <n v="250"/>
    <n v="86494.2"/>
  </r>
  <r>
    <x v="1"/>
    <n v="1"/>
    <d v="2024-01-19T00:00:00"/>
    <x v="384"/>
    <x v="0"/>
    <x v="0"/>
    <x v="339"/>
    <n v="249.37"/>
    <x v="339"/>
    <n v="249.37"/>
    <n v="18135.310000000001"/>
  </r>
  <r>
    <x v="1"/>
    <n v="2"/>
    <d v="2024-02-20T00:00:00"/>
    <x v="385"/>
    <x v="0"/>
    <x v="0"/>
    <x v="339"/>
    <n v="249.37"/>
    <x v="339"/>
    <n v="249.37"/>
    <n v="15993.61"/>
  </r>
  <r>
    <x v="1"/>
    <n v="3"/>
    <d v="2024-03-19T00:00:00"/>
    <x v="386"/>
    <x v="0"/>
    <x v="0"/>
    <x v="339"/>
    <n v="249.37"/>
    <x v="339"/>
    <n v="249.37"/>
    <n v="27458.39"/>
  </r>
  <r>
    <x v="1"/>
    <n v="4"/>
    <d v="2024-04-22T00:00:00"/>
    <x v="387"/>
    <x v="0"/>
    <x v="0"/>
    <x v="339"/>
    <n v="249.37"/>
    <x v="339"/>
    <n v="249.37"/>
    <n v="13691.14"/>
  </r>
  <r>
    <x v="1"/>
    <n v="5"/>
    <d v="2024-05-20T00:00:00"/>
    <x v="388"/>
    <x v="0"/>
    <x v="0"/>
    <x v="339"/>
    <n v="249.37"/>
    <x v="339"/>
    <n v="249.37"/>
    <n v="17980.13"/>
  </r>
  <r>
    <x v="1"/>
    <n v="6"/>
    <d v="2024-06-20T00:00:00"/>
    <x v="389"/>
    <x v="0"/>
    <x v="0"/>
    <x v="339"/>
    <n v="249.37"/>
    <x v="339"/>
    <n v="249.37"/>
    <n v="55893.46"/>
  </r>
  <r>
    <x v="1"/>
    <n v="7"/>
    <d v="2024-07-22T00:00:00"/>
    <x v="390"/>
    <x v="0"/>
    <x v="0"/>
    <x v="339"/>
    <n v="249.37"/>
    <x v="339"/>
    <n v="249.37"/>
    <n v="51842.26"/>
  </r>
  <r>
    <x v="1"/>
    <n v="8"/>
    <d v="2024-08-19T00:00:00"/>
    <x v="391"/>
    <x v="0"/>
    <x v="0"/>
    <x v="339"/>
    <n v="249.37"/>
    <x v="339"/>
    <n v="249.37"/>
    <n v="70899.199999999997"/>
  </r>
  <r>
    <x v="1"/>
    <n v="9"/>
    <d v="2024-09-19T00:00:00"/>
    <x v="392"/>
    <x v="0"/>
    <x v="0"/>
    <x v="339"/>
    <n v="249.37"/>
    <x v="339"/>
    <n v="249.37"/>
    <n v="89734.31"/>
  </r>
  <r>
    <x v="1"/>
    <n v="10"/>
    <d v="2024-10-21T00:00:00"/>
    <x v="359"/>
    <x v="0"/>
    <x v="0"/>
    <x v="339"/>
    <n v="249.37"/>
    <x v="339"/>
    <n v="249.37"/>
    <n v="72548.259999999995"/>
  </r>
  <r>
    <x v="1"/>
    <n v="11"/>
    <d v="2024-11-19T00:00:00"/>
    <x v="393"/>
    <x v="0"/>
    <x v="0"/>
    <x v="339"/>
    <n v="249.37"/>
    <x v="339"/>
    <n v="249.37"/>
    <n v="4321.72"/>
  </r>
  <r>
    <x v="1"/>
    <n v="1"/>
    <d v="2024-01-04T00:00:00"/>
    <x v="394"/>
    <x v="0"/>
    <x v="0"/>
    <x v="340"/>
    <n v="248.54"/>
    <x v="340"/>
    <n v="248.54"/>
    <n v="28099.96"/>
  </r>
  <r>
    <x v="1"/>
    <n v="2"/>
    <d v="2024-02-05T00:00:00"/>
    <x v="395"/>
    <x v="0"/>
    <x v="0"/>
    <x v="340"/>
    <n v="248.54"/>
    <x v="340"/>
    <n v="248.54"/>
    <n v="34817.660000000003"/>
  </r>
  <r>
    <x v="1"/>
    <n v="3"/>
    <d v="2024-03-04T00:00:00"/>
    <x v="396"/>
    <x v="0"/>
    <x v="0"/>
    <x v="340"/>
    <n v="248.54"/>
    <x v="340"/>
    <n v="248.54"/>
    <n v="27908.32"/>
  </r>
  <r>
    <x v="2"/>
    <n v="11"/>
    <d v="2023-11-06T00:00:00"/>
    <x v="370"/>
    <x v="0"/>
    <x v="0"/>
    <x v="341"/>
    <n v="247.76"/>
    <x v="341"/>
    <n v="247.76"/>
    <n v="11828.8"/>
  </r>
  <r>
    <x v="2"/>
    <n v="12"/>
    <d v="2023-12-04T00:00:00"/>
    <x v="371"/>
    <x v="0"/>
    <x v="0"/>
    <x v="341"/>
    <n v="247.76"/>
    <x v="341"/>
    <n v="247.76"/>
    <n v="19211.84"/>
  </r>
  <r>
    <x v="2"/>
    <n v="12"/>
    <d v="2023-12-19T00:00:00"/>
    <x v="397"/>
    <x v="0"/>
    <x v="0"/>
    <x v="342"/>
    <n v="246.19"/>
    <x v="342"/>
    <n v="246.19"/>
    <n v="42877.82"/>
  </r>
  <r>
    <x v="1"/>
    <n v="1"/>
    <d v="2024-01-26T00:00:00"/>
    <x v="398"/>
    <x v="0"/>
    <x v="0"/>
    <x v="343"/>
    <n v="246.17"/>
    <x v="343"/>
    <n v="246.17"/>
    <n v="27165.73"/>
  </r>
  <r>
    <x v="1"/>
    <n v="2"/>
    <d v="2024-02-14T00:00:00"/>
    <x v="399"/>
    <x v="0"/>
    <x v="0"/>
    <x v="344"/>
    <n v="244.36"/>
    <x v="344"/>
    <n v="244.36"/>
    <n v="16754.310000000001"/>
  </r>
  <r>
    <x v="2"/>
    <n v="10"/>
    <d v="2023-10-04T00:00:00"/>
    <x v="400"/>
    <x v="0"/>
    <x v="0"/>
    <x v="345"/>
    <n v="238.04"/>
    <x v="345"/>
    <n v="238.04"/>
    <n v="23150.92"/>
  </r>
  <r>
    <x v="2"/>
    <n v="10"/>
    <d v="2023-10-16T00:00:00"/>
    <x v="401"/>
    <x v="0"/>
    <x v="0"/>
    <x v="346"/>
    <n v="238.01"/>
    <x v="346"/>
    <n v="238.01"/>
    <n v="13691.78"/>
  </r>
  <r>
    <x v="1"/>
    <n v="10"/>
    <d v="2024-10-31T00:00:00"/>
    <x v="402"/>
    <x v="0"/>
    <x v="0"/>
    <x v="347"/>
    <n v="237.99"/>
    <x v="347"/>
    <n v="237.99"/>
    <n v="76398.009999999995"/>
  </r>
  <r>
    <x v="2"/>
    <n v="11"/>
    <d v="2023-11-20T00:00:00"/>
    <x v="393"/>
    <x v="0"/>
    <x v="0"/>
    <x v="348"/>
    <n v="235.53"/>
    <x v="348"/>
    <n v="235.53"/>
    <n v="22615.98"/>
  </r>
  <r>
    <x v="0"/>
    <n v="2"/>
    <d v="2025-02-03T00:00:00"/>
    <x v="403"/>
    <x v="0"/>
    <x v="0"/>
    <x v="349"/>
    <n v="232.69"/>
    <x v="349"/>
    <n v="232.69"/>
    <n v="60014.93"/>
  </r>
  <r>
    <x v="1"/>
    <n v="9"/>
    <d v="2024-09-18T00:00:00"/>
    <x v="404"/>
    <x v="0"/>
    <x v="0"/>
    <x v="350"/>
    <n v="230.29"/>
    <x v="350"/>
    <n v="230.29"/>
    <n v="85530.26"/>
  </r>
  <r>
    <x v="1"/>
    <n v="9"/>
    <d v="2024-09-03T00:00:00"/>
    <x v="164"/>
    <x v="0"/>
    <x v="0"/>
    <x v="351"/>
    <n v="226.7"/>
    <x v="351"/>
    <n v="226.7"/>
    <n v="70233.820000000007"/>
  </r>
  <r>
    <x v="1"/>
    <n v="10"/>
    <d v="2024-10-31T00:00:00"/>
    <x v="405"/>
    <x v="0"/>
    <x v="0"/>
    <x v="352"/>
    <n v="225.51"/>
    <x v="352"/>
    <n v="225.51"/>
    <n v="75208.83"/>
  </r>
  <r>
    <x v="1"/>
    <n v="2"/>
    <d v="2024-02-29T00:00:00"/>
    <x v="406"/>
    <x v="0"/>
    <x v="0"/>
    <x v="353"/>
    <n v="222.36"/>
    <x v="353"/>
    <n v="222.36"/>
    <n v="29100.04"/>
  </r>
  <r>
    <x v="2"/>
    <n v="12"/>
    <d v="2023-12-11T00:00:00"/>
    <x v="407"/>
    <x v="0"/>
    <x v="0"/>
    <x v="354"/>
    <n v="219.81"/>
    <x v="354"/>
    <n v="219.81"/>
    <n v="18380.87"/>
  </r>
  <r>
    <x v="1"/>
    <n v="11"/>
    <d v="2024-11-18T00:00:00"/>
    <x v="408"/>
    <x v="0"/>
    <x v="0"/>
    <x v="355"/>
    <n v="219.27"/>
    <x v="355"/>
    <n v="219.27"/>
    <n v="6287.9"/>
  </r>
  <r>
    <x v="1"/>
    <n v="8"/>
    <d v="2024-08-07T00:00:00"/>
    <x v="409"/>
    <x v="0"/>
    <x v="0"/>
    <x v="356"/>
    <n v="218.07"/>
    <x v="356"/>
    <n v="218.07"/>
    <n v="41414.620000000003"/>
  </r>
  <r>
    <x v="1"/>
    <n v="11"/>
    <d v="2024-11-12T00:00:00"/>
    <x v="410"/>
    <x v="0"/>
    <x v="0"/>
    <x v="357"/>
    <n v="217.5"/>
    <x v="357"/>
    <n v="217.5"/>
    <n v="50240.55"/>
  </r>
  <r>
    <x v="1"/>
    <n v="10"/>
    <d v="2024-10-18T00:00:00"/>
    <x v="411"/>
    <x v="0"/>
    <x v="0"/>
    <x v="358"/>
    <n v="217"/>
    <x v="358"/>
    <n v="217"/>
    <n v="96532.88"/>
  </r>
  <r>
    <x v="1"/>
    <n v="10"/>
    <d v="2024-10-31T00:00:00"/>
    <x v="412"/>
    <x v="0"/>
    <x v="0"/>
    <x v="359"/>
    <n v="212.68"/>
    <x v="359"/>
    <n v="212.68"/>
    <n v="71986.63"/>
  </r>
  <r>
    <x v="1"/>
    <n v="8"/>
    <d v="2024-08-09T00:00:00"/>
    <x v="413"/>
    <x v="0"/>
    <x v="0"/>
    <x v="360"/>
    <n v="212.5"/>
    <x v="360"/>
    <n v="212.5"/>
    <n v="16718.650000000001"/>
  </r>
  <r>
    <x v="1"/>
    <n v="4"/>
    <d v="2024-04-01T00:00:00"/>
    <x v="414"/>
    <x v="0"/>
    <x v="0"/>
    <x v="361"/>
    <n v="210.34"/>
    <x v="361"/>
    <n v="210.34"/>
    <n v="24126.21"/>
  </r>
  <r>
    <x v="1"/>
    <n v="7"/>
    <d v="2024-07-18T00:00:00"/>
    <x v="415"/>
    <x v="0"/>
    <x v="0"/>
    <x v="362"/>
    <n v="206.41"/>
    <x v="362"/>
    <n v="206.41"/>
    <n v="50752.99"/>
  </r>
  <r>
    <x v="1"/>
    <n v="12"/>
    <d v="2024-12-27T00:00:00"/>
    <x v="416"/>
    <x v="0"/>
    <x v="0"/>
    <x v="363"/>
    <n v="205.62"/>
    <x v="363"/>
    <n v="205.62"/>
    <n v="93139.11"/>
  </r>
  <r>
    <x v="0"/>
    <n v="1"/>
    <d v="2025-01-03T00:00:00"/>
    <x v="417"/>
    <x v="0"/>
    <x v="0"/>
    <x v="364"/>
    <n v="204.38"/>
    <x v="364"/>
    <n v="204.38"/>
    <n v="60115.38"/>
  </r>
  <r>
    <x v="1"/>
    <n v="5"/>
    <d v="2024-05-02T00:00:00"/>
    <x v="418"/>
    <x v="0"/>
    <x v="0"/>
    <x v="365"/>
    <n v="204"/>
    <x v="365"/>
    <n v="204"/>
    <n v="27669.25"/>
  </r>
  <r>
    <x v="1"/>
    <n v="7"/>
    <d v="2024-07-15T00:00:00"/>
    <x v="419"/>
    <x v="0"/>
    <x v="0"/>
    <x v="366"/>
    <n v="202.94"/>
    <x v="366"/>
    <n v="202.94"/>
    <n v="63553.69"/>
  </r>
  <r>
    <x v="1"/>
    <n v="9"/>
    <d v="2024-09-26T00:00:00"/>
    <x v="420"/>
    <x v="0"/>
    <x v="0"/>
    <x v="367"/>
    <n v="202.73"/>
    <x v="367"/>
    <n v="202.73"/>
    <n v="82975.55"/>
  </r>
  <r>
    <x v="1"/>
    <n v="3"/>
    <d v="2024-03-11T00:00:00"/>
    <x v="421"/>
    <x v="0"/>
    <x v="0"/>
    <x v="368"/>
    <n v="200.07"/>
    <x v="368"/>
    <n v="200.07"/>
    <n v="27177.919999999998"/>
  </r>
  <r>
    <x v="1"/>
    <n v="3"/>
    <d v="2024-03-04T00:00:00"/>
    <x v="422"/>
    <x v="0"/>
    <x v="0"/>
    <x v="369"/>
    <n v="200.06"/>
    <x v="369"/>
    <n v="200.06"/>
    <n v="28156.86"/>
  </r>
  <r>
    <x v="1"/>
    <n v="2"/>
    <d v="2024-02-15T00:00:00"/>
    <x v="423"/>
    <x v="0"/>
    <x v="0"/>
    <x v="370"/>
    <n v="200"/>
    <x v="370"/>
    <n v="200"/>
    <n v="16554.310000000001"/>
  </r>
  <r>
    <x v="1"/>
    <n v="3"/>
    <d v="2024-03-18T00:00:00"/>
    <x v="424"/>
    <x v="0"/>
    <x v="0"/>
    <x v="371"/>
    <n v="194.16"/>
    <x v="371"/>
    <n v="194.16"/>
    <n v="28802.799999999999"/>
  </r>
  <r>
    <x v="1"/>
    <n v="7"/>
    <d v="2024-07-30T00:00:00"/>
    <x v="425"/>
    <x v="0"/>
    <x v="0"/>
    <x v="372"/>
    <n v="193.1"/>
    <x v="372"/>
    <n v="193.1"/>
    <n v="31745.16"/>
  </r>
  <r>
    <x v="1"/>
    <n v="10"/>
    <d v="2024-10-04T00:00:00"/>
    <x v="426"/>
    <x v="0"/>
    <x v="0"/>
    <x v="373"/>
    <n v="189"/>
    <x v="373"/>
    <n v="189"/>
    <n v="41971.77"/>
  </r>
  <r>
    <x v="1"/>
    <n v="6"/>
    <d v="2024-06-28T00:00:00"/>
    <x v="427"/>
    <x v="0"/>
    <x v="0"/>
    <x v="374"/>
    <n v="186.62"/>
    <x v="374"/>
    <n v="186.62"/>
    <n v="66853.789999999994"/>
  </r>
  <r>
    <x v="1"/>
    <n v="3"/>
    <d v="2024-03-28T00:00:00"/>
    <x v="428"/>
    <x v="0"/>
    <x v="0"/>
    <x v="375"/>
    <n v="186.25"/>
    <x v="375"/>
    <n v="186.25"/>
    <n v="21509.56"/>
  </r>
  <r>
    <x v="2"/>
    <n v="12"/>
    <d v="2023-12-28T00:00:00"/>
    <x v="429"/>
    <x v="0"/>
    <x v="0"/>
    <x v="376"/>
    <n v="182.65"/>
    <x v="376"/>
    <n v="182.65"/>
    <n v="62324.81"/>
  </r>
  <r>
    <x v="1"/>
    <n v="10"/>
    <d v="2024-10-18T00:00:00"/>
    <x v="430"/>
    <x v="0"/>
    <x v="0"/>
    <x v="377"/>
    <n v="182.54"/>
    <x v="377"/>
    <n v="182.54"/>
    <n v="63057.63"/>
  </r>
  <r>
    <x v="1"/>
    <n v="9"/>
    <d v="2024-09-03T00:00:00"/>
    <x v="431"/>
    <x v="0"/>
    <x v="0"/>
    <x v="378"/>
    <n v="182.11"/>
    <x v="378"/>
    <n v="182.11"/>
    <n v="76551.37"/>
  </r>
  <r>
    <x v="1"/>
    <n v="7"/>
    <d v="2024-07-18T00:00:00"/>
    <x v="432"/>
    <x v="0"/>
    <x v="0"/>
    <x v="379"/>
    <n v="181.98"/>
    <x v="379"/>
    <n v="181.98"/>
    <n v="50959.4"/>
  </r>
  <r>
    <x v="1"/>
    <n v="3"/>
    <d v="2024-03-04T00:00:00"/>
    <x v="433"/>
    <x v="0"/>
    <x v="0"/>
    <x v="380"/>
    <n v="181.24"/>
    <x v="380"/>
    <n v="181.24"/>
    <n v="28376.05"/>
  </r>
  <r>
    <x v="1"/>
    <n v="2"/>
    <d v="2024-02-20T00:00:00"/>
    <x v="434"/>
    <x v="0"/>
    <x v="0"/>
    <x v="381"/>
    <n v="180.36"/>
    <x v="381"/>
    <n v="180.36"/>
    <n v="16242.98"/>
  </r>
  <r>
    <x v="0"/>
    <n v="1"/>
    <d v="2025-01-02T00:00:00"/>
    <x v="435"/>
    <x v="0"/>
    <x v="0"/>
    <x v="382"/>
    <n v="180"/>
    <x v="382"/>
    <n v="180"/>
    <n v="150664.17000000001"/>
  </r>
  <r>
    <x v="0"/>
    <n v="1"/>
    <d v="2025-01-02T00:00:00"/>
    <x v="436"/>
    <x v="0"/>
    <x v="0"/>
    <x v="383"/>
    <n v="179.71"/>
    <x v="383"/>
    <n v="179.71"/>
    <n v="150214.60999999999"/>
  </r>
  <r>
    <x v="1"/>
    <n v="4"/>
    <d v="2024-04-02T00:00:00"/>
    <x v="437"/>
    <x v="0"/>
    <x v="0"/>
    <x v="384"/>
    <n v="178.37"/>
    <x v="384"/>
    <n v="178.37"/>
    <n v="35146.839999999997"/>
  </r>
  <r>
    <x v="1"/>
    <n v="10"/>
    <d v="2024-10-16T00:00:00"/>
    <x v="438"/>
    <x v="0"/>
    <x v="0"/>
    <x v="385"/>
    <n v="174.7"/>
    <x v="385"/>
    <n v="174.7"/>
    <n v="98052.800000000003"/>
  </r>
  <r>
    <x v="1"/>
    <n v="11"/>
    <d v="2024-11-04T00:00:00"/>
    <x v="439"/>
    <x v="0"/>
    <x v="0"/>
    <x v="386"/>
    <n v="173.23"/>
    <x v="386"/>
    <n v="173.23"/>
    <n v="41699.25"/>
  </r>
  <r>
    <x v="1"/>
    <n v="5"/>
    <d v="2024-05-10T00:00:00"/>
    <x v="440"/>
    <x v="0"/>
    <x v="0"/>
    <x v="387"/>
    <n v="172.37"/>
    <x v="387"/>
    <n v="172.37"/>
    <n v="6978.67"/>
  </r>
  <r>
    <x v="1"/>
    <n v="10"/>
    <d v="2024-10-07T00:00:00"/>
    <x v="441"/>
    <x v="0"/>
    <x v="0"/>
    <x v="388"/>
    <n v="171.22"/>
    <x v="388"/>
    <n v="171.22"/>
    <n v="69885.11"/>
  </r>
  <r>
    <x v="0"/>
    <n v="1"/>
    <d v="2025-01-02T00:00:00"/>
    <x v="442"/>
    <x v="0"/>
    <x v="0"/>
    <x v="389"/>
    <n v="169.83"/>
    <x v="389"/>
    <n v="169.83"/>
    <n v="150402.79"/>
  </r>
  <r>
    <x v="1"/>
    <n v="8"/>
    <d v="2024-08-23T00:00:00"/>
    <x v="443"/>
    <x v="0"/>
    <x v="0"/>
    <x v="390"/>
    <n v="169.81"/>
    <x v="390"/>
    <n v="169.81"/>
    <n v="23873.99"/>
  </r>
  <r>
    <x v="1"/>
    <n v="1"/>
    <d v="2024-01-30T00:00:00"/>
    <x v="444"/>
    <x v="0"/>
    <x v="0"/>
    <x v="391"/>
    <n v="169.58"/>
    <x v="391"/>
    <n v="169.58"/>
    <n v="26304.38"/>
  </r>
  <r>
    <x v="1"/>
    <n v="5"/>
    <d v="2024-05-28T00:00:00"/>
    <x v="445"/>
    <x v="0"/>
    <x v="0"/>
    <x v="392"/>
    <n v="168.79"/>
    <x v="392"/>
    <n v="168.79"/>
    <n v="26900.75"/>
  </r>
  <r>
    <x v="1"/>
    <n v="7"/>
    <d v="2024-07-23T00:00:00"/>
    <x v="446"/>
    <x v="0"/>
    <x v="0"/>
    <x v="393"/>
    <n v="167"/>
    <x v="393"/>
    <n v="167"/>
    <n v="49030.5"/>
  </r>
  <r>
    <x v="1"/>
    <n v="8"/>
    <d v="2024-08-09T00:00:00"/>
    <x v="447"/>
    <x v="0"/>
    <x v="0"/>
    <x v="394"/>
    <n v="166.49"/>
    <x v="394"/>
    <n v="166.49"/>
    <n v="16552.16"/>
  </r>
  <r>
    <x v="1"/>
    <n v="8"/>
    <d v="2024-08-22T00:00:00"/>
    <x v="448"/>
    <x v="0"/>
    <x v="0"/>
    <x v="395"/>
    <n v="165.88"/>
    <x v="395"/>
    <n v="165.88"/>
    <n v="78299.149999999994"/>
  </r>
  <r>
    <x v="1"/>
    <n v="3"/>
    <d v="2024-03-11T00:00:00"/>
    <x v="449"/>
    <x v="0"/>
    <x v="0"/>
    <x v="396"/>
    <n v="165.87"/>
    <x v="396"/>
    <n v="165.87"/>
    <n v="27377.99"/>
  </r>
  <r>
    <x v="1"/>
    <n v="4"/>
    <d v="2024-04-29T00:00:00"/>
    <x v="450"/>
    <x v="0"/>
    <x v="0"/>
    <x v="396"/>
    <n v="165.87"/>
    <x v="396"/>
    <n v="165.87"/>
    <n v="22034.91"/>
  </r>
  <r>
    <x v="1"/>
    <n v="7"/>
    <d v="2024-07-26T00:00:00"/>
    <x v="451"/>
    <x v="0"/>
    <x v="0"/>
    <x v="397"/>
    <n v="165.36"/>
    <x v="397"/>
    <n v="165.36"/>
    <n v="21472.23"/>
  </r>
  <r>
    <x v="1"/>
    <n v="8"/>
    <d v="2024-08-27T00:00:00"/>
    <x v="452"/>
    <x v="0"/>
    <x v="0"/>
    <x v="398"/>
    <n v="163.78"/>
    <x v="398"/>
    <n v="163.78"/>
    <n v="36159.06"/>
  </r>
  <r>
    <x v="1"/>
    <n v="9"/>
    <d v="2024-09-23T00:00:00"/>
    <x v="453"/>
    <x v="0"/>
    <x v="0"/>
    <x v="399"/>
    <n v="162.56"/>
    <x v="399"/>
    <n v="162.56"/>
    <n v="66548.479999999996"/>
  </r>
  <r>
    <x v="1"/>
    <n v="10"/>
    <d v="2024-10-10T00:00:00"/>
    <x v="454"/>
    <x v="0"/>
    <x v="0"/>
    <x v="400"/>
    <n v="161.03"/>
    <x v="400"/>
    <n v="161.03"/>
    <n v="66509.06"/>
  </r>
  <r>
    <x v="1"/>
    <n v="12"/>
    <d v="2024-12-03T00:00:00"/>
    <x v="455"/>
    <x v="0"/>
    <x v="0"/>
    <x v="401"/>
    <n v="160.63"/>
    <x v="401"/>
    <n v="160.63"/>
    <n v="3205.27"/>
  </r>
  <r>
    <x v="1"/>
    <n v="7"/>
    <d v="2024-07-31T00:00:00"/>
    <x v="456"/>
    <x v="0"/>
    <x v="0"/>
    <x v="402"/>
    <n v="159.69999999999999"/>
    <x v="402"/>
    <n v="159.69999999999999"/>
    <n v="31317.25"/>
  </r>
  <r>
    <x v="1"/>
    <n v="8"/>
    <d v="2024-08-19T00:00:00"/>
    <x v="457"/>
    <x v="0"/>
    <x v="0"/>
    <x v="403"/>
    <n v="159.51"/>
    <x v="403"/>
    <n v="159.51"/>
    <n v="71762.98"/>
  </r>
  <r>
    <x v="1"/>
    <n v="8"/>
    <d v="2024-08-02T00:00:00"/>
    <x v="458"/>
    <x v="0"/>
    <x v="0"/>
    <x v="404"/>
    <n v="159.38"/>
    <x v="404"/>
    <n v="159.38"/>
    <n v="45747.38"/>
  </r>
  <r>
    <x v="1"/>
    <n v="12"/>
    <d v="2024-12-31T00:00:00"/>
    <x v="459"/>
    <x v="0"/>
    <x v="0"/>
    <x v="405"/>
    <n v="154.54"/>
    <x v="405"/>
    <n v="154.54"/>
    <n v="143425.41"/>
  </r>
  <r>
    <x v="1"/>
    <n v="7"/>
    <d v="2024-07-24T00:00:00"/>
    <x v="460"/>
    <x v="0"/>
    <x v="0"/>
    <x v="406"/>
    <n v="153.83000000000001"/>
    <x v="406"/>
    <n v="153.83000000000001"/>
    <n v="48826.67"/>
  </r>
  <r>
    <x v="1"/>
    <n v="11"/>
    <d v="2024-11-12T00:00:00"/>
    <x v="461"/>
    <x v="0"/>
    <x v="0"/>
    <x v="407"/>
    <n v="153.09"/>
    <x v="407"/>
    <n v="153.09"/>
    <n v="50458.05"/>
  </r>
  <r>
    <x v="1"/>
    <n v="11"/>
    <d v="2024-11-29T00:00:00"/>
    <x v="462"/>
    <x v="0"/>
    <x v="0"/>
    <x v="408"/>
    <n v="152.16999999999999"/>
    <x v="408"/>
    <n v="152.16999999999999"/>
    <n v="1260.2"/>
  </r>
  <r>
    <x v="1"/>
    <n v="11"/>
    <d v="2024-11-14T00:00:00"/>
    <x v="463"/>
    <x v="0"/>
    <x v="0"/>
    <x v="409"/>
    <n v="150.93"/>
    <x v="409"/>
    <n v="150.93"/>
    <n v="23711.82"/>
  </r>
  <r>
    <x v="2"/>
    <n v="9"/>
    <d v="2023-09-22T00:00:00"/>
    <x v="464"/>
    <x v="0"/>
    <x v="0"/>
    <x v="410"/>
    <n v="150"/>
    <x v="410"/>
    <n v="150"/>
    <n v="9756.84"/>
  </r>
  <r>
    <x v="1"/>
    <n v="12"/>
    <d v="2024-12-02T00:00:00"/>
    <x v="164"/>
    <x v="0"/>
    <x v="0"/>
    <x v="410"/>
    <n v="150"/>
    <x v="410"/>
    <n v="150"/>
    <n v="3813.84"/>
  </r>
  <r>
    <x v="1"/>
    <n v="1"/>
    <d v="2024-01-31T00:00:00"/>
    <x v="465"/>
    <x v="0"/>
    <x v="0"/>
    <x v="411"/>
    <n v="149.94999999999999"/>
    <x v="411"/>
    <n v="149.94999999999999"/>
    <n v="25628.05"/>
  </r>
  <r>
    <x v="1"/>
    <n v="10"/>
    <d v="2024-10-04T00:00:00"/>
    <x v="466"/>
    <x v="0"/>
    <x v="0"/>
    <x v="412"/>
    <n v="148.41"/>
    <x v="412"/>
    <n v="148.41"/>
    <n v="88033.16"/>
  </r>
  <r>
    <x v="1"/>
    <n v="12"/>
    <d v="2024-12-13T00:00:00"/>
    <x v="467"/>
    <x v="0"/>
    <x v="0"/>
    <x v="413"/>
    <n v="147.91999999999999"/>
    <x v="413"/>
    <n v="147.91999999999999"/>
    <n v="956.84"/>
  </r>
  <r>
    <x v="1"/>
    <n v="8"/>
    <d v="2024-08-29T00:00:00"/>
    <x v="468"/>
    <x v="0"/>
    <x v="0"/>
    <x v="414"/>
    <n v="147.76"/>
    <x v="414"/>
    <n v="147.76"/>
    <n v="44227.35"/>
  </r>
  <r>
    <x v="1"/>
    <n v="3"/>
    <d v="2024-03-28T00:00:00"/>
    <x v="469"/>
    <x v="0"/>
    <x v="0"/>
    <x v="415"/>
    <n v="147.69"/>
    <x v="415"/>
    <n v="147.69"/>
    <n v="22768.799999999999"/>
  </r>
  <r>
    <x v="1"/>
    <n v="4"/>
    <d v="2024-04-29T00:00:00"/>
    <x v="470"/>
    <x v="0"/>
    <x v="0"/>
    <x v="415"/>
    <n v="147.69"/>
    <x v="415"/>
    <n v="147.69"/>
    <n v="21887.22"/>
  </r>
  <r>
    <x v="1"/>
    <n v="5"/>
    <d v="2024-05-28T00:00:00"/>
    <x v="471"/>
    <x v="0"/>
    <x v="0"/>
    <x v="415"/>
    <n v="147.69"/>
    <x v="415"/>
    <n v="147.69"/>
    <n v="26210.53"/>
  </r>
  <r>
    <x v="1"/>
    <n v="6"/>
    <d v="2024-06-28T00:00:00"/>
    <x v="472"/>
    <x v="0"/>
    <x v="0"/>
    <x v="415"/>
    <n v="147.69"/>
    <x v="415"/>
    <n v="147.69"/>
    <n v="66706.100000000006"/>
  </r>
  <r>
    <x v="1"/>
    <n v="7"/>
    <d v="2024-07-29T00:00:00"/>
    <x v="473"/>
    <x v="0"/>
    <x v="0"/>
    <x v="415"/>
    <n v="147.69"/>
    <x v="415"/>
    <n v="147.69"/>
    <n v="30638.36"/>
  </r>
  <r>
    <x v="1"/>
    <n v="8"/>
    <d v="2024-08-28T00:00:00"/>
    <x v="474"/>
    <x v="0"/>
    <x v="0"/>
    <x v="415"/>
    <n v="147.69"/>
    <x v="415"/>
    <n v="147.69"/>
    <n v="35102.39"/>
  </r>
  <r>
    <x v="1"/>
    <n v="9"/>
    <d v="2024-09-30T00:00:00"/>
    <x v="475"/>
    <x v="0"/>
    <x v="0"/>
    <x v="415"/>
    <n v="147.69"/>
    <x v="415"/>
    <n v="147.69"/>
    <n v="96118.53"/>
  </r>
  <r>
    <x v="1"/>
    <n v="10"/>
    <d v="2024-10-28T00:00:00"/>
    <x v="476"/>
    <x v="0"/>
    <x v="0"/>
    <x v="415"/>
    <n v="147.69"/>
    <x v="415"/>
    <n v="147.69"/>
    <n v="74764.11"/>
  </r>
  <r>
    <x v="1"/>
    <n v="11"/>
    <d v="2024-11-04T00:00:00"/>
    <x v="477"/>
    <x v="0"/>
    <x v="0"/>
    <x v="415"/>
    <n v="147.69"/>
    <x v="415"/>
    <n v="147.69"/>
    <n v="41872.480000000003"/>
  </r>
  <r>
    <x v="1"/>
    <n v="11"/>
    <d v="2024-11-29T00:00:00"/>
    <x v="478"/>
    <x v="0"/>
    <x v="0"/>
    <x v="415"/>
    <n v="147.69"/>
    <x v="415"/>
    <n v="147.69"/>
    <n v="19698.98"/>
  </r>
  <r>
    <x v="1"/>
    <n v="12"/>
    <d v="2024-12-03T00:00:00"/>
    <x v="479"/>
    <x v="0"/>
    <x v="0"/>
    <x v="415"/>
    <n v="147.69"/>
    <x v="415"/>
    <n v="147.69"/>
    <n v="3416.15"/>
  </r>
  <r>
    <x v="0"/>
    <n v="1"/>
    <d v="2025-01-03T00:00:00"/>
    <x v="480"/>
    <x v="0"/>
    <x v="0"/>
    <x v="415"/>
    <n v="147.69"/>
    <x v="415"/>
    <n v="147.69"/>
    <n v="59967.69"/>
  </r>
  <r>
    <x v="1"/>
    <n v="12"/>
    <d v="2024-12-02T00:00:00"/>
    <x v="481"/>
    <x v="0"/>
    <x v="0"/>
    <x v="416"/>
    <n v="145.86000000000001"/>
    <x v="416"/>
    <n v="145.86000000000001"/>
    <n v="4244.83"/>
  </r>
  <r>
    <x v="1"/>
    <n v="10"/>
    <d v="2024-10-31T00:00:00"/>
    <x v="482"/>
    <x v="0"/>
    <x v="0"/>
    <x v="417"/>
    <n v="144.49"/>
    <x v="417"/>
    <n v="144.49"/>
    <n v="72199.31"/>
  </r>
  <r>
    <x v="0"/>
    <n v="1"/>
    <d v="2025-01-02T00:00:00"/>
    <x v="483"/>
    <x v="0"/>
    <x v="0"/>
    <x v="418"/>
    <n v="142"/>
    <x v="418"/>
    <n v="142"/>
    <n v="150844.17000000001"/>
  </r>
  <r>
    <x v="1"/>
    <n v="3"/>
    <d v="2024-03-11T00:00:00"/>
    <x v="484"/>
    <x v="0"/>
    <x v="0"/>
    <x v="419"/>
    <n v="141.26"/>
    <x v="419"/>
    <n v="141.26"/>
    <n v="27036.66"/>
  </r>
  <r>
    <x v="2"/>
    <n v="11"/>
    <d v="2023-11-22T00:00:00"/>
    <x v="485"/>
    <x v="0"/>
    <x v="0"/>
    <x v="420"/>
    <n v="140.38"/>
    <x v="420"/>
    <n v="140.38"/>
    <n v="35475.599999999999"/>
  </r>
  <r>
    <x v="1"/>
    <n v="10"/>
    <d v="2024-10-23T00:00:00"/>
    <x v="486"/>
    <x v="0"/>
    <x v="0"/>
    <x v="421"/>
    <n v="139.99"/>
    <x v="421"/>
    <n v="139.99"/>
    <n v="72272.740000000005"/>
  </r>
  <r>
    <x v="1"/>
    <n v="11"/>
    <d v="2024-11-08T00:00:00"/>
    <x v="487"/>
    <x v="0"/>
    <x v="0"/>
    <x v="421"/>
    <n v="139.99"/>
    <x v="421"/>
    <n v="139.99"/>
    <n v="40360.57"/>
  </r>
  <r>
    <x v="1"/>
    <n v="5"/>
    <d v="2024-05-28T00:00:00"/>
    <x v="488"/>
    <x v="0"/>
    <x v="0"/>
    <x v="422"/>
    <n v="139.56"/>
    <x v="422"/>
    <n v="139.56"/>
    <n v="27815.79"/>
  </r>
  <r>
    <x v="0"/>
    <n v="1"/>
    <d v="2025-01-07T00:00:00"/>
    <x v="135"/>
    <x v="0"/>
    <x v="0"/>
    <x v="423"/>
    <n v="138.26"/>
    <x v="423"/>
    <n v="138.26"/>
    <n v="86651.1"/>
  </r>
  <r>
    <x v="1"/>
    <n v="11"/>
    <d v="2024-11-01T00:00:00"/>
    <x v="489"/>
    <x v="0"/>
    <x v="0"/>
    <x v="424"/>
    <n v="135.28"/>
    <x v="424"/>
    <n v="135.28"/>
    <n v="30172.12"/>
  </r>
  <r>
    <x v="1"/>
    <n v="1"/>
    <d v="2024-01-17T00:00:00"/>
    <x v="490"/>
    <x v="0"/>
    <x v="0"/>
    <x v="425"/>
    <n v="135"/>
    <x v="425"/>
    <n v="135"/>
    <n v="19369.84"/>
  </r>
  <r>
    <x v="1"/>
    <n v="6"/>
    <d v="2024-06-03T00:00:00"/>
    <x v="491"/>
    <x v="0"/>
    <x v="0"/>
    <x v="426"/>
    <n v="134.83000000000001"/>
    <x v="426"/>
    <n v="134.83000000000001"/>
    <n v="10760.15"/>
  </r>
  <r>
    <x v="1"/>
    <n v="9"/>
    <d v="2024-09-03T00:00:00"/>
    <x v="492"/>
    <x v="0"/>
    <x v="0"/>
    <x v="427"/>
    <n v="133.94"/>
    <x v="427"/>
    <n v="133.94"/>
    <n v="76382.48"/>
  </r>
  <r>
    <x v="1"/>
    <n v="11"/>
    <d v="2024-11-15T00:00:00"/>
    <x v="493"/>
    <x v="0"/>
    <x v="0"/>
    <x v="428"/>
    <n v="133.37"/>
    <x v="428"/>
    <n v="133.37"/>
    <n v="5090.17"/>
  </r>
  <r>
    <x v="2"/>
    <n v="10"/>
    <d v="2023-10-06T00:00:00"/>
    <x v="494"/>
    <x v="0"/>
    <x v="0"/>
    <x v="429"/>
    <n v="133.13"/>
    <x v="429"/>
    <n v="133.13"/>
    <n v="4874.7299999999996"/>
  </r>
  <r>
    <x v="1"/>
    <n v="4"/>
    <d v="2024-04-22T00:00:00"/>
    <x v="495"/>
    <x v="0"/>
    <x v="0"/>
    <x v="430"/>
    <n v="132.56"/>
    <x v="430"/>
    <n v="132.56"/>
    <n v="13558.58"/>
  </r>
  <r>
    <x v="1"/>
    <n v="1"/>
    <d v="2024-01-22T00:00:00"/>
    <x v="496"/>
    <x v="0"/>
    <x v="0"/>
    <x v="431"/>
    <n v="132.44"/>
    <x v="431"/>
    <n v="132.44"/>
    <n v="18002.87"/>
  </r>
  <r>
    <x v="1"/>
    <n v="6"/>
    <d v="2024-06-28T00:00:00"/>
    <x v="497"/>
    <x v="0"/>
    <x v="0"/>
    <x v="432"/>
    <n v="130.80000000000001"/>
    <x v="432"/>
    <n v="130.80000000000001"/>
    <n v="65304.91"/>
  </r>
  <r>
    <x v="1"/>
    <n v="11"/>
    <d v="2024-11-06T00:00:00"/>
    <x v="498"/>
    <x v="0"/>
    <x v="0"/>
    <x v="433"/>
    <n v="130.72"/>
    <x v="433"/>
    <n v="130.72"/>
    <n v="40542.61"/>
  </r>
  <r>
    <x v="1"/>
    <n v="7"/>
    <d v="2024-07-02T00:00:00"/>
    <x v="499"/>
    <x v="0"/>
    <x v="0"/>
    <x v="434"/>
    <n v="129.36000000000001"/>
    <x v="434"/>
    <n v="129.36000000000001"/>
    <n v="72848.759999999995"/>
  </r>
  <r>
    <x v="1"/>
    <n v="8"/>
    <d v="2024-08-19T00:00:00"/>
    <x v="500"/>
    <x v="0"/>
    <x v="0"/>
    <x v="435"/>
    <n v="127.59"/>
    <x v="435"/>
    <n v="127.59"/>
    <n v="71635.39"/>
  </r>
  <r>
    <x v="1"/>
    <n v="2"/>
    <d v="2024-02-05T00:00:00"/>
    <x v="501"/>
    <x v="0"/>
    <x v="0"/>
    <x v="436"/>
    <n v="126.56"/>
    <x v="436"/>
    <n v="126.56"/>
    <n v="35066.199999999997"/>
  </r>
  <r>
    <x v="1"/>
    <n v="3"/>
    <d v="2024-03-08T00:00:00"/>
    <x v="502"/>
    <x v="0"/>
    <x v="0"/>
    <x v="436"/>
    <n v="126.56"/>
    <x v="436"/>
    <n v="126.56"/>
    <n v="21625.61"/>
  </r>
  <r>
    <x v="1"/>
    <n v="4"/>
    <d v="2024-04-08T00:00:00"/>
    <x v="503"/>
    <x v="0"/>
    <x v="0"/>
    <x v="436"/>
    <n v="126.56"/>
    <x v="436"/>
    <n v="126.56"/>
    <n v="19987.78"/>
  </r>
  <r>
    <x v="1"/>
    <n v="5"/>
    <d v="2024-05-06T00:00:00"/>
    <x v="504"/>
    <x v="0"/>
    <x v="0"/>
    <x v="436"/>
    <n v="126.56"/>
    <x v="436"/>
    <n v="126.56"/>
    <n v="9480.44"/>
  </r>
  <r>
    <x v="1"/>
    <n v="6"/>
    <d v="2024-06-07T00:00:00"/>
    <x v="505"/>
    <x v="0"/>
    <x v="0"/>
    <x v="436"/>
    <n v="126.56"/>
    <x v="436"/>
    <n v="126.56"/>
    <n v="25307.84"/>
  </r>
  <r>
    <x v="1"/>
    <n v="7"/>
    <d v="2024-07-10T00:00:00"/>
    <x v="506"/>
    <x v="0"/>
    <x v="0"/>
    <x v="436"/>
    <n v="126.56"/>
    <x v="436"/>
    <n v="126.56"/>
    <n v="81477.19"/>
  </r>
  <r>
    <x v="1"/>
    <n v="8"/>
    <d v="2024-08-07T00:00:00"/>
    <x v="507"/>
    <x v="0"/>
    <x v="0"/>
    <x v="436"/>
    <n v="126.56"/>
    <x v="436"/>
    <n v="126.56"/>
    <n v="41288.06"/>
  </r>
  <r>
    <x v="1"/>
    <n v="9"/>
    <d v="2024-09-06T00:00:00"/>
    <x v="508"/>
    <x v="0"/>
    <x v="0"/>
    <x v="436"/>
    <n v="126.56"/>
    <x v="436"/>
    <n v="126.56"/>
    <n v="80116.09"/>
  </r>
  <r>
    <x v="1"/>
    <n v="10"/>
    <d v="2024-10-31T00:00:00"/>
    <x v="405"/>
    <x v="0"/>
    <x v="0"/>
    <x v="436"/>
    <n v="126.56"/>
    <x v="436"/>
    <n v="126.56"/>
    <n v="75434.34"/>
  </r>
  <r>
    <x v="1"/>
    <n v="11"/>
    <d v="2024-11-13T00:00:00"/>
    <x v="509"/>
    <x v="0"/>
    <x v="0"/>
    <x v="436"/>
    <n v="126.56"/>
    <x v="436"/>
    <n v="126.56"/>
    <n v="23912.75"/>
  </r>
  <r>
    <x v="1"/>
    <n v="1"/>
    <d v="2024-01-10T00:00:00"/>
    <x v="494"/>
    <x v="0"/>
    <x v="0"/>
    <x v="437"/>
    <n v="126.43"/>
    <x v="437"/>
    <n v="126.43"/>
    <n v="31963.94"/>
  </r>
  <r>
    <x v="1"/>
    <n v="2"/>
    <d v="2024-02-07T00:00:00"/>
    <x v="494"/>
    <x v="0"/>
    <x v="0"/>
    <x v="437"/>
    <n v="126.43"/>
    <x v="437"/>
    <n v="126.43"/>
    <n v="34641.230000000003"/>
  </r>
  <r>
    <x v="1"/>
    <n v="3"/>
    <d v="2024-03-08T00:00:00"/>
    <x v="494"/>
    <x v="0"/>
    <x v="0"/>
    <x v="437"/>
    <n v="126.43"/>
    <x v="437"/>
    <n v="126.43"/>
    <n v="20405.18"/>
  </r>
  <r>
    <x v="1"/>
    <n v="4"/>
    <d v="2024-04-08T00:00:00"/>
    <x v="494"/>
    <x v="0"/>
    <x v="0"/>
    <x v="437"/>
    <n v="126.43"/>
    <x v="437"/>
    <n v="126.43"/>
    <n v="19720.41"/>
  </r>
  <r>
    <x v="1"/>
    <n v="5"/>
    <d v="2024-05-09T00:00:00"/>
    <x v="494"/>
    <x v="0"/>
    <x v="0"/>
    <x v="437"/>
    <n v="126.43"/>
    <x v="437"/>
    <n v="126.43"/>
    <n v="7151.04"/>
  </r>
  <r>
    <x v="1"/>
    <n v="6"/>
    <d v="2024-06-10T00:00:00"/>
    <x v="494"/>
    <x v="0"/>
    <x v="0"/>
    <x v="437"/>
    <n v="126.43"/>
    <x v="437"/>
    <n v="126.43"/>
    <n v="39539.379999999997"/>
  </r>
  <r>
    <x v="1"/>
    <n v="7"/>
    <d v="2024-07-05T00:00:00"/>
    <x v="494"/>
    <x v="0"/>
    <x v="0"/>
    <x v="437"/>
    <n v="126.43"/>
    <x v="437"/>
    <n v="126.43"/>
    <n v="71538.570000000007"/>
  </r>
  <r>
    <x v="1"/>
    <n v="8"/>
    <d v="2024-08-12T00:00:00"/>
    <x v="494"/>
    <x v="0"/>
    <x v="0"/>
    <x v="437"/>
    <n v="126.43"/>
    <x v="437"/>
    <n v="126.43"/>
    <n v="25796.34"/>
  </r>
  <r>
    <x v="1"/>
    <n v="9"/>
    <d v="2024-09-09T00:00:00"/>
    <x v="494"/>
    <x v="0"/>
    <x v="0"/>
    <x v="437"/>
    <n v="126.43"/>
    <x v="437"/>
    <n v="126.43"/>
    <n v="67710.37"/>
  </r>
  <r>
    <x v="1"/>
    <n v="10"/>
    <d v="2024-10-07T00:00:00"/>
    <x v="494"/>
    <x v="0"/>
    <x v="0"/>
    <x v="437"/>
    <n v="126.43"/>
    <x v="437"/>
    <n v="126.43"/>
    <n v="69758.679999999993"/>
  </r>
  <r>
    <x v="1"/>
    <n v="11"/>
    <d v="2024-11-08T00:00:00"/>
    <x v="494"/>
    <x v="0"/>
    <x v="0"/>
    <x v="437"/>
    <n v="126.43"/>
    <x v="437"/>
    <n v="126.43"/>
    <n v="40234.14"/>
  </r>
  <r>
    <x v="1"/>
    <n v="12"/>
    <d v="2024-12-09T00:00:00"/>
    <x v="494"/>
    <x v="0"/>
    <x v="0"/>
    <x v="437"/>
    <n v="126.43"/>
    <x v="437"/>
    <n v="126.43"/>
    <n v="7352.76"/>
  </r>
  <r>
    <x v="0"/>
    <n v="1"/>
    <d v="2025-01-09T00:00:00"/>
    <x v="494"/>
    <x v="0"/>
    <x v="0"/>
    <x v="437"/>
    <n v="126.43"/>
    <x v="437"/>
    <n v="126.43"/>
    <n v="59828.3"/>
  </r>
  <r>
    <x v="0"/>
    <n v="2"/>
    <d v="2025-02-12T00:00:00"/>
    <x v="494"/>
    <x v="0"/>
    <x v="0"/>
    <x v="437"/>
    <n v="126.43"/>
    <x v="437"/>
    <n v="126.43"/>
    <n v="61343.62"/>
  </r>
  <r>
    <x v="1"/>
    <n v="9"/>
    <d v="2024-09-27T00:00:00"/>
    <x v="510"/>
    <x v="0"/>
    <x v="0"/>
    <x v="438"/>
    <n v="126"/>
    <x v="438"/>
    <n v="126"/>
    <n v="76541.600000000006"/>
  </r>
  <r>
    <x v="1"/>
    <n v="9"/>
    <d v="2024-09-06T00:00:00"/>
    <x v="511"/>
    <x v="0"/>
    <x v="0"/>
    <x v="439"/>
    <n v="124.78"/>
    <x v="439"/>
    <n v="124.78"/>
    <n v="48702.81"/>
  </r>
  <r>
    <x v="1"/>
    <n v="5"/>
    <d v="2024-05-02T00:00:00"/>
    <x v="512"/>
    <x v="0"/>
    <x v="0"/>
    <x v="440"/>
    <n v="123.29"/>
    <x v="440"/>
    <n v="123.29"/>
    <n v="27294.21"/>
  </r>
  <r>
    <x v="1"/>
    <n v="7"/>
    <d v="2024-07-12T00:00:00"/>
    <x v="513"/>
    <x v="0"/>
    <x v="0"/>
    <x v="441"/>
    <n v="122.65"/>
    <x v="441"/>
    <n v="122.65"/>
    <n v="58817.63"/>
  </r>
  <r>
    <x v="1"/>
    <n v="2"/>
    <d v="2024-02-08T00:00:00"/>
    <x v="514"/>
    <x v="0"/>
    <x v="0"/>
    <x v="442"/>
    <n v="121.14"/>
    <x v="442"/>
    <n v="121.14"/>
    <n v="34520.089999999997"/>
  </r>
  <r>
    <x v="1"/>
    <n v="9"/>
    <d v="2024-09-06T00:00:00"/>
    <x v="515"/>
    <x v="0"/>
    <x v="0"/>
    <x v="443"/>
    <n v="119.14"/>
    <x v="443"/>
    <n v="119.14"/>
    <n v="79996.95"/>
  </r>
  <r>
    <x v="1"/>
    <n v="7"/>
    <d v="2024-07-02T00:00:00"/>
    <x v="516"/>
    <x v="0"/>
    <x v="0"/>
    <x v="444"/>
    <n v="119"/>
    <x v="444"/>
    <n v="119"/>
    <n v="71956.259999999995"/>
  </r>
  <r>
    <x v="1"/>
    <n v="8"/>
    <d v="2024-08-06T00:00:00"/>
    <x v="517"/>
    <x v="0"/>
    <x v="0"/>
    <x v="445"/>
    <n v="118.95"/>
    <x v="445"/>
    <n v="118.95"/>
    <n v="41682.69"/>
  </r>
  <r>
    <x v="2"/>
    <n v="12"/>
    <d v="2023-12-06T00:00:00"/>
    <x v="518"/>
    <x v="0"/>
    <x v="0"/>
    <x v="446"/>
    <n v="118.41"/>
    <x v="446"/>
    <n v="118.41"/>
    <n v="19058.580000000002"/>
  </r>
  <r>
    <x v="1"/>
    <n v="1"/>
    <d v="2024-01-05T00:00:00"/>
    <x v="519"/>
    <x v="0"/>
    <x v="0"/>
    <x v="446"/>
    <n v="118.41"/>
    <x v="446"/>
    <n v="118.41"/>
    <n v="50937"/>
  </r>
  <r>
    <x v="1"/>
    <n v="3"/>
    <d v="2024-03-11T00:00:00"/>
    <x v="520"/>
    <x v="0"/>
    <x v="0"/>
    <x v="447"/>
    <n v="118.1"/>
    <x v="447"/>
    <n v="118.1"/>
    <n v="27543.86"/>
  </r>
  <r>
    <x v="1"/>
    <n v="3"/>
    <d v="2024-03-28T00:00:00"/>
    <x v="521"/>
    <x v="0"/>
    <x v="0"/>
    <x v="448"/>
    <n v="116.96"/>
    <x v="448"/>
    <n v="116.96"/>
    <n v="22575.279999999999"/>
  </r>
  <r>
    <x v="1"/>
    <n v="3"/>
    <d v="2024-03-08T00:00:00"/>
    <x v="522"/>
    <x v="0"/>
    <x v="0"/>
    <x v="449"/>
    <n v="115.22"/>
    <x v="449"/>
    <n v="115.22"/>
    <n v="20289.96"/>
  </r>
  <r>
    <x v="2"/>
    <n v="9"/>
    <d v="2023-09-26T00:00:00"/>
    <x v="523"/>
    <x v="0"/>
    <x v="0"/>
    <x v="450"/>
    <n v="114.22"/>
    <x v="450"/>
    <n v="114.22"/>
    <n v="23475.94"/>
  </r>
  <r>
    <x v="1"/>
    <n v="1"/>
    <d v="2024-01-02T00:00:00"/>
    <x v="524"/>
    <x v="0"/>
    <x v="0"/>
    <x v="451"/>
    <n v="114.17"/>
    <x v="451"/>
    <n v="114.17"/>
    <n v="33508.06"/>
  </r>
  <r>
    <x v="1"/>
    <n v="7"/>
    <d v="2024-07-01T00:00:00"/>
    <x v="525"/>
    <x v="0"/>
    <x v="0"/>
    <x v="452"/>
    <n v="114.05"/>
    <x v="452"/>
    <n v="114.05"/>
    <n v="67655.740000000005"/>
  </r>
  <r>
    <x v="2"/>
    <n v="10"/>
    <d v="2023-10-27T00:00:00"/>
    <x v="526"/>
    <x v="0"/>
    <x v="0"/>
    <x v="453"/>
    <n v="112.96"/>
    <x v="453"/>
    <n v="112.96"/>
    <n v="37561.61"/>
  </r>
  <r>
    <x v="1"/>
    <n v="5"/>
    <d v="2024-05-13T00:00:00"/>
    <x v="527"/>
    <x v="0"/>
    <x v="0"/>
    <x v="454"/>
    <n v="112.6"/>
    <x v="454"/>
    <n v="112.6"/>
    <n v="8725.07"/>
  </r>
  <r>
    <x v="1"/>
    <n v="5"/>
    <d v="2024-05-15T00:00:00"/>
    <x v="528"/>
    <x v="0"/>
    <x v="0"/>
    <x v="455"/>
    <n v="108.43"/>
    <x v="455"/>
    <n v="108.43"/>
    <n v="25566.639999999999"/>
  </r>
  <r>
    <x v="1"/>
    <n v="11"/>
    <d v="2024-11-29T00:00:00"/>
    <x v="529"/>
    <x v="0"/>
    <x v="0"/>
    <x v="456"/>
    <n v="107.4"/>
    <x v="456"/>
    <n v="107.4"/>
    <n v="19591.580000000002"/>
  </r>
  <r>
    <x v="1"/>
    <n v="11"/>
    <d v="2024-11-25T00:00:00"/>
    <x v="530"/>
    <x v="0"/>
    <x v="0"/>
    <x v="457"/>
    <n v="106.93"/>
    <x v="457"/>
    <n v="106.93"/>
    <n v="11964.5"/>
  </r>
  <r>
    <x v="1"/>
    <n v="9"/>
    <d v="2024-09-16T00:00:00"/>
    <x v="531"/>
    <x v="0"/>
    <x v="0"/>
    <x v="458"/>
    <n v="106.24"/>
    <x v="458"/>
    <n v="106.24"/>
    <n v="87403.46"/>
  </r>
  <r>
    <x v="1"/>
    <n v="11"/>
    <d v="2024-11-22T00:00:00"/>
    <x v="532"/>
    <x v="0"/>
    <x v="0"/>
    <x v="458"/>
    <n v="106.24"/>
    <x v="458"/>
    <n v="106.24"/>
    <n v="5108.99"/>
  </r>
  <r>
    <x v="0"/>
    <n v="1"/>
    <d v="2025-01-03T00:00:00"/>
    <x v="533"/>
    <x v="0"/>
    <x v="0"/>
    <x v="459"/>
    <n v="106.2"/>
    <x v="459"/>
    <n v="106.2"/>
    <n v="59861.49"/>
  </r>
  <r>
    <x v="2"/>
    <n v="10"/>
    <d v="2023-10-05T00:00:00"/>
    <x v="534"/>
    <x v="0"/>
    <x v="0"/>
    <x v="460"/>
    <n v="105.77"/>
    <x v="460"/>
    <n v="105.77"/>
    <n v="11830.59"/>
  </r>
  <r>
    <x v="1"/>
    <n v="9"/>
    <d v="2024-09-03T00:00:00"/>
    <x v="535"/>
    <x v="0"/>
    <x v="0"/>
    <x v="461"/>
    <n v="105.29"/>
    <x v="461"/>
    <n v="105.29"/>
    <n v="71152.350000000006"/>
  </r>
  <r>
    <x v="1"/>
    <n v="10"/>
    <d v="2024-10-31T00:00:00"/>
    <x v="405"/>
    <x v="0"/>
    <x v="0"/>
    <x v="462"/>
    <n v="105.19"/>
    <x v="462"/>
    <n v="105.19"/>
    <n v="75560.899999999994"/>
  </r>
  <r>
    <x v="1"/>
    <n v="3"/>
    <d v="2024-03-13T00:00:00"/>
    <x v="536"/>
    <x v="0"/>
    <x v="0"/>
    <x v="463"/>
    <n v="103.7"/>
    <x v="463"/>
    <n v="103.7"/>
    <n v="26432.959999999999"/>
  </r>
  <r>
    <x v="1"/>
    <n v="9"/>
    <d v="2024-09-05T00:00:00"/>
    <x v="537"/>
    <x v="0"/>
    <x v="0"/>
    <x v="464"/>
    <n v="100"/>
    <x v="464"/>
    <n v="100"/>
    <n v="80179.11"/>
  </r>
  <r>
    <x v="1"/>
    <n v="10"/>
    <d v="2024-10-15T00:00:00"/>
    <x v="538"/>
    <x v="0"/>
    <x v="0"/>
    <x v="464"/>
    <n v="100"/>
    <x v="464"/>
    <n v="100"/>
    <n v="99892.52"/>
  </r>
  <r>
    <x v="1"/>
    <n v="10"/>
    <d v="2024-10-15T00:00:00"/>
    <x v="539"/>
    <x v="0"/>
    <x v="0"/>
    <x v="464"/>
    <n v="100"/>
    <x v="464"/>
    <n v="100"/>
    <n v="98248.76"/>
  </r>
  <r>
    <x v="2"/>
    <n v="11"/>
    <d v="2023-11-08T00:00:00"/>
    <x v="494"/>
    <x v="0"/>
    <x v="0"/>
    <x v="465"/>
    <n v="99.86"/>
    <x v="465"/>
    <n v="99.86"/>
    <n v="41678.94"/>
  </r>
  <r>
    <x v="2"/>
    <n v="12"/>
    <d v="2023-12-08T00:00:00"/>
    <x v="494"/>
    <x v="0"/>
    <x v="0"/>
    <x v="465"/>
    <n v="99.86"/>
    <x v="465"/>
    <n v="99.86"/>
    <n v="18600.68"/>
  </r>
  <r>
    <x v="0"/>
    <n v="2"/>
    <d v="2025-02-19T00:00:00"/>
    <x v="540"/>
    <x v="0"/>
    <x v="0"/>
    <x v="466"/>
    <n v="99.48"/>
    <x v="466"/>
    <n v="99.48"/>
    <n v="57123.5"/>
  </r>
  <r>
    <x v="1"/>
    <n v="6"/>
    <d v="2024-06-14T00:00:00"/>
    <x v="541"/>
    <x v="0"/>
    <x v="0"/>
    <x v="467"/>
    <n v="98.99"/>
    <x v="467"/>
    <n v="98.99"/>
    <n v="19855.55"/>
  </r>
  <r>
    <x v="1"/>
    <n v="6"/>
    <d v="2024-06-03T00:00:00"/>
    <x v="542"/>
    <x v="0"/>
    <x v="0"/>
    <x v="468"/>
    <n v="98.32"/>
    <x v="468"/>
    <n v="98.32"/>
    <n v="10917.93"/>
  </r>
  <r>
    <x v="1"/>
    <n v="6"/>
    <d v="2024-06-17T00:00:00"/>
    <x v="543"/>
    <x v="0"/>
    <x v="0"/>
    <x v="469"/>
    <n v="98.09"/>
    <x v="469"/>
    <n v="98.09"/>
    <n v="34899.46"/>
  </r>
  <r>
    <x v="1"/>
    <n v="5"/>
    <d v="2024-05-31T00:00:00"/>
    <x v="544"/>
    <x v="0"/>
    <x v="0"/>
    <x v="470"/>
    <n v="95.67"/>
    <x v="470"/>
    <n v="95.67"/>
    <n v="11016.25"/>
  </r>
  <r>
    <x v="1"/>
    <n v="10"/>
    <d v="2024-10-03T00:00:00"/>
    <x v="545"/>
    <x v="0"/>
    <x v="0"/>
    <x v="471"/>
    <n v="95.42"/>
    <x v="471"/>
    <n v="95.42"/>
    <n v="88215.82"/>
  </r>
  <r>
    <x v="1"/>
    <n v="8"/>
    <d v="2024-08-13T00:00:00"/>
    <x v="546"/>
    <x v="0"/>
    <x v="0"/>
    <x v="472"/>
    <n v="94.92"/>
    <x v="472"/>
    <n v="94.92"/>
    <n v="41449.42"/>
  </r>
  <r>
    <x v="1"/>
    <n v="5"/>
    <d v="2024-05-17T00:00:00"/>
    <x v="547"/>
    <x v="0"/>
    <x v="0"/>
    <x v="473"/>
    <n v="93.94"/>
    <x v="473"/>
    <n v="93.94"/>
    <n v="8039.5"/>
  </r>
  <r>
    <x v="1"/>
    <n v="1"/>
    <d v="2024-01-29T00:00:00"/>
    <x v="548"/>
    <x v="0"/>
    <x v="0"/>
    <x v="474"/>
    <n v="93.46"/>
    <x v="474"/>
    <n v="93.46"/>
    <n v="26483.96"/>
  </r>
  <r>
    <x v="1"/>
    <n v="7"/>
    <d v="2024-07-26T00:00:00"/>
    <x v="549"/>
    <x v="0"/>
    <x v="0"/>
    <x v="475"/>
    <n v="92.54"/>
    <x v="475"/>
    <n v="92.54"/>
    <n v="19364.05"/>
  </r>
  <r>
    <x v="1"/>
    <n v="9"/>
    <d v="2024-09-20T00:00:00"/>
    <x v="550"/>
    <x v="0"/>
    <x v="0"/>
    <x v="476"/>
    <n v="91.57"/>
    <x v="476"/>
    <n v="91.57"/>
    <n v="56512.22"/>
  </r>
  <r>
    <x v="1"/>
    <n v="6"/>
    <d v="2024-06-28T00:00:00"/>
    <x v="551"/>
    <x v="0"/>
    <x v="0"/>
    <x v="477"/>
    <n v="91.46"/>
    <x v="477"/>
    <n v="91.46"/>
    <n v="63264.79"/>
  </r>
  <r>
    <x v="1"/>
    <n v="9"/>
    <d v="2024-09-30T00:00:00"/>
    <x v="552"/>
    <x v="0"/>
    <x v="0"/>
    <x v="478"/>
    <n v="91.44"/>
    <x v="478"/>
    <n v="91.44"/>
    <n v="94136.95"/>
  </r>
  <r>
    <x v="0"/>
    <n v="2"/>
    <d v="2025-02-19T00:00:00"/>
    <x v="553"/>
    <x v="0"/>
    <x v="0"/>
    <x v="479"/>
    <n v="88.75"/>
    <x v="479"/>
    <n v="88.75"/>
    <n v="55792.94"/>
  </r>
  <r>
    <x v="1"/>
    <n v="3"/>
    <d v="2024-03-22T00:00:00"/>
    <x v="554"/>
    <x v="0"/>
    <x v="0"/>
    <x v="480"/>
    <n v="87.82"/>
    <x v="480"/>
    <n v="87.82"/>
    <n v="4781.0200000000004"/>
  </r>
  <r>
    <x v="1"/>
    <n v="3"/>
    <d v="2024-03-28T00:00:00"/>
    <x v="555"/>
    <x v="0"/>
    <x v="0"/>
    <x v="481"/>
    <n v="86.92"/>
    <x v="481"/>
    <n v="86.92"/>
    <n v="22479.86"/>
  </r>
  <r>
    <x v="2"/>
    <n v="11"/>
    <d v="2023-11-30T00:00:00"/>
    <x v="556"/>
    <x v="0"/>
    <x v="0"/>
    <x v="482"/>
    <n v="85.75"/>
    <x v="482"/>
    <n v="85.75"/>
    <n v="33369.129999999997"/>
  </r>
  <r>
    <x v="1"/>
    <n v="4"/>
    <d v="2024-04-08T00:00:00"/>
    <x v="557"/>
    <x v="0"/>
    <x v="0"/>
    <x v="483"/>
    <n v="85.08"/>
    <x v="483"/>
    <n v="85.08"/>
    <n v="19902.7"/>
  </r>
  <r>
    <x v="1"/>
    <n v="11"/>
    <d v="2024-11-22T00:00:00"/>
    <x v="558"/>
    <x v="0"/>
    <x v="0"/>
    <x v="484"/>
    <n v="85.06"/>
    <x v="484"/>
    <n v="85.06"/>
    <n v="5023.93"/>
  </r>
  <r>
    <x v="1"/>
    <n v="10"/>
    <d v="2024-10-18T00:00:00"/>
    <x v="559"/>
    <x v="0"/>
    <x v="0"/>
    <x v="485"/>
    <n v="85.05"/>
    <x v="485"/>
    <n v="85.05"/>
    <n v="96447.83"/>
  </r>
  <r>
    <x v="1"/>
    <n v="7"/>
    <d v="2024-07-18T00:00:00"/>
    <x v="560"/>
    <x v="0"/>
    <x v="0"/>
    <x v="486"/>
    <n v="82.6"/>
    <x v="486"/>
    <n v="82.6"/>
    <n v="51141.38"/>
  </r>
  <r>
    <x v="1"/>
    <n v="9"/>
    <d v="2024-09-16T00:00:00"/>
    <x v="561"/>
    <x v="0"/>
    <x v="0"/>
    <x v="487"/>
    <n v="82.53"/>
    <x v="487"/>
    <n v="82.53"/>
    <n v="87320.93"/>
  </r>
  <r>
    <x v="1"/>
    <n v="11"/>
    <d v="2024-11-12T00:00:00"/>
    <x v="562"/>
    <x v="0"/>
    <x v="0"/>
    <x v="488"/>
    <n v="82.3"/>
    <x v="488"/>
    <n v="82.3"/>
    <n v="50137.88"/>
  </r>
  <r>
    <x v="0"/>
    <n v="2"/>
    <d v="2025-02-18T00:00:00"/>
    <x v="563"/>
    <x v="0"/>
    <x v="0"/>
    <x v="489"/>
    <n v="81.67"/>
    <x v="489"/>
    <n v="81.67"/>
    <n v="64241.45"/>
  </r>
  <r>
    <x v="1"/>
    <n v="6"/>
    <d v="2024-06-04T00:00:00"/>
    <x v="564"/>
    <x v="0"/>
    <x v="0"/>
    <x v="490"/>
    <n v="81.52"/>
    <x v="490"/>
    <n v="81.52"/>
    <n v="25879.26"/>
  </r>
  <r>
    <x v="1"/>
    <n v="5"/>
    <d v="2024-05-09T00:00:00"/>
    <x v="565"/>
    <x v="0"/>
    <x v="0"/>
    <x v="491"/>
    <n v="80.150000000000006"/>
    <x v="491"/>
    <n v="80.150000000000006"/>
    <n v="7277.47"/>
  </r>
  <r>
    <x v="1"/>
    <n v="2"/>
    <d v="2024-02-27T00:00:00"/>
    <x v="176"/>
    <x v="0"/>
    <x v="0"/>
    <x v="492"/>
    <n v="80.040000000000006"/>
    <x v="492"/>
    <n v="80.040000000000006"/>
    <n v="24166.15"/>
  </r>
  <r>
    <x v="1"/>
    <n v="9"/>
    <d v="2024-09-09T00:00:00"/>
    <x v="566"/>
    <x v="0"/>
    <x v="0"/>
    <x v="493"/>
    <n v="79"/>
    <x v="493"/>
    <n v="79"/>
    <n v="67927.240000000005"/>
  </r>
  <r>
    <x v="1"/>
    <n v="7"/>
    <d v="2024-07-29T00:00:00"/>
    <x v="567"/>
    <x v="0"/>
    <x v="0"/>
    <x v="494"/>
    <n v="78.680000000000007"/>
    <x v="494"/>
    <n v="78.680000000000007"/>
    <n v="30544.69"/>
  </r>
  <r>
    <x v="1"/>
    <n v="4"/>
    <d v="2024-04-04T00:00:00"/>
    <x v="568"/>
    <x v="0"/>
    <x v="0"/>
    <x v="495"/>
    <n v="76.81"/>
    <x v="495"/>
    <n v="76.81"/>
    <n v="34393.25"/>
  </r>
  <r>
    <x v="1"/>
    <n v="5"/>
    <d v="2024-05-03T00:00:00"/>
    <x v="569"/>
    <x v="0"/>
    <x v="0"/>
    <x v="496"/>
    <n v="76.77"/>
    <x v="496"/>
    <n v="76.77"/>
    <n v="4946.47"/>
  </r>
  <r>
    <x v="1"/>
    <n v="3"/>
    <d v="2024-03-28T00:00:00"/>
    <x v="570"/>
    <x v="0"/>
    <x v="0"/>
    <x v="497"/>
    <n v="76.56"/>
    <x v="497"/>
    <n v="76.56"/>
    <n v="22692.240000000002"/>
  </r>
  <r>
    <x v="1"/>
    <n v="3"/>
    <d v="2024-03-19T00:00:00"/>
    <x v="571"/>
    <x v="0"/>
    <x v="0"/>
    <x v="498"/>
    <n v="76.040000000000006"/>
    <x v="498"/>
    <n v="76.040000000000006"/>
    <n v="27707.759999999998"/>
  </r>
  <r>
    <x v="1"/>
    <n v="4"/>
    <d v="2024-04-19T00:00:00"/>
    <x v="572"/>
    <x v="0"/>
    <x v="0"/>
    <x v="499"/>
    <n v="75.680000000000007"/>
    <x v="499"/>
    <n v="75.680000000000007"/>
    <n v="8524.51"/>
  </r>
  <r>
    <x v="1"/>
    <n v="4"/>
    <d v="2024-04-05T00:00:00"/>
    <x v="573"/>
    <x v="0"/>
    <x v="0"/>
    <x v="500"/>
    <n v="75.510000000000005"/>
    <x v="500"/>
    <n v="75.510000000000005"/>
    <n v="12084.34"/>
  </r>
  <r>
    <x v="1"/>
    <n v="10"/>
    <d v="2024-10-30T00:00:00"/>
    <x v="574"/>
    <x v="0"/>
    <x v="0"/>
    <x v="501"/>
    <n v="74.36"/>
    <x v="501"/>
    <n v="74.36"/>
    <n v="77521.91"/>
  </r>
  <r>
    <x v="1"/>
    <n v="10"/>
    <d v="2024-10-09T00:00:00"/>
    <x v="575"/>
    <x v="0"/>
    <x v="0"/>
    <x v="502"/>
    <n v="73.64"/>
    <x v="502"/>
    <n v="73.64"/>
    <n v="66696.639999999999"/>
  </r>
  <r>
    <x v="2"/>
    <n v="11"/>
    <d v="2023-11-09T00:00:00"/>
    <x v="576"/>
    <x v="0"/>
    <x v="0"/>
    <x v="503"/>
    <n v="71.010000000000005"/>
    <x v="503"/>
    <n v="71.010000000000005"/>
    <n v="41607.93"/>
  </r>
  <r>
    <x v="2"/>
    <n v="12"/>
    <d v="2023-12-20T00:00:00"/>
    <x v="577"/>
    <x v="0"/>
    <x v="0"/>
    <x v="504"/>
    <n v="70.319999999999993"/>
    <x v="504"/>
    <n v="70.319999999999993"/>
    <n v="40656.839999999997"/>
  </r>
  <r>
    <x v="1"/>
    <n v="1"/>
    <d v="2024-01-16T00:00:00"/>
    <x v="578"/>
    <x v="0"/>
    <x v="0"/>
    <x v="504"/>
    <n v="70.319999999999993"/>
    <x v="504"/>
    <n v="70.319999999999993"/>
    <n v="20310.560000000001"/>
  </r>
  <r>
    <x v="1"/>
    <n v="4"/>
    <d v="2024-04-02T00:00:00"/>
    <x v="579"/>
    <x v="0"/>
    <x v="0"/>
    <x v="505"/>
    <n v="68.05"/>
    <x v="505"/>
    <n v="68.05"/>
    <n v="34806.81"/>
  </r>
  <r>
    <x v="1"/>
    <n v="6"/>
    <d v="2024-06-20T00:00:00"/>
    <x v="580"/>
    <x v="0"/>
    <x v="0"/>
    <x v="506"/>
    <n v="67.86"/>
    <x v="506"/>
    <n v="67.86"/>
    <n v="55825.599999999999"/>
  </r>
  <r>
    <x v="2"/>
    <n v="11"/>
    <d v="2023-11-20T00:00:00"/>
    <x v="581"/>
    <x v="0"/>
    <x v="0"/>
    <x v="507"/>
    <n v="67.55"/>
    <x v="507"/>
    <n v="67.55"/>
    <n v="24574.720000000001"/>
  </r>
  <r>
    <x v="1"/>
    <n v="11"/>
    <d v="2024-11-05T00:00:00"/>
    <x v="582"/>
    <x v="0"/>
    <x v="0"/>
    <x v="508"/>
    <n v="66.930000000000007"/>
    <x v="508"/>
    <n v="66.930000000000007"/>
    <n v="40673.33"/>
  </r>
  <r>
    <x v="2"/>
    <n v="10"/>
    <d v="2023-10-13T00:00:00"/>
    <x v="583"/>
    <x v="0"/>
    <x v="0"/>
    <x v="509"/>
    <n v="66.459999999999994"/>
    <x v="509"/>
    <n v="66.459999999999994"/>
    <n v="13929.79"/>
  </r>
  <r>
    <x v="1"/>
    <n v="5"/>
    <d v="2024-05-23T00:00:00"/>
    <x v="584"/>
    <x v="0"/>
    <x v="0"/>
    <x v="510"/>
    <n v="64.52"/>
    <x v="510"/>
    <n v="64.52"/>
    <n v="18506.61"/>
  </r>
  <r>
    <x v="1"/>
    <n v="10"/>
    <d v="2024-10-21T00:00:00"/>
    <x v="585"/>
    <x v="0"/>
    <x v="0"/>
    <x v="511"/>
    <n v="63.22"/>
    <x v="511"/>
    <n v="63.22"/>
    <n v="72485.039999999994"/>
  </r>
  <r>
    <x v="1"/>
    <n v="8"/>
    <d v="2024-08-02T00:00:00"/>
    <x v="586"/>
    <x v="0"/>
    <x v="0"/>
    <x v="512"/>
    <n v="61.23"/>
    <x v="512"/>
    <n v="61.23"/>
    <n v="45686.15"/>
  </r>
  <r>
    <x v="2"/>
    <n v="12"/>
    <d v="2023-12-20T00:00:00"/>
    <x v="587"/>
    <x v="0"/>
    <x v="0"/>
    <x v="513"/>
    <n v="59.88"/>
    <x v="513"/>
    <n v="59.88"/>
    <n v="40727.160000000003"/>
  </r>
  <r>
    <x v="2"/>
    <n v="10"/>
    <d v="2023-10-04T00:00:00"/>
    <x v="588"/>
    <x v="0"/>
    <x v="0"/>
    <x v="514"/>
    <n v="59"/>
    <x v="514"/>
    <n v="59"/>
    <n v="13454.9"/>
  </r>
  <r>
    <x v="2"/>
    <n v="11"/>
    <d v="2023-11-01T00:00:00"/>
    <x v="589"/>
    <x v="0"/>
    <x v="0"/>
    <x v="514"/>
    <n v="59"/>
    <x v="514"/>
    <n v="59"/>
    <n v="24564.54"/>
  </r>
  <r>
    <x v="1"/>
    <n v="7"/>
    <d v="2024-07-22T00:00:00"/>
    <x v="590"/>
    <x v="0"/>
    <x v="0"/>
    <x v="515"/>
    <n v="58.78"/>
    <x v="515"/>
    <n v="58.78"/>
    <n v="51783.48"/>
  </r>
  <r>
    <x v="1"/>
    <n v="9"/>
    <d v="2024-09-18T00:00:00"/>
    <x v="591"/>
    <x v="0"/>
    <x v="0"/>
    <x v="516"/>
    <n v="57.1"/>
    <x v="516"/>
    <n v="57.1"/>
    <n v="85473.16"/>
  </r>
  <r>
    <x v="1"/>
    <n v="1"/>
    <d v="2024-01-08T00:00:00"/>
    <x v="592"/>
    <x v="0"/>
    <x v="0"/>
    <x v="517"/>
    <n v="55.86"/>
    <x v="517"/>
    <n v="55.86"/>
    <n v="50471.42"/>
  </r>
  <r>
    <x v="1"/>
    <n v="2"/>
    <d v="2024-02-08T00:00:00"/>
    <x v="593"/>
    <x v="0"/>
    <x v="0"/>
    <x v="517"/>
    <n v="55.86"/>
    <x v="517"/>
    <n v="55.86"/>
    <n v="34432.17"/>
  </r>
  <r>
    <x v="1"/>
    <n v="3"/>
    <d v="2024-03-08T00:00:00"/>
    <x v="594"/>
    <x v="0"/>
    <x v="0"/>
    <x v="517"/>
    <n v="55.86"/>
    <x v="517"/>
    <n v="55.86"/>
    <n v="21569.75"/>
  </r>
  <r>
    <x v="1"/>
    <n v="4"/>
    <d v="2024-04-08T00:00:00"/>
    <x v="595"/>
    <x v="0"/>
    <x v="0"/>
    <x v="517"/>
    <n v="55.86"/>
    <x v="517"/>
    <n v="55.86"/>
    <n v="19846.84"/>
  </r>
  <r>
    <x v="1"/>
    <n v="4"/>
    <d v="2024-04-24T00:00:00"/>
    <x v="596"/>
    <x v="0"/>
    <x v="0"/>
    <x v="517"/>
    <n v="55.86"/>
    <x v="517"/>
    <n v="55.86"/>
    <n v="12138.05"/>
  </r>
  <r>
    <x v="1"/>
    <n v="5"/>
    <d v="2024-05-08T00:00:00"/>
    <x v="597"/>
    <x v="0"/>
    <x v="0"/>
    <x v="517"/>
    <n v="55.86"/>
    <x v="517"/>
    <n v="55.86"/>
    <n v="7357.62"/>
  </r>
  <r>
    <x v="1"/>
    <n v="6"/>
    <d v="2024-06-10T00:00:00"/>
    <x v="598"/>
    <x v="0"/>
    <x v="0"/>
    <x v="517"/>
    <n v="55.86"/>
    <x v="517"/>
    <n v="55.86"/>
    <n v="39709.980000000003"/>
  </r>
  <r>
    <x v="1"/>
    <n v="7"/>
    <d v="2024-07-08T00:00:00"/>
    <x v="599"/>
    <x v="0"/>
    <x v="0"/>
    <x v="517"/>
    <n v="55.86"/>
    <x v="517"/>
    <n v="55.86"/>
    <n v="82807.3"/>
  </r>
  <r>
    <x v="2"/>
    <n v="9"/>
    <d v="2023-09-11T00:00:00"/>
    <x v="600"/>
    <x v="0"/>
    <x v="0"/>
    <x v="518"/>
    <n v="55.05"/>
    <x v="518"/>
    <n v="55.05"/>
    <n v="8536.83"/>
  </r>
  <r>
    <x v="1"/>
    <n v="7"/>
    <d v="2024-07-25T00:00:00"/>
    <x v="601"/>
    <x v="0"/>
    <x v="0"/>
    <x v="519"/>
    <n v="53.35"/>
    <x v="519"/>
    <n v="53.35"/>
    <n v="44666.93"/>
  </r>
  <r>
    <x v="1"/>
    <n v="11"/>
    <d v="2024-11-18T00:00:00"/>
    <x v="602"/>
    <x v="0"/>
    <x v="0"/>
    <x v="520"/>
    <n v="53.13"/>
    <x v="520"/>
    <n v="53.13"/>
    <n v="6234.77"/>
  </r>
  <r>
    <x v="1"/>
    <n v="7"/>
    <d v="2024-07-29T00:00:00"/>
    <x v="603"/>
    <x v="0"/>
    <x v="0"/>
    <x v="521"/>
    <n v="53.1"/>
    <x v="521"/>
    <n v="53.1"/>
    <n v="30473.54"/>
  </r>
  <r>
    <x v="2"/>
    <n v="12"/>
    <d v="2023-12-08T00:00:00"/>
    <x v="604"/>
    <x v="0"/>
    <x v="0"/>
    <x v="522"/>
    <n v="52.99"/>
    <x v="522"/>
    <n v="52.99"/>
    <n v="18740.3"/>
  </r>
  <r>
    <x v="1"/>
    <n v="5"/>
    <d v="2024-05-06T00:00:00"/>
    <x v="605"/>
    <x v="0"/>
    <x v="0"/>
    <x v="523"/>
    <n v="52.96"/>
    <x v="523"/>
    <n v="52.96"/>
    <n v="7427.48"/>
  </r>
  <r>
    <x v="1"/>
    <n v="6"/>
    <d v="2024-06-18T00:00:00"/>
    <x v="606"/>
    <x v="0"/>
    <x v="0"/>
    <x v="523"/>
    <n v="52.96"/>
    <x v="523"/>
    <n v="52.96"/>
    <n v="32642.83"/>
  </r>
  <r>
    <x v="1"/>
    <n v="7"/>
    <d v="2024-07-16T00:00:00"/>
    <x v="607"/>
    <x v="0"/>
    <x v="0"/>
    <x v="523"/>
    <n v="52.96"/>
    <x v="523"/>
    <n v="52.96"/>
    <n v="51223.98"/>
  </r>
  <r>
    <x v="1"/>
    <n v="8"/>
    <d v="2024-08-16T00:00:00"/>
    <x v="608"/>
    <x v="0"/>
    <x v="0"/>
    <x v="523"/>
    <n v="52.96"/>
    <x v="523"/>
    <n v="52.96"/>
    <n v="58703.49"/>
  </r>
  <r>
    <x v="1"/>
    <n v="9"/>
    <d v="2024-09-17T00:00:00"/>
    <x v="609"/>
    <x v="0"/>
    <x v="0"/>
    <x v="524"/>
    <n v="52.93"/>
    <x v="524"/>
    <n v="52.93"/>
    <n v="85760.55"/>
  </r>
  <r>
    <x v="1"/>
    <n v="10"/>
    <d v="2024-10-16T00:00:00"/>
    <x v="610"/>
    <x v="0"/>
    <x v="0"/>
    <x v="525"/>
    <n v="52.92"/>
    <x v="525"/>
    <n v="52.92"/>
    <n v="96799.88"/>
  </r>
  <r>
    <x v="0"/>
    <n v="1"/>
    <d v="2025-01-02T00:00:00"/>
    <x v="611"/>
    <x v="0"/>
    <x v="0"/>
    <x v="526"/>
    <n v="51.43"/>
    <x v="526"/>
    <n v="51.43"/>
    <n v="150612.74"/>
  </r>
  <r>
    <x v="1"/>
    <n v="7"/>
    <d v="2024-07-23T00:00:00"/>
    <x v="612"/>
    <x v="0"/>
    <x v="0"/>
    <x v="527"/>
    <n v="50.9"/>
    <x v="527"/>
    <n v="50.9"/>
    <n v="49197.5"/>
  </r>
  <r>
    <x v="1"/>
    <n v="12"/>
    <d v="2024-12-03T00:00:00"/>
    <x v="455"/>
    <x v="0"/>
    <x v="0"/>
    <x v="528"/>
    <n v="50.25"/>
    <x v="528"/>
    <n v="50.25"/>
    <n v="3365.9"/>
  </r>
  <r>
    <x v="2"/>
    <n v="9"/>
    <d v="2023-09-19T00:00:00"/>
    <x v="613"/>
    <x v="0"/>
    <x v="0"/>
    <x v="529"/>
    <n v="50"/>
    <x v="529"/>
    <n v="50"/>
    <n v="7961.7"/>
  </r>
  <r>
    <x v="2"/>
    <n v="10"/>
    <d v="2023-10-03T00:00:00"/>
    <x v="613"/>
    <x v="0"/>
    <x v="0"/>
    <x v="529"/>
    <n v="50"/>
    <x v="529"/>
    <n v="50"/>
    <n v="23388.959999999999"/>
  </r>
  <r>
    <x v="2"/>
    <n v="10"/>
    <d v="2023-10-30T00:00:00"/>
    <x v="613"/>
    <x v="0"/>
    <x v="0"/>
    <x v="529"/>
    <n v="50"/>
    <x v="529"/>
    <n v="50"/>
    <n v="37511.61"/>
  </r>
  <r>
    <x v="2"/>
    <n v="11"/>
    <d v="2023-11-07T00:00:00"/>
    <x v="613"/>
    <x v="0"/>
    <x v="0"/>
    <x v="529"/>
    <n v="50"/>
    <x v="529"/>
    <n v="50"/>
    <n v="11778.8"/>
  </r>
  <r>
    <x v="2"/>
    <n v="11"/>
    <d v="2023-11-14T00:00:00"/>
    <x v="613"/>
    <x v="0"/>
    <x v="0"/>
    <x v="529"/>
    <n v="50"/>
    <x v="529"/>
    <n v="50"/>
    <n v="39544.03"/>
  </r>
  <r>
    <x v="2"/>
    <n v="11"/>
    <d v="2023-11-28T00:00:00"/>
    <x v="613"/>
    <x v="0"/>
    <x v="0"/>
    <x v="529"/>
    <n v="50"/>
    <x v="529"/>
    <n v="50"/>
    <n v="33455.879999999997"/>
  </r>
  <r>
    <x v="2"/>
    <n v="12"/>
    <d v="2023-12-12T00:00:00"/>
    <x v="613"/>
    <x v="0"/>
    <x v="0"/>
    <x v="529"/>
    <n v="50"/>
    <x v="529"/>
    <n v="50"/>
    <n v="56016.75"/>
  </r>
  <r>
    <x v="2"/>
    <n v="12"/>
    <d v="2023-12-26T00:00:00"/>
    <x v="614"/>
    <x v="0"/>
    <x v="0"/>
    <x v="529"/>
    <n v="50"/>
    <x v="529"/>
    <n v="50"/>
    <n v="62507.46"/>
  </r>
  <r>
    <x v="1"/>
    <n v="1"/>
    <d v="2024-01-09T00:00:00"/>
    <x v="614"/>
    <x v="0"/>
    <x v="0"/>
    <x v="529"/>
    <n v="50"/>
    <x v="529"/>
    <n v="50"/>
    <n v="47090.37"/>
  </r>
  <r>
    <x v="1"/>
    <n v="1"/>
    <d v="2024-01-23T00:00:00"/>
    <x v="614"/>
    <x v="0"/>
    <x v="0"/>
    <x v="529"/>
    <n v="50"/>
    <x v="529"/>
    <n v="50"/>
    <n v="42928.87"/>
  </r>
  <r>
    <x v="1"/>
    <n v="2"/>
    <d v="2024-02-05T00:00:00"/>
    <x v="614"/>
    <x v="0"/>
    <x v="0"/>
    <x v="529"/>
    <n v="50"/>
    <x v="529"/>
    <n v="50"/>
    <n v="34767.660000000003"/>
  </r>
  <r>
    <x v="1"/>
    <n v="2"/>
    <d v="2024-02-12T00:00:00"/>
    <x v="615"/>
    <x v="0"/>
    <x v="0"/>
    <x v="529"/>
    <n v="50"/>
    <x v="529"/>
    <n v="50"/>
    <n v="20127.09"/>
  </r>
  <r>
    <x v="1"/>
    <n v="2"/>
    <d v="2024-02-21T00:00:00"/>
    <x v="614"/>
    <x v="0"/>
    <x v="0"/>
    <x v="529"/>
    <n v="50"/>
    <x v="529"/>
    <n v="50"/>
    <n v="15593.61"/>
  </r>
  <r>
    <x v="1"/>
    <n v="3"/>
    <d v="2024-03-05T00:00:00"/>
    <x v="614"/>
    <x v="0"/>
    <x v="0"/>
    <x v="529"/>
    <n v="50"/>
    <x v="529"/>
    <n v="50"/>
    <n v="45821.72"/>
  </r>
  <r>
    <x v="1"/>
    <n v="3"/>
    <d v="2024-03-08T00:00:00"/>
    <x v="616"/>
    <x v="0"/>
    <x v="0"/>
    <x v="529"/>
    <n v="50"/>
    <x v="529"/>
    <n v="50"/>
    <n v="20239.96"/>
  </r>
  <r>
    <x v="1"/>
    <n v="3"/>
    <d v="2024-03-19T00:00:00"/>
    <x v="614"/>
    <x v="0"/>
    <x v="0"/>
    <x v="529"/>
    <n v="50"/>
    <x v="529"/>
    <n v="50"/>
    <n v="27408.39"/>
  </r>
  <r>
    <x v="1"/>
    <n v="4"/>
    <d v="2024-04-02T00:00:00"/>
    <x v="614"/>
    <x v="0"/>
    <x v="0"/>
    <x v="529"/>
    <n v="50"/>
    <x v="529"/>
    <n v="50"/>
    <n v="34756.81"/>
  </r>
  <r>
    <x v="1"/>
    <n v="4"/>
    <d v="2024-04-16T00:00:00"/>
    <x v="614"/>
    <x v="0"/>
    <x v="0"/>
    <x v="529"/>
    <n v="50"/>
    <x v="529"/>
    <n v="50"/>
    <n v="47172.76"/>
  </r>
  <r>
    <x v="1"/>
    <n v="4"/>
    <d v="2024-04-30T00:00:00"/>
    <x v="614"/>
    <x v="0"/>
    <x v="0"/>
    <x v="529"/>
    <n v="50"/>
    <x v="529"/>
    <n v="50"/>
    <n v="20542.310000000001"/>
  </r>
  <r>
    <x v="1"/>
    <n v="5"/>
    <d v="2024-05-14T00:00:00"/>
    <x v="614"/>
    <x v="0"/>
    <x v="0"/>
    <x v="529"/>
    <n v="50"/>
    <x v="529"/>
    <n v="50"/>
    <n v="8675.07"/>
  </r>
  <r>
    <x v="1"/>
    <n v="5"/>
    <d v="2024-05-28T00:00:00"/>
    <x v="614"/>
    <x v="0"/>
    <x v="0"/>
    <x v="529"/>
    <n v="50"/>
    <x v="529"/>
    <n v="50"/>
    <n v="26145.54"/>
  </r>
  <r>
    <x v="1"/>
    <n v="6"/>
    <d v="2024-06-11T00:00:00"/>
    <x v="614"/>
    <x v="0"/>
    <x v="0"/>
    <x v="529"/>
    <n v="50"/>
    <x v="529"/>
    <n v="50"/>
    <n v="39489.379999999997"/>
  </r>
  <r>
    <x v="1"/>
    <n v="6"/>
    <d v="2024-06-25T00:00:00"/>
    <x v="614"/>
    <x v="0"/>
    <x v="0"/>
    <x v="529"/>
    <n v="50"/>
    <x v="529"/>
    <n v="50"/>
    <n v="74708.460000000006"/>
  </r>
  <r>
    <x v="1"/>
    <n v="7"/>
    <d v="2024-07-09T00:00:00"/>
    <x v="614"/>
    <x v="0"/>
    <x v="0"/>
    <x v="529"/>
    <n v="50"/>
    <x v="529"/>
    <n v="50"/>
    <n v="81393.75"/>
  </r>
  <r>
    <x v="1"/>
    <n v="7"/>
    <d v="2024-07-23T00:00:00"/>
    <x v="614"/>
    <x v="0"/>
    <x v="0"/>
    <x v="529"/>
    <n v="50"/>
    <x v="529"/>
    <n v="50"/>
    <n v="48980.5"/>
  </r>
  <r>
    <x v="1"/>
    <n v="8"/>
    <d v="2024-08-06T00:00:00"/>
    <x v="614"/>
    <x v="0"/>
    <x v="0"/>
    <x v="529"/>
    <n v="50"/>
    <x v="529"/>
    <n v="50"/>
    <n v="41632.69"/>
  </r>
  <r>
    <x v="1"/>
    <n v="8"/>
    <d v="2024-08-19T00:00:00"/>
    <x v="614"/>
    <x v="0"/>
    <x v="0"/>
    <x v="529"/>
    <n v="50"/>
    <x v="529"/>
    <n v="50"/>
    <n v="61849.2"/>
  </r>
  <r>
    <x v="1"/>
    <n v="9"/>
    <d v="2024-09-04T00:00:00"/>
    <x v="614"/>
    <x v="0"/>
    <x v="0"/>
    <x v="529"/>
    <n v="50"/>
    <x v="529"/>
    <n v="50"/>
    <n v="70127.92"/>
  </r>
  <r>
    <x v="1"/>
    <n v="9"/>
    <d v="2024-09-24T00:00:00"/>
    <x v="614"/>
    <x v="0"/>
    <x v="0"/>
    <x v="529"/>
    <n v="50"/>
    <x v="529"/>
    <n v="50"/>
    <n v="66062.460000000006"/>
  </r>
  <r>
    <x v="1"/>
    <n v="10"/>
    <d v="2024-10-16T00:00:00"/>
    <x v="614"/>
    <x v="0"/>
    <x v="0"/>
    <x v="529"/>
    <n v="50"/>
    <x v="529"/>
    <n v="50"/>
    <n v="96749.88"/>
  </r>
  <r>
    <x v="1"/>
    <n v="10"/>
    <d v="2024-10-18T00:00:00"/>
    <x v="614"/>
    <x v="0"/>
    <x v="0"/>
    <x v="529"/>
    <n v="50"/>
    <x v="529"/>
    <n v="50"/>
    <n v="63007.63"/>
  </r>
  <r>
    <x v="1"/>
    <n v="10"/>
    <d v="2024-10-30T00:00:00"/>
    <x v="614"/>
    <x v="0"/>
    <x v="0"/>
    <x v="529"/>
    <n v="50"/>
    <x v="529"/>
    <n v="50"/>
    <n v="71958.86"/>
  </r>
  <r>
    <x v="1"/>
    <n v="11"/>
    <d v="2024-11-13T00:00:00"/>
    <x v="614"/>
    <x v="0"/>
    <x v="0"/>
    <x v="529"/>
    <n v="50"/>
    <x v="529"/>
    <n v="50"/>
    <n v="23862.75"/>
  </r>
  <r>
    <x v="1"/>
    <n v="11"/>
    <d v="2024-11-29T00:00:00"/>
    <x v="614"/>
    <x v="0"/>
    <x v="0"/>
    <x v="529"/>
    <n v="50"/>
    <x v="529"/>
    <n v="50"/>
    <n v="1210.2"/>
  </r>
  <r>
    <x v="1"/>
    <n v="12"/>
    <d v="2024-12-10T00:00:00"/>
    <x v="614"/>
    <x v="0"/>
    <x v="0"/>
    <x v="529"/>
    <n v="50"/>
    <x v="529"/>
    <n v="50"/>
    <n v="10874.75"/>
  </r>
  <r>
    <x v="1"/>
    <n v="12"/>
    <d v="2024-12-24T00:00:00"/>
    <x v="614"/>
    <x v="0"/>
    <x v="0"/>
    <x v="529"/>
    <n v="50"/>
    <x v="529"/>
    <n v="50"/>
    <n v="63555.11"/>
  </r>
  <r>
    <x v="0"/>
    <n v="1"/>
    <d v="2025-01-07T00:00:00"/>
    <x v="614"/>
    <x v="0"/>
    <x v="0"/>
    <x v="529"/>
    <n v="50"/>
    <x v="529"/>
    <n v="50"/>
    <n v="78720.19"/>
  </r>
  <r>
    <x v="0"/>
    <n v="1"/>
    <d v="2025-01-22T00:00:00"/>
    <x v="614"/>
    <x v="0"/>
    <x v="0"/>
    <x v="529"/>
    <n v="50"/>
    <x v="529"/>
    <n v="50"/>
    <n v="53980.19"/>
  </r>
  <r>
    <x v="0"/>
    <n v="2"/>
    <d v="2025-02-04T00:00:00"/>
    <x v="614"/>
    <x v="0"/>
    <x v="0"/>
    <x v="529"/>
    <n v="50"/>
    <x v="529"/>
    <n v="50"/>
    <n v="55613.56"/>
  </r>
  <r>
    <x v="0"/>
    <n v="2"/>
    <d v="2025-02-18T00:00:00"/>
    <x v="614"/>
    <x v="0"/>
    <x v="0"/>
    <x v="529"/>
    <n v="50"/>
    <x v="529"/>
    <n v="50"/>
    <n v="56788.98"/>
  </r>
  <r>
    <x v="0"/>
    <n v="3"/>
    <d v="2025-03-04T00:00:00"/>
    <x v="614"/>
    <x v="0"/>
    <x v="0"/>
    <x v="529"/>
    <n v="50"/>
    <x v="529"/>
    <n v="50"/>
    <n v="79275.490000000005"/>
  </r>
  <r>
    <x v="1"/>
    <n v="9"/>
    <d v="2024-09-03T00:00:00"/>
    <x v="617"/>
    <x v="0"/>
    <x v="0"/>
    <x v="530"/>
    <n v="49.99"/>
    <x v="530"/>
    <n v="49.99"/>
    <n v="76733.48"/>
  </r>
  <r>
    <x v="1"/>
    <n v="9"/>
    <d v="2024-09-03T00:00:00"/>
    <x v="618"/>
    <x v="0"/>
    <x v="0"/>
    <x v="531"/>
    <n v="49.71"/>
    <x v="531"/>
    <n v="49.71"/>
    <n v="76332.77"/>
  </r>
  <r>
    <x v="1"/>
    <n v="9"/>
    <d v="2024-09-09T00:00:00"/>
    <x v="619"/>
    <x v="0"/>
    <x v="0"/>
    <x v="532"/>
    <n v="48.39"/>
    <x v="532"/>
    <n v="48.39"/>
    <n v="67836.800000000003"/>
  </r>
  <r>
    <x v="1"/>
    <n v="10"/>
    <d v="2024-10-11T00:00:00"/>
    <x v="620"/>
    <x v="0"/>
    <x v="0"/>
    <x v="533"/>
    <n v="47.35"/>
    <x v="533"/>
    <n v="47.35"/>
    <n v="67919.710000000006"/>
  </r>
  <r>
    <x v="2"/>
    <n v="10"/>
    <d v="2023-10-16T00:00:00"/>
    <x v="621"/>
    <x v="0"/>
    <x v="0"/>
    <x v="534"/>
    <n v="46.7"/>
    <x v="534"/>
    <n v="46.7"/>
    <n v="13645.08"/>
  </r>
  <r>
    <x v="2"/>
    <n v="11"/>
    <d v="2023-11-30T00:00:00"/>
    <x v="622"/>
    <x v="0"/>
    <x v="0"/>
    <x v="535"/>
    <n v="45"/>
    <x v="535"/>
    <n v="45"/>
    <n v="33324.129999999997"/>
  </r>
  <r>
    <x v="1"/>
    <n v="4"/>
    <d v="2024-04-18T00:00:00"/>
    <x v="623"/>
    <x v="0"/>
    <x v="0"/>
    <x v="536"/>
    <n v="44.68"/>
    <x v="536"/>
    <n v="44.68"/>
    <n v="27128.080000000002"/>
  </r>
  <r>
    <x v="1"/>
    <n v="9"/>
    <d v="2024-09-30T00:00:00"/>
    <x v="624"/>
    <x v="0"/>
    <x v="0"/>
    <x v="537"/>
    <n v="44.61"/>
    <x v="537"/>
    <n v="44.61"/>
    <n v="96073.919999999998"/>
  </r>
  <r>
    <x v="1"/>
    <n v="11"/>
    <d v="2024-11-19T00:00:00"/>
    <x v="625"/>
    <x v="0"/>
    <x v="0"/>
    <x v="538"/>
    <n v="44.58"/>
    <x v="538"/>
    <n v="44.58"/>
    <n v="4571.09"/>
  </r>
  <r>
    <x v="1"/>
    <n v="6"/>
    <d v="2024-06-10T00:00:00"/>
    <x v="626"/>
    <x v="0"/>
    <x v="0"/>
    <x v="539"/>
    <n v="44.17"/>
    <x v="539"/>
    <n v="44.17"/>
    <n v="39665.81"/>
  </r>
  <r>
    <x v="1"/>
    <n v="11"/>
    <d v="2024-11-13T00:00:00"/>
    <x v="509"/>
    <x v="0"/>
    <x v="0"/>
    <x v="540"/>
    <n v="42.5"/>
    <x v="540"/>
    <n v="42.5"/>
    <n v="24039.31"/>
  </r>
  <r>
    <x v="2"/>
    <n v="11"/>
    <d v="2023-11-03T00:00:00"/>
    <x v="310"/>
    <x v="0"/>
    <x v="0"/>
    <x v="541"/>
    <n v="42.49"/>
    <x v="541"/>
    <n v="42.49"/>
    <n v="12448.75"/>
  </r>
  <r>
    <x v="1"/>
    <n v="10"/>
    <d v="2024-10-31T00:00:00"/>
    <x v="627"/>
    <x v="0"/>
    <x v="0"/>
    <x v="541"/>
    <n v="42.49"/>
    <x v="541"/>
    <n v="42.49"/>
    <n v="76355.520000000004"/>
  </r>
  <r>
    <x v="1"/>
    <n v="10"/>
    <d v="2024-10-28T00:00:00"/>
    <x v="628"/>
    <x v="0"/>
    <x v="0"/>
    <x v="542"/>
    <n v="42.36"/>
    <x v="542"/>
    <n v="42.36"/>
    <n v="74706.759999999995"/>
  </r>
  <r>
    <x v="1"/>
    <n v="8"/>
    <d v="2024-08-08T00:00:00"/>
    <x v="629"/>
    <x v="0"/>
    <x v="0"/>
    <x v="543"/>
    <n v="42.05"/>
    <x v="543"/>
    <n v="42.05"/>
    <n v="41246.01"/>
  </r>
  <r>
    <x v="1"/>
    <n v="9"/>
    <d v="2024-09-09T00:00:00"/>
    <x v="630"/>
    <x v="0"/>
    <x v="0"/>
    <x v="543"/>
    <n v="42.05"/>
    <x v="543"/>
    <n v="42.05"/>
    <n v="67885.19"/>
  </r>
  <r>
    <x v="1"/>
    <n v="10"/>
    <d v="2024-10-08T00:00:00"/>
    <x v="631"/>
    <x v="0"/>
    <x v="0"/>
    <x v="543"/>
    <n v="42.05"/>
    <x v="543"/>
    <n v="42.05"/>
    <n v="69701.600000000006"/>
  </r>
  <r>
    <x v="1"/>
    <n v="11"/>
    <d v="2024-11-08T00:00:00"/>
    <x v="632"/>
    <x v="0"/>
    <x v="0"/>
    <x v="543"/>
    <n v="42.05"/>
    <x v="543"/>
    <n v="42.05"/>
    <n v="40500.559999999998"/>
  </r>
  <r>
    <x v="2"/>
    <n v="9"/>
    <d v="2023-09-14T00:00:00"/>
    <x v="633"/>
    <x v="0"/>
    <x v="0"/>
    <x v="544"/>
    <n v="40.659999999999997"/>
    <x v="544"/>
    <n v="40.659999999999997"/>
    <n v="8496.17"/>
  </r>
  <r>
    <x v="2"/>
    <n v="12"/>
    <d v="2023-12-08T00:00:00"/>
    <x v="634"/>
    <x v="0"/>
    <x v="0"/>
    <x v="545"/>
    <n v="39.76"/>
    <x v="545"/>
    <n v="39.76"/>
    <n v="18700.54"/>
  </r>
  <r>
    <x v="1"/>
    <n v="9"/>
    <d v="2024-09-23T00:00:00"/>
    <x v="635"/>
    <x v="0"/>
    <x v="0"/>
    <x v="546"/>
    <n v="37.18"/>
    <x v="546"/>
    <n v="37.18"/>
    <n v="66711.039999999994"/>
  </r>
  <r>
    <x v="1"/>
    <n v="3"/>
    <d v="2024-03-27T00:00:00"/>
    <x v="636"/>
    <x v="0"/>
    <x v="0"/>
    <x v="547"/>
    <n v="37.17"/>
    <x v="547"/>
    <n v="37.17"/>
    <n v="7517.49"/>
  </r>
  <r>
    <x v="2"/>
    <n v="9"/>
    <d v="2023-09-27T00:00:00"/>
    <x v="637"/>
    <x v="0"/>
    <x v="0"/>
    <x v="548"/>
    <n v="36.979999999999997"/>
    <x v="548"/>
    <n v="36.979999999999997"/>
    <n v="23438.959999999999"/>
  </r>
  <r>
    <x v="0"/>
    <n v="1"/>
    <d v="2025-01-29T00:00:00"/>
    <x v="638"/>
    <x v="0"/>
    <x v="0"/>
    <x v="549"/>
    <n v="36.159999999999997"/>
    <x v="549"/>
    <n v="36.159999999999997"/>
    <n v="40788.19"/>
  </r>
  <r>
    <x v="1"/>
    <n v="5"/>
    <d v="2024-05-02T00:00:00"/>
    <x v="639"/>
    <x v="0"/>
    <x v="0"/>
    <x v="550"/>
    <n v="35.9"/>
    <x v="550"/>
    <n v="35.9"/>
    <n v="27235.360000000001"/>
  </r>
  <r>
    <x v="1"/>
    <n v="2"/>
    <d v="2024-02-02T00:00:00"/>
    <x v="640"/>
    <x v="0"/>
    <x v="0"/>
    <x v="551"/>
    <n v="35.700000000000003"/>
    <x v="551"/>
    <n v="35.700000000000003"/>
    <n v="36504.9"/>
  </r>
  <r>
    <x v="1"/>
    <n v="1"/>
    <d v="2024-01-02T00:00:00"/>
    <x v="641"/>
    <x v="0"/>
    <x v="0"/>
    <x v="552"/>
    <n v="35.67"/>
    <x v="552"/>
    <n v="35.67"/>
    <n v="33622.230000000003"/>
  </r>
  <r>
    <x v="1"/>
    <n v="10"/>
    <d v="2024-10-30T00:00:00"/>
    <x v="642"/>
    <x v="0"/>
    <x v="0"/>
    <x v="553"/>
    <n v="35.659999999999997"/>
    <x v="553"/>
    <n v="35.659999999999997"/>
    <n v="77596.27"/>
  </r>
  <r>
    <x v="1"/>
    <n v="4"/>
    <d v="2024-04-02T00:00:00"/>
    <x v="643"/>
    <x v="0"/>
    <x v="0"/>
    <x v="554"/>
    <n v="35.65"/>
    <x v="554"/>
    <n v="35.65"/>
    <n v="34721.160000000003"/>
  </r>
  <r>
    <x v="1"/>
    <n v="3"/>
    <d v="2024-03-04T00:00:00"/>
    <x v="644"/>
    <x v="0"/>
    <x v="0"/>
    <x v="555"/>
    <n v="35.6"/>
    <x v="555"/>
    <n v="35.6"/>
    <n v="27872.720000000001"/>
  </r>
  <r>
    <x v="1"/>
    <n v="9"/>
    <d v="2024-09-06T00:00:00"/>
    <x v="645"/>
    <x v="0"/>
    <x v="0"/>
    <x v="556"/>
    <n v="35.46"/>
    <x v="556"/>
    <n v="35.46"/>
    <n v="80242.649999999994"/>
  </r>
  <r>
    <x v="1"/>
    <n v="9"/>
    <d v="2024-09-13T00:00:00"/>
    <x v="646"/>
    <x v="0"/>
    <x v="0"/>
    <x v="557"/>
    <n v="35.29"/>
    <x v="557"/>
    <n v="35.29"/>
    <n v="74819.03"/>
  </r>
  <r>
    <x v="1"/>
    <n v="9"/>
    <d v="2024-09-03T00:00:00"/>
    <x v="647"/>
    <x v="0"/>
    <x v="0"/>
    <x v="558"/>
    <n v="35.07"/>
    <x v="558"/>
    <n v="35.07"/>
    <n v="76783.47"/>
  </r>
  <r>
    <x v="1"/>
    <n v="7"/>
    <d v="2024-07-26T00:00:00"/>
    <x v="648"/>
    <x v="0"/>
    <x v="0"/>
    <x v="559"/>
    <n v="35"/>
    <x v="559"/>
    <n v="35"/>
    <n v="21637.59"/>
  </r>
  <r>
    <x v="1"/>
    <n v="10"/>
    <d v="2024-10-03T00:00:00"/>
    <x v="224"/>
    <x v="0"/>
    <x v="0"/>
    <x v="559"/>
    <n v="35"/>
    <x v="559"/>
    <n v="35"/>
    <n v="89078.04"/>
  </r>
  <r>
    <x v="1"/>
    <n v="9"/>
    <d v="2024-09-03T00:00:00"/>
    <x v="649"/>
    <x v="0"/>
    <x v="0"/>
    <x v="560"/>
    <n v="34.950000000000003"/>
    <x v="560"/>
    <n v="34.950000000000003"/>
    <n v="76516.42"/>
  </r>
  <r>
    <x v="2"/>
    <n v="11"/>
    <d v="2023-11-02T00:00:00"/>
    <x v="650"/>
    <x v="0"/>
    <x v="0"/>
    <x v="561"/>
    <n v="34.799999999999997"/>
    <x v="561"/>
    <n v="34.799999999999997"/>
    <n v="12492.24"/>
  </r>
  <r>
    <x v="1"/>
    <n v="6"/>
    <d v="2024-06-04T00:00:00"/>
    <x v="651"/>
    <x v="0"/>
    <x v="0"/>
    <x v="562"/>
    <n v="34.65"/>
    <x v="562"/>
    <n v="34.65"/>
    <n v="25342.76"/>
  </r>
  <r>
    <x v="1"/>
    <n v="1"/>
    <d v="2024-01-02T00:00:00"/>
    <x v="652"/>
    <x v="0"/>
    <x v="0"/>
    <x v="563"/>
    <n v="34.6"/>
    <x v="563"/>
    <n v="34.6"/>
    <n v="28653.33"/>
  </r>
  <r>
    <x v="1"/>
    <n v="10"/>
    <d v="2024-10-04T00:00:00"/>
    <x v="653"/>
    <x v="0"/>
    <x v="0"/>
    <x v="564"/>
    <n v="34.25"/>
    <x v="564"/>
    <n v="34.25"/>
    <n v="88181.57"/>
  </r>
  <r>
    <x v="1"/>
    <n v="1"/>
    <d v="2024-01-05T00:00:00"/>
    <x v="654"/>
    <x v="0"/>
    <x v="0"/>
    <x v="565"/>
    <n v="34"/>
    <x v="565"/>
    <n v="34"/>
    <n v="50903"/>
  </r>
  <r>
    <x v="0"/>
    <n v="1"/>
    <d v="2025-01-28T00:00:00"/>
    <x v="655"/>
    <x v="0"/>
    <x v="0"/>
    <x v="566"/>
    <n v="33.86"/>
    <x v="566"/>
    <n v="33.86"/>
    <n v="54684.25"/>
  </r>
  <r>
    <x v="2"/>
    <n v="12"/>
    <d v="2023-12-04T00:00:00"/>
    <x v="656"/>
    <x v="0"/>
    <x v="0"/>
    <x v="567"/>
    <n v="33.85"/>
    <x v="567"/>
    <n v="33.85"/>
    <n v="19177.990000000002"/>
  </r>
  <r>
    <x v="1"/>
    <n v="7"/>
    <d v="2024-07-02T00:00:00"/>
    <x v="657"/>
    <x v="0"/>
    <x v="0"/>
    <x v="568"/>
    <n v="33.299999999999997"/>
    <x v="568"/>
    <n v="33.299999999999997"/>
    <n v="71922.960000000006"/>
  </r>
  <r>
    <x v="2"/>
    <n v="9"/>
    <d v="2023-09-15T00:00:00"/>
    <x v="658"/>
    <x v="0"/>
    <x v="0"/>
    <x v="569"/>
    <n v="33.29"/>
    <x v="569"/>
    <n v="33.29"/>
    <n v="8462.8799999999992"/>
  </r>
  <r>
    <x v="1"/>
    <n v="2"/>
    <d v="2024-02-27T00:00:00"/>
    <x v="659"/>
    <x v="0"/>
    <x v="0"/>
    <x v="570"/>
    <n v="33"/>
    <x v="570"/>
    <n v="33"/>
    <n v="22729.4"/>
  </r>
  <r>
    <x v="1"/>
    <n v="3"/>
    <d v="2024-03-28T00:00:00"/>
    <x v="660"/>
    <x v="0"/>
    <x v="0"/>
    <x v="570"/>
    <n v="33"/>
    <x v="570"/>
    <n v="33"/>
    <n v="21476.560000000001"/>
  </r>
  <r>
    <x v="1"/>
    <n v="8"/>
    <d v="2024-08-02T00:00:00"/>
    <x v="661"/>
    <x v="0"/>
    <x v="0"/>
    <x v="570"/>
    <n v="33"/>
    <x v="570"/>
    <n v="33"/>
    <n v="44055.15"/>
  </r>
  <r>
    <x v="1"/>
    <n v="9"/>
    <d v="2024-09-03T00:00:00"/>
    <x v="662"/>
    <x v="0"/>
    <x v="0"/>
    <x v="570"/>
    <n v="33"/>
    <x v="570"/>
    <n v="33"/>
    <n v="70200.820000000007"/>
  </r>
  <r>
    <x v="1"/>
    <n v="10"/>
    <d v="2024-10-02T00:00:00"/>
    <x v="663"/>
    <x v="0"/>
    <x v="0"/>
    <x v="570"/>
    <n v="33"/>
    <x v="570"/>
    <n v="33"/>
    <n v="77547.679999999993"/>
  </r>
  <r>
    <x v="1"/>
    <n v="11"/>
    <d v="2024-11-04T00:00:00"/>
    <x v="664"/>
    <x v="0"/>
    <x v="0"/>
    <x v="570"/>
    <n v="33"/>
    <x v="570"/>
    <n v="33"/>
    <n v="40759.26"/>
  </r>
  <r>
    <x v="1"/>
    <n v="12"/>
    <d v="2024-12-03T00:00:00"/>
    <x v="665"/>
    <x v="0"/>
    <x v="0"/>
    <x v="570"/>
    <n v="33"/>
    <x v="570"/>
    <n v="33"/>
    <n v="3172.27"/>
  </r>
  <r>
    <x v="1"/>
    <n v="4"/>
    <d v="2024-04-22T00:00:00"/>
    <x v="666"/>
    <x v="0"/>
    <x v="0"/>
    <x v="571"/>
    <n v="32.68"/>
    <x v="571"/>
    <n v="32.68"/>
    <n v="13525.9"/>
  </r>
  <r>
    <x v="1"/>
    <n v="2"/>
    <d v="2024-02-08T00:00:00"/>
    <x v="667"/>
    <x v="0"/>
    <x v="0"/>
    <x v="572"/>
    <n v="32.06"/>
    <x v="572"/>
    <n v="32.06"/>
    <n v="34488.03"/>
  </r>
  <r>
    <x v="1"/>
    <n v="8"/>
    <d v="2024-08-05T00:00:00"/>
    <x v="668"/>
    <x v="0"/>
    <x v="0"/>
    <x v="573"/>
    <n v="31.86"/>
    <x v="573"/>
    <n v="31.86"/>
    <n v="49237.29"/>
  </r>
  <r>
    <x v="0"/>
    <n v="1"/>
    <d v="2025-01-02T00:00:00"/>
    <x v="669"/>
    <x v="0"/>
    <x v="0"/>
    <x v="573"/>
    <n v="31.86"/>
    <x v="573"/>
    <n v="31.86"/>
    <n v="150580.88"/>
  </r>
  <r>
    <x v="1"/>
    <n v="4"/>
    <d v="2024-04-30T00:00:00"/>
    <x v="670"/>
    <x v="0"/>
    <x v="0"/>
    <x v="574"/>
    <n v="31.8"/>
    <x v="574"/>
    <n v="31.8"/>
    <n v="20592.310000000001"/>
  </r>
  <r>
    <x v="1"/>
    <n v="9"/>
    <d v="2024-09-25T00:00:00"/>
    <x v="671"/>
    <x v="0"/>
    <x v="0"/>
    <x v="575"/>
    <n v="31.2"/>
    <x v="575"/>
    <n v="31.2"/>
    <n v="66353.279999999999"/>
  </r>
  <r>
    <x v="0"/>
    <n v="2"/>
    <d v="2025-02-19T00:00:00"/>
    <x v="672"/>
    <x v="0"/>
    <x v="0"/>
    <x v="575"/>
    <n v="31.2"/>
    <x v="575"/>
    <n v="31.2"/>
    <n v="51539.86"/>
  </r>
  <r>
    <x v="1"/>
    <n v="7"/>
    <d v="2024-07-01T00:00:00"/>
    <x v="673"/>
    <x v="0"/>
    <x v="0"/>
    <x v="576"/>
    <n v="31.19"/>
    <x v="576"/>
    <n v="31.19"/>
    <n v="67624.55"/>
  </r>
  <r>
    <x v="1"/>
    <n v="10"/>
    <d v="2024-10-21T00:00:00"/>
    <x v="674"/>
    <x v="0"/>
    <x v="0"/>
    <x v="577"/>
    <n v="31.16"/>
    <x v="577"/>
    <n v="31.16"/>
    <n v="72430.73"/>
  </r>
  <r>
    <x v="1"/>
    <n v="8"/>
    <d v="2024-08-28T00:00:00"/>
    <x v="675"/>
    <x v="0"/>
    <x v="0"/>
    <x v="578"/>
    <n v="30.45"/>
    <x v="578"/>
    <n v="30.45"/>
    <n v="33276.11"/>
  </r>
  <r>
    <x v="2"/>
    <n v="10"/>
    <d v="2023-10-04T00:00:00"/>
    <x v="676"/>
    <x v="0"/>
    <x v="0"/>
    <x v="579"/>
    <n v="30"/>
    <x v="579"/>
    <n v="30"/>
    <n v="13424.9"/>
  </r>
  <r>
    <x v="2"/>
    <n v="12"/>
    <d v="2023-12-28T00:00:00"/>
    <x v="676"/>
    <x v="0"/>
    <x v="0"/>
    <x v="579"/>
    <n v="30"/>
    <x v="579"/>
    <n v="30"/>
    <n v="33657.9"/>
  </r>
  <r>
    <x v="1"/>
    <n v="1"/>
    <d v="2024-01-10T00:00:00"/>
    <x v="676"/>
    <x v="0"/>
    <x v="0"/>
    <x v="579"/>
    <n v="30"/>
    <x v="579"/>
    <n v="30"/>
    <n v="31933.94"/>
  </r>
  <r>
    <x v="1"/>
    <n v="1"/>
    <d v="2024-01-16T00:00:00"/>
    <x v="677"/>
    <x v="0"/>
    <x v="0"/>
    <x v="580"/>
    <n v="29.99"/>
    <x v="580"/>
    <n v="29.99"/>
    <n v="20380.88"/>
  </r>
  <r>
    <x v="1"/>
    <n v="3"/>
    <d v="2024-03-18T00:00:00"/>
    <x v="678"/>
    <x v="0"/>
    <x v="0"/>
    <x v="581"/>
    <n v="28.26"/>
    <x v="581"/>
    <n v="28.26"/>
    <n v="28774.54"/>
  </r>
  <r>
    <x v="1"/>
    <n v="9"/>
    <d v="2024-09-30T00:00:00"/>
    <x v="679"/>
    <x v="0"/>
    <x v="0"/>
    <x v="582"/>
    <n v="28.19"/>
    <x v="582"/>
    <n v="28.19"/>
    <n v="94108.76"/>
  </r>
  <r>
    <x v="1"/>
    <n v="9"/>
    <d v="2024-09-04T00:00:00"/>
    <x v="680"/>
    <x v="0"/>
    <x v="0"/>
    <x v="583"/>
    <n v="27.55"/>
    <x v="583"/>
    <n v="27.55"/>
    <n v="70680.27"/>
  </r>
  <r>
    <x v="0"/>
    <n v="3"/>
    <d v="2025-03-06T00:00:00"/>
    <x v="681"/>
    <x v="0"/>
    <x v="0"/>
    <x v="584"/>
    <n v="27.53"/>
    <x v="584"/>
    <n v="27.53"/>
    <n v="79552.56"/>
  </r>
  <r>
    <x v="1"/>
    <n v="6"/>
    <d v="2024-06-13T00:00:00"/>
    <x v="682"/>
    <x v="0"/>
    <x v="0"/>
    <x v="585"/>
    <n v="27.08"/>
    <x v="585"/>
    <n v="27.08"/>
    <n v="47602.3"/>
  </r>
  <r>
    <x v="0"/>
    <n v="2"/>
    <d v="2025-02-10T00:00:00"/>
    <x v="683"/>
    <x v="0"/>
    <x v="0"/>
    <x v="586"/>
    <n v="27"/>
    <x v="586"/>
    <n v="27"/>
    <n v="61075.45"/>
  </r>
  <r>
    <x v="0"/>
    <n v="2"/>
    <d v="2025-02-24T00:00:00"/>
    <x v="684"/>
    <x v="0"/>
    <x v="0"/>
    <x v="586"/>
    <n v="27"/>
    <x v="586"/>
    <n v="27"/>
    <n v="61357.49"/>
  </r>
  <r>
    <x v="1"/>
    <n v="6"/>
    <d v="2024-06-03T00:00:00"/>
    <x v="164"/>
    <x v="0"/>
    <x v="0"/>
    <x v="587"/>
    <n v="26.61"/>
    <x v="587"/>
    <n v="26.61"/>
    <n v="5932.54"/>
  </r>
  <r>
    <x v="1"/>
    <n v="10"/>
    <d v="2024-10-09T00:00:00"/>
    <x v="685"/>
    <x v="0"/>
    <x v="0"/>
    <x v="588"/>
    <n v="26.55"/>
    <x v="588"/>
    <n v="26.55"/>
    <n v="66670.09"/>
  </r>
  <r>
    <x v="2"/>
    <n v="9"/>
    <d v="2023-09-15T00:00:00"/>
    <x v="686"/>
    <x v="0"/>
    <x v="0"/>
    <x v="589"/>
    <n v="26.34"/>
    <x v="589"/>
    <n v="26.34"/>
    <n v="8436.5400000000009"/>
  </r>
  <r>
    <x v="1"/>
    <n v="5"/>
    <d v="2024-05-17T00:00:00"/>
    <x v="687"/>
    <x v="0"/>
    <x v="0"/>
    <x v="590"/>
    <n v="26.1"/>
    <x v="590"/>
    <n v="26.1"/>
    <n v="30420.54"/>
  </r>
  <r>
    <x v="1"/>
    <n v="5"/>
    <d v="2024-05-20T00:00:00"/>
    <x v="688"/>
    <x v="0"/>
    <x v="0"/>
    <x v="591"/>
    <n v="26"/>
    <x v="591"/>
    <n v="26"/>
    <n v="17954.13"/>
  </r>
  <r>
    <x v="1"/>
    <n v="12"/>
    <d v="2024-12-17T00:00:00"/>
    <x v="689"/>
    <x v="0"/>
    <x v="0"/>
    <x v="592"/>
    <n v="25"/>
    <x v="592"/>
    <n v="25"/>
    <n v="39767.919999999998"/>
  </r>
  <r>
    <x v="0"/>
    <n v="1"/>
    <d v="2025-01-27T00:00:00"/>
    <x v="690"/>
    <x v="0"/>
    <x v="0"/>
    <x v="592"/>
    <n v="25"/>
    <x v="592"/>
    <n v="25"/>
    <n v="54718.11"/>
  </r>
  <r>
    <x v="1"/>
    <n v="1"/>
    <d v="2024-01-24T00:00:00"/>
    <x v="691"/>
    <x v="0"/>
    <x v="0"/>
    <x v="593"/>
    <n v="24.43"/>
    <x v="593"/>
    <n v="24.43"/>
    <n v="42904.44"/>
  </r>
  <r>
    <x v="1"/>
    <n v="3"/>
    <d v="2024-03-08T00:00:00"/>
    <x v="692"/>
    <x v="0"/>
    <x v="0"/>
    <x v="594"/>
    <n v="24.14"/>
    <x v="594"/>
    <n v="24.14"/>
    <n v="21545.61"/>
  </r>
  <r>
    <x v="1"/>
    <n v="1"/>
    <d v="2024-01-22T00:00:00"/>
    <x v="654"/>
    <x v="0"/>
    <x v="0"/>
    <x v="595"/>
    <n v="24"/>
    <x v="595"/>
    <n v="24"/>
    <n v="17978.87"/>
  </r>
  <r>
    <x v="1"/>
    <n v="10"/>
    <d v="2024-10-21T00:00:00"/>
    <x v="693"/>
    <x v="0"/>
    <x v="0"/>
    <x v="596"/>
    <n v="23.15"/>
    <x v="596"/>
    <n v="23.15"/>
    <n v="72461.89"/>
  </r>
  <r>
    <x v="1"/>
    <n v="5"/>
    <d v="2024-05-02T00:00:00"/>
    <x v="694"/>
    <x v="0"/>
    <x v="0"/>
    <x v="597"/>
    <n v="22.95"/>
    <x v="597"/>
    <n v="22.95"/>
    <n v="27271.26"/>
  </r>
  <r>
    <x v="1"/>
    <n v="6"/>
    <d v="2024-06-03T00:00:00"/>
    <x v="695"/>
    <x v="0"/>
    <x v="0"/>
    <x v="597"/>
    <n v="22.95"/>
    <x v="597"/>
    <n v="22.95"/>
    <n v="10894.98"/>
  </r>
  <r>
    <x v="1"/>
    <n v="7"/>
    <d v="2024-07-02T00:00:00"/>
    <x v="696"/>
    <x v="0"/>
    <x v="0"/>
    <x v="597"/>
    <n v="22.95"/>
    <x v="597"/>
    <n v="22.95"/>
    <n v="72574.06"/>
  </r>
  <r>
    <x v="1"/>
    <n v="8"/>
    <d v="2024-08-02T00:00:00"/>
    <x v="697"/>
    <x v="0"/>
    <x v="0"/>
    <x v="597"/>
    <n v="22.95"/>
    <x v="597"/>
    <n v="22.95"/>
    <n v="45906.76"/>
  </r>
  <r>
    <x v="1"/>
    <n v="10"/>
    <d v="2024-10-02T00:00:00"/>
    <x v="698"/>
    <x v="0"/>
    <x v="0"/>
    <x v="597"/>
    <n v="22.95"/>
    <x v="597"/>
    <n v="22.95"/>
    <n v="87679.43"/>
  </r>
  <r>
    <x v="1"/>
    <n v="11"/>
    <d v="2024-11-04T00:00:00"/>
    <x v="699"/>
    <x v="0"/>
    <x v="0"/>
    <x v="597"/>
    <n v="22.95"/>
    <x v="597"/>
    <n v="22.95"/>
    <n v="42020.17"/>
  </r>
  <r>
    <x v="1"/>
    <n v="12"/>
    <d v="2024-12-02T00:00:00"/>
    <x v="700"/>
    <x v="0"/>
    <x v="0"/>
    <x v="597"/>
    <n v="22.95"/>
    <x v="597"/>
    <n v="22.95"/>
    <n v="4221.88"/>
  </r>
  <r>
    <x v="1"/>
    <n v="1"/>
    <d v="2024-01-08T00:00:00"/>
    <x v="314"/>
    <x v="0"/>
    <x v="0"/>
    <x v="598"/>
    <n v="21.72"/>
    <x v="598"/>
    <n v="21.72"/>
    <n v="50527.28"/>
  </r>
  <r>
    <x v="1"/>
    <n v="5"/>
    <d v="2024-05-28T00:00:00"/>
    <x v="701"/>
    <x v="0"/>
    <x v="0"/>
    <x v="599"/>
    <n v="21.4"/>
    <x v="599"/>
    <n v="21.4"/>
    <n v="27794.39"/>
  </r>
  <r>
    <x v="1"/>
    <n v="8"/>
    <d v="2024-08-19T00:00:00"/>
    <x v="702"/>
    <x v="0"/>
    <x v="0"/>
    <x v="600"/>
    <n v="21.26"/>
    <x v="600"/>
    <n v="21.26"/>
    <n v="71614.13"/>
  </r>
  <r>
    <x v="1"/>
    <n v="10"/>
    <d v="2024-10-15T00:00:00"/>
    <x v="703"/>
    <x v="0"/>
    <x v="0"/>
    <x v="600"/>
    <n v="21.26"/>
    <x v="600"/>
    <n v="21.26"/>
    <n v="98227.5"/>
  </r>
  <r>
    <x v="1"/>
    <n v="3"/>
    <d v="2024-03-08T00:00:00"/>
    <x v="704"/>
    <x v="0"/>
    <x v="0"/>
    <x v="601"/>
    <n v="21"/>
    <x v="601"/>
    <n v="21"/>
    <n v="20218.96"/>
  </r>
  <r>
    <x v="1"/>
    <n v="9"/>
    <d v="2024-09-30T00:00:00"/>
    <x v="705"/>
    <x v="0"/>
    <x v="0"/>
    <x v="602"/>
    <n v="20.53"/>
    <x v="602"/>
    <n v="20.53"/>
    <n v="96053.39"/>
  </r>
  <r>
    <x v="1"/>
    <n v="11"/>
    <d v="2024-11-12T00:00:00"/>
    <x v="706"/>
    <x v="0"/>
    <x v="0"/>
    <x v="603"/>
    <n v="20.37"/>
    <x v="603"/>
    <n v="20.37"/>
    <n v="50220.18"/>
  </r>
  <r>
    <x v="1"/>
    <n v="4"/>
    <d v="2024-04-02T00:00:00"/>
    <x v="707"/>
    <x v="0"/>
    <x v="0"/>
    <x v="604"/>
    <n v="20.23"/>
    <x v="604"/>
    <n v="20.23"/>
    <n v="34874.86"/>
  </r>
  <r>
    <x v="1"/>
    <n v="8"/>
    <d v="2024-08-28T00:00:00"/>
    <x v="708"/>
    <x v="0"/>
    <x v="0"/>
    <x v="605"/>
    <n v="20.16"/>
    <x v="605"/>
    <n v="20.16"/>
    <n v="33306.559999999998"/>
  </r>
  <r>
    <x v="1"/>
    <n v="7"/>
    <d v="2024-07-15T00:00:00"/>
    <x v="709"/>
    <x v="0"/>
    <x v="0"/>
    <x v="606"/>
    <n v="20"/>
    <x v="606"/>
    <n v="20"/>
    <n v="63533.69"/>
  </r>
  <r>
    <x v="1"/>
    <n v="8"/>
    <d v="2024-08-09T00:00:00"/>
    <x v="710"/>
    <x v="0"/>
    <x v="0"/>
    <x v="606"/>
    <n v="20"/>
    <x v="606"/>
    <n v="20"/>
    <n v="16532.16"/>
  </r>
  <r>
    <x v="1"/>
    <n v="8"/>
    <d v="2024-08-26T00:00:00"/>
    <x v="711"/>
    <x v="0"/>
    <x v="0"/>
    <x v="606"/>
    <n v="20"/>
    <x v="606"/>
    <n v="20"/>
    <n v="36730.33"/>
  </r>
  <r>
    <x v="0"/>
    <n v="1"/>
    <d v="2025-01-13T00:00:00"/>
    <x v="712"/>
    <x v="0"/>
    <x v="0"/>
    <x v="606"/>
    <n v="20"/>
    <x v="606"/>
    <n v="20"/>
    <n v="55151.81"/>
  </r>
  <r>
    <x v="2"/>
    <n v="12"/>
    <d v="2023-12-11T00:00:00"/>
    <x v="713"/>
    <x v="0"/>
    <x v="0"/>
    <x v="607"/>
    <n v="19.64"/>
    <x v="607"/>
    <n v="19.64"/>
    <n v="18361.23"/>
  </r>
  <r>
    <x v="2"/>
    <n v="10"/>
    <d v="2023-10-06T00:00:00"/>
    <x v="714"/>
    <x v="0"/>
    <x v="0"/>
    <x v="608"/>
    <n v="19.13"/>
    <x v="608"/>
    <n v="19.13"/>
    <n v="5300.76"/>
  </r>
  <r>
    <x v="2"/>
    <n v="11"/>
    <d v="2023-11-02T00:00:00"/>
    <x v="715"/>
    <x v="0"/>
    <x v="0"/>
    <x v="608"/>
    <n v="19.13"/>
    <x v="608"/>
    <n v="19.13"/>
    <n v="24545.41"/>
  </r>
  <r>
    <x v="2"/>
    <n v="12"/>
    <d v="2023-12-04T00:00:00"/>
    <x v="716"/>
    <x v="0"/>
    <x v="0"/>
    <x v="608"/>
    <n v="19.13"/>
    <x v="608"/>
    <n v="19.13"/>
    <n v="19459.599999999999"/>
  </r>
  <r>
    <x v="1"/>
    <n v="1"/>
    <d v="2024-01-02T00:00:00"/>
    <x v="717"/>
    <x v="0"/>
    <x v="0"/>
    <x v="608"/>
    <n v="19.13"/>
    <x v="608"/>
    <n v="19.13"/>
    <n v="33488.93"/>
  </r>
  <r>
    <x v="1"/>
    <n v="2"/>
    <d v="2024-02-02T00:00:00"/>
    <x v="718"/>
    <x v="0"/>
    <x v="0"/>
    <x v="608"/>
    <n v="19.13"/>
    <x v="608"/>
    <n v="19.13"/>
    <n v="36556.160000000003"/>
  </r>
  <r>
    <x v="1"/>
    <n v="3"/>
    <d v="2024-03-04T00:00:00"/>
    <x v="719"/>
    <x v="0"/>
    <x v="0"/>
    <x v="608"/>
    <n v="19.13"/>
    <x v="608"/>
    <n v="19.13"/>
    <n v="28356.92"/>
  </r>
  <r>
    <x v="1"/>
    <n v="6"/>
    <d v="2024-06-27T00:00:00"/>
    <x v="720"/>
    <x v="0"/>
    <x v="0"/>
    <x v="609"/>
    <n v="19"/>
    <x v="609"/>
    <n v="19"/>
    <n v="56560.21"/>
  </r>
  <r>
    <x v="1"/>
    <n v="7"/>
    <d v="2024-07-26T00:00:00"/>
    <x v="721"/>
    <x v="0"/>
    <x v="0"/>
    <x v="609"/>
    <n v="19"/>
    <x v="609"/>
    <n v="19"/>
    <n v="19345.05"/>
  </r>
  <r>
    <x v="1"/>
    <n v="7"/>
    <d v="2024-07-29T00:00:00"/>
    <x v="722"/>
    <x v="0"/>
    <x v="0"/>
    <x v="610"/>
    <n v="18.05"/>
    <x v="610"/>
    <n v="18.05"/>
    <n v="30526.639999999999"/>
  </r>
  <r>
    <x v="1"/>
    <n v="9"/>
    <d v="2024-09-20T00:00:00"/>
    <x v="723"/>
    <x v="0"/>
    <x v="0"/>
    <x v="611"/>
    <n v="18"/>
    <x v="611"/>
    <n v="18"/>
    <n v="56494.22"/>
  </r>
  <r>
    <x v="1"/>
    <n v="10"/>
    <d v="2024-10-04T00:00:00"/>
    <x v="724"/>
    <x v="0"/>
    <x v="0"/>
    <x v="611"/>
    <n v="18"/>
    <x v="611"/>
    <n v="18"/>
    <n v="41953.77"/>
  </r>
  <r>
    <x v="1"/>
    <n v="10"/>
    <d v="2024-10-21T00:00:00"/>
    <x v="725"/>
    <x v="0"/>
    <x v="0"/>
    <x v="611"/>
    <n v="18"/>
    <x v="611"/>
    <n v="18"/>
    <n v="72412.73"/>
  </r>
  <r>
    <x v="1"/>
    <n v="11"/>
    <d v="2024-11-04T00:00:00"/>
    <x v="726"/>
    <x v="0"/>
    <x v="0"/>
    <x v="611"/>
    <n v="18"/>
    <x v="611"/>
    <n v="18"/>
    <n v="40741.26"/>
  </r>
  <r>
    <x v="1"/>
    <n v="11"/>
    <d v="2024-11-18T00:00:00"/>
    <x v="727"/>
    <x v="0"/>
    <x v="0"/>
    <x v="611"/>
    <n v="18"/>
    <x v="611"/>
    <n v="18"/>
    <n v="4615.67"/>
  </r>
  <r>
    <x v="1"/>
    <n v="3"/>
    <d v="2024-03-29T00:00:00"/>
    <x v="728"/>
    <x v="0"/>
    <x v="0"/>
    <x v="612"/>
    <n v="17.010000000000002"/>
    <x v="612"/>
    <n v="17.010000000000002"/>
    <n v="21459.55"/>
  </r>
  <r>
    <x v="1"/>
    <n v="7"/>
    <d v="2024-07-31T00:00:00"/>
    <x v="729"/>
    <x v="0"/>
    <x v="0"/>
    <x v="613"/>
    <n v="16.12"/>
    <x v="613"/>
    <n v="16.12"/>
    <n v="31476.95"/>
  </r>
  <r>
    <x v="1"/>
    <n v="3"/>
    <d v="2024-03-25T00:00:00"/>
    <x v="730"/>
    <x v="0"/>
    <x v="0"/>
    <x v="614"/>
    <n v="16"/>
    <x v="614"/>
    <n v="16"/>
    <n v="7569.65"/>
  </r>
  <r>
    <x v="1"/>
    <n v="9"/>
    <d v="2024-09-06T00:00:00"/>
    <x v="731"/>
    <x v="0"/>
    <x v="0"/>
    <x v="614"/>
    <n v="16"/>
    <x v="614"/>
    <n v="16"/>
    <n v="48686.81"/>
  </r>
  <r>
    <x v="1"/>
    <n v="12"/>
    <d v="2024-12-03T00:00:00"/>
    <x v="732"/>
    <x v="0"/>
    <x v="0"/>
    <x v="614"/>
    <n v="16"/>
    <x v="614"/>
    <n v="16"/>
    <n v="3156.27"/>
  </r>
  <r>
    <x v="1"/>
    <n v="12"/>
    <d v="2024-12-30T00:00:00"/>
    <x v="733"/>
    <x v="0"/>
    <x v="0"/>
    <x v="614"/>
    <n v="16"/>
    <x v="614"/>
    <n v="16"/>
    <n v="144366.10999999999"/>
  </r>
  <r>
    <x v="1"/>
    <n v="2"/>
    <d v="2024-02-02T00:00:00"/>
    <x v="734"/>
    <x v="0"/>
    <x v="0"/>
    <x v="615"/>
    <n v="15.56"/>
    <x v="615"/>
    <n v="15.56"/>
    <n v="36540.6"/>
  </r>
  <r>
    <x v="1"/>
    <n v="4"/>
    <d v="2024-04-18T00:00:00"/>
    <x v="735"/>
    <x v="0"/>
    <x v="0"/>
    <x v="616"/>
    <n v="15.37"/>
    <x v="616"/>
    <n v="15.37"/>
    <n v="27112.71"/>
  </r>
  <r>
    <x v="1"/>
    <n v="10"/>
    <d v="2024-10-08T00:00:00"/>
    <x v="736"/>
    <x v="0"/>
    <x v="0"/>
    <x v="617"/>
    <n v="15.03"/>
    <x v="617"/>
    <n v="15.03"/>
    <n v="69743.649999999994"/>
  </r>
  <r>
    <x v="2"/>
    <n v="10"/>
    <d v="2023-10-10T00:00:00"/>
    <x v="676"/>
    <x v="0"/>
    <x v="0"/>
    <x v="618"/>
    <n v="15"/>
    <x v="618"/>
    <n v="15"/>
    <n v="4859.7299999999996"/>
  </r>
  <r>
    <x v="1"/>
    <n v="1"/>
    <d v="2024-01-29T00:00:00"/>
    <x v="737"/>
    <x v="0"/>
    <x v="0"/>
    <x v="619"/>
    <n v="14.99"/>
    <x v="619"/>
    <n v="14.99"/>
    <n v="26577.42"/>
  </r>
  <r>
    <x v="1"/>
    <n v="2"/>
    <d v="2024-02-27T00:00:00"/>
    <x v="738"/>
    <x v="0"/>
    <x v="0"/>
    <x v="619"/>
    <n v="14.99"/>
    <x v="619"/>
    <n v="14.99"/>
    <n v="24151.16"/>
  </r>
  <r>
    <x v="1"/>
    <n v="3"/>
    <d v="2024-03-27T00:00:00"/>
    <x v="739"/>
    <x v="0"/>
    <x v="0"/>
    <x v="619"/>
    <n v="14.99"/>
    <x v="619"/>
    <n v="14.99"/>
    <n v="7554.66"/>
  </r>
  <r>
    <x v="1"/>
    <n v="4"/>
    <d v="2024-04-29T00:00:00"/>
    <x v="740"/>
    <x v="0"/>
    <x v="0"/>
    <x v="619"/>
    <n v="14.99"/>
    <x v="619"/>
    <n v="14.99"/>
    <n v="21872.23"/>
  </r>
  <r>
    <x v="1"/>
    <n v="5"/>
    <d v="2024-05-28T00:00:00"/>
    <x v="741"/>
    <x v="0"/>
    <x v="0"/>
    <x v="619"/>
    <n v="14.99"/>
    <x v="619"/>
    <n v="14.99"/>
    <n v="26195.54"/>
  </r>
  <r>
    <x v="1"/>
    <n v="6"/>
    <d v="2024-06-27T00:00:00"/>
    <x v="742"/>
    <x v="0"/>
    <x v="0"/>
    <x v="619"/>
    <n v="14.99"/>
    <x v="619"/>
    <n v="14.99"/>
    <n v="78408.36"/>
  </r>
  <r>
    <x v="1"/>
    <n v="7"/>
    <d v="2024-07-29T00:00:00"/>
    <x v="743"/>
    <x v="0"/>
    <x v="0"/>
    <x v="619"/>
    <n v="14.99"/>
    <x v="619"/>
    <n v="14.99"/>
    <n v="30623.37"/>
  </r>
  <r>
    <x v="1"/>
    <n v="8"/>
    <d v="2024-08-27T00:00:00"/>
    <x v="744"/>
    <x v="0"/>
    <x v="0"/>
    <x v="619"/>
    <n v="14.99"/>
    <x v="619"/>
    <n v="14.99"/>
    <n v="35250.080000000002"/>
  </r>
  <r>
    <x v="1"/>
    <n v="9"/>
    <d v="2024-09-27T00:00:00"/>
    <x v="745"/>
    <x v="0"/>
    <x v="0"/>
    <x v="619"/>
    <n v="14.99"/>
    <x v="619"/>
    <n v="14.99"/>
    <n v="77649.759999999995"/>
  </r>
  <r>
    <x v="1"/>
    <n v="10"/>
    <d v="2024-10-28T00:00:00"/>
    <x v="746"/>
    <x v="0"/>
    <x v="0"/>
    <x v="619"/>
    <n v="14.99"/>
    <x v="619"/>
    <n v="14.99"/>
    <n v="74749.119999999995"/>
  </r>
  <r>
    <x v="1"/>
    <n v="11"/>
    <d v="2024-11-27T00:00:00"/>
    <x v="747"/>
    <x v="0"/>
    <x v="0"/>
    <x v="619"/>
    <n v="14.99"/>
    <x v="619"/>
    <n v="14.99"/>
    <n v="19846.669999999998"/>
  </r>
  <r>
    <x v="2"/>
    <n v="10"/>
    <d v="2023-10-18T00:00:00"/>
    <x v="748"/>
    <x v="0"/>
    <x v="0"/>
    <x v="620"/>
    <n v="14.5"/>
    <x v="620"/>
    <n v="14.5"/>
    <n v="13364.86"/>
  </r>
  <r>
    <x v="1"/>
    <n v="10"/>
    <d v="2024-10-18T00:00:00"/>
    <x v="749"/>
    <x v="0"/>
    <x v="0"/>
    <x v="621"/>
    <n v="14.19"/>
    <x v="621"/>
    <n v="14.19"/>
    <n v="96433.64"/>
  </r>
  <r>
    <x v="1"/>
    <n v="4"/>
    <d v="2024-04-05T00:00:00"/>
    <x v="750"/>
    <x v="0"/>
    <x v="0"/>
    <x v="622"/>
    <n v="14"/>
    <x v="622"/>
    <n v="14"/>
    <n v="12070.34"/>
  </r>
  <r>
    <x v="1"/>
    <n v="4"/>
    <d v="2024-04-23T00:00:00"/>
    <x v="751"/>
    <x v="0"/>
    <x v="0"/>
    <x v="622"/>
    <n v="14"/>
    <x v="622"/>
    <n v="14"/>
    <n v="12193.91"/>
  </r>
  <r>
    <x v="1"/>
    <n v="5"/>
    <d v="2024-05-07T00:00:00"/>
    <x v="752"/>
    <x v="0"/>
    <x v="0"/>
    <x v="622"/>
    <n v="14"/>
    <x v="622"/>
    <n v="14"/>
    <n v="7413.48"/>
  </r>
  <r>
    <x v="1"/>
    <n v="6"/>
    <d v="2024-06-03T00:00:00"/>
    <x v="753"/>
    <x v="0"/>
    <x v="0"/>
    <x v="622"/>
    <n v="14"/>
    <x v="622"/>
    <n v="14"/>
    <n v="5918.54"/>
  </r>
  <r>
    <x v="1"/>
    <n v="6"/>
    <d v="2024-06-14T00:00:00"/>
    <x v="754"/>
    <x v="0"/>
    <x v="0"/>
    <x v="622"/>
    <n v="14"/>
    <x v="622"/>
    <n v="14"/>
    <n v="19841.55"/>
  </r>
  <r>
    <x v="1"/>
    <n v="4"/>
    <d v="2024-04-11T00:00:00"/>
    <x v="755"/>
    <x v="0"/>
    <x v="0"/>
    <x v="623"/>
    <n v="13.13"/>
    <x v="623"/>
    <n v="13.13"/>
    <n v="36707.279999999999"/>
  </r>
  <r>
    <x v="1"/>
    <n v="9"/>
    <d v="2024-09-09T00:00:00"/>
    <x v="756"/>
    <x v="0"/>
    <x v="0"/>
    <x v="624"/>
    <n v="12.57"/>
    <x v="624"/>
    <n v="12.57"/>
    <n v="68006.240000000005"/>
  </r>
  <r>
    <x v="1"/>
    <n v="1"/>
    <d v="2024-01-16T00:00:00"/>
    <x v="757"/>
    <x v="0"/>
    <x v="0"/>
    <x v="625"/>
    <n v="12.55"/>
    <x v="625"/>
    <n v="12.55"/>
    <n v="20298.009999999998"/>
  </r>
  <r>
    <x v="1"/>
    <n v="2"/>
    <d v="2024-02-23T00:00:00"/>
    <x v="758"/>
    <x v="0"/>
    <x v="0"/>
    <x v="626"/>
    <n v="11.68"/>
    <x v="626"/>
    <n v="11.68"/>
    <n v="17875.099999999999"/>
  </r>
  <r>
    <x v="1"/>
    <n v="7"/>
    <d v="2024-07-01T00:00:00"/>
    <x v="759"/>
    <x v="0"/>
    <x v="0"/>
    <x v="627"/>
    <n v="11.02"/>
    <x v="627"/>
    <n v="11.02"/>
    <n v="60978.12"/>
  </r>
  <r>
    <x v="1"/>
    <n v="3"/>
    <d v="2024-03-28T00:00:00"/>
    <x v="278"/>
    <x v="0"/>
    <x v="0"/>
    <x v="628"/>
    <n v="10.06"/>
    <x v="628"/>
    <n v="10.06"/>
    <n v="22469.8"/>
  </r>
  <r>
    <x v="1"/>
    <n v="1"/>
    <d v="2024-01-29T00:00:00"/>
    <x v="760"/>
    <x v="0"/>
    <x v="0"/>
    <x v="629"/>
    <n v="10"/>
    <x v="629"/>
    <n v="10"/>
    <n v="26473.96"/>
  </r>
  <r>
    <x v="1"/>
    <n v="9"/>
    <d v="2024-09-03T00:00:00"/>
    <x v="761"/>
    <x v="0"/>
    <x v="0"/>
    <x v="629"/>
    <n v="10"/>
    <x v="629"/>
    <n v="10"/>
    <n v="70190.820000000007"/>
  </r>
  <r>
    <x v="0"/>
    <n v="1"/>
    <d v="2025-01-02T00:00:00"/>
    <x v="762"/>
    <x v="0"/>
    <x v="0"/>
    <x v="630"/>
    <n v="9.1"/>
    <x v="630"/>
    <n v="9.1"/>
    <n v="150205.51"/>
  </r>
  <r>
    <x v="1"/>
    <n v="12"/>
    <d v="2024-12-02T00:00:00"/>
    <x v="763"/>
    <x v="0"/>
    <x v="0"/>
    <x v="631"/>
    <n v="8.51"/>
    <x v="631"/>
    <n v="8.51"/>
    <n v="4390.6899999999996"/>
  </r>
  <r>
    <x v="1"/>
    <n v="3"/>
    <d v="2024-03-28T00:00:00"/>
    <x v="764"/>
    <x v="0"/>
    <x v="0"/>
    <x v="632"/>
    <n v="8.5"/>
    <x v="632"/>
    <n v="8.5"/>
    <n v="22566.78"/>
  </r>
  <r>
    <x v="0"/>
    <n v="1"/>
    <d v="2025-01-02T00:00:00"/>
    <x v="765"/>
    <x v="0"/>
    <x v="0"/>
    <x v="633"/>
    <n v="8.4700000000000006"/>
    <x v="633"/>
    <n v="8.4700000000000006"/>
    <n v="150394.32"/>
  </r>
  <r>
    <x v="0"/>
    <n v="1"/>
    <d v="2025-01-02T00:00:00"/>
    <x v="766"/>
    <x v="0"/>
    <x v="0"/>
    <x v="634"/>
    <n v="8.26"/>
    <x v="634"/>
    <n v="8.26"/>
    <n v="150572.62"/>
  </r>
  <r>
    <x v="1"/>
    <n v="12"/>
    <d v="2024-12-05T00:00:00"/>
    <x v="767"/>
    <x v="0"/>
    <x v="0"/>
    <x v="635"/>
    <n v="7.53"/>
    <x v="635"/>
    <n v="7.53"/>
    <n v="2049.19"/>
  </r>
  <r>
    <x v="1"/>
    <n v="7"/>
    <d v="2024-07-29T00:00:00"/>
    <x v="768"/>
    <x v="0"/>
    <x v="0"/>
    <x v="636"/>
    <n v="7.28"/>
    <x v="636"/>
    <n v="7.28"/>
    <n v="30466.26"/>
  </r>
  <r>
    <x v="1"/>
    <n v="3"/>
    <d v="2024-03-06T00:00:00"/>
    <x v="769"/>
    <x v="0"/>
    <x v="0"/>
    <x v="637"/>
    <n v="6.36"/>
    <x v="637"/>
    <n v="6.36"/>
    <n v="45815.360000000001"/>
  </r>
  <r>
    <x v="1"/>
    <n v="5"/>
    <d v="2024-05-06T00:00:00"/>
    <x v="770"/>
    <x v="0"/>
    <x v="0"/>
    <x v="637"/>
    <n v="6.36"/>
    <x v="637"/>
    <n v="6.36"/>
    <n v="10121.01"/>
  </r>
  <r>
    <x v="1"/>
    <n v="6"/>
    <d v="2024-06-06T00:00:00"/>
    <x v="771"/>
    <x v="0"/>
    <x v="0"/>
    <x v="637"/>
    <n v="6.36"/>
    <x v="637"/>
    <n v="6.36"/>
    <n v="25335.4"/>
  </r>
  <r>
    <x v="1"/>
    <n v="7"/>
    <d v="2024-07-05T00:00:00"/>
    <x v="772"/>
    <x v="0"/>
    <x v="0"/>
    <x v="637"/>
    <n v="6.36"/>
    <x v="637"/>
    <n v="6.36"/>
    <n v="71665"/>
  </r>
  <r>
    <x v="1"/>
    <n v="8"/>
    <d v="2024-08-05T00:00:00"/>
    <x v="773"/>
    <x v="0"/>
    <x v="0"/>
    <x v="637"/>
    <n v="6.36"/>
    <x v="637"/>
    <n v="6.36"/>
    <n v="42052.24"/>
  </r>
  <r>
    <x v="1"/>
    <n v="10"/>
    <d v="2024-10-29T00:00:00"/>
    <x v="774"/>
    <x v="0"/>
    <x v="0"/>
    <x v="638"/>
    <n v="5.83"/>
    <x v="638"/>
    <n v="5.83"/>
    <n v="74831.929999999993"/>
  </r>
  <r>
    <x v="1"/>
    <n v="1"/>
    <d v="2024-01-26T00:00:00"/>
    <x v="775"/>
    <x v="0"/>
    <x v="0"/>
    <x v="639"/>
    <n v="5.79"/>
    <x v="639"/>
    <n v="5.79"/>
    <n v="27159.94"/>
  </r>
  <r>
    <x v="2"/>
    <n v="11"/>
    <d v="2023-11-02T00:00:00"/>
    <x v="776"/>
    <x v="0"/>
    <x v="0"/>
    <x v="640"/>
    <n v="1"/>
    <x v="640"/>
    <n v="1"/>
    <n v="12491.24"/>
  </r>
  <r>
    <x v="2"/>
    <n v="11"/>
    <d v="2023-11-29T00:00:00"/>
    <x v="777"/>
    <x v="0"/>
    <x v="0"/>
    <x v="640"/>
    <n v="1"/>
    <x v="640"/>
    <n v="1"/>
    <n v="33454.879999999997"/>
  </r>
  <r>
    <x v="2"/>
    <n v="12"/>
    <d v="2023-12-04T00:00:00"/>
    <x v="778"/>
    <x v="0"/>
    <x v="0"/>
    <x v="640"/>
    <n v="1"/>
    <x v="640"/>
    <n v="1"/>
    <n v="19176.990000000002"/>
  </r>
  <r>
    <x v="1"/>
    <n v="1"/>
    <d v="2024-01-03T00:00:00"/>
    <x v="779"/>
    <x v="0"/>
    <x v="0"/>
    <x v="640"/>
    <n v="1"/>
    <x v="640"/>
    <n v="1"/>
    <n v="28348.5"/>
  </r>
  <r>
    <x v="1"/>
    <n v="2"/>
    <d v="2024-02-02T00:00:00"/>
    <x v="780"/>
    <x v="0"/>
    <x v="0"/>
    <x v="640"/>
    <n v="1"/>
    <x v="640"/>
    <n v="1"/>
    <n v="36503.9"/>
  </r>
  <r>
    <x v="1"/>
    <n v="3"/>
    <d v="2024-03-04T00:00:00"/>
    <x v="781"/>
    <x v="0"/>
    <x v="0"/>
    <x v="640"/>
    <n v="1"/>
    <x v="640"/>
    <n v="1"/>
    <n v="27871.72"/>
  </r>
  <r>
    <x v="1"/>
    <n v="4"/>
    <d v="2024-04-02T00:00:00"/>
    <x v="782"/>
    <x v="0"/>
    <x v="0"/>
    <x v="640"/>
    <n v="1"/>
    <x v="640"/>
    <n v="1"/>
    <n v="34720.160000000003"/>
  </r>
  <r>
    <x v="1"/>
    <n v="5"/>
    <d v="2024-05-02T00:00:00"/>
    <x v="783"/>
    <x v="0"/>
    <x v="0"/>
    <x v="640"/>
    <n v="1"/>
    <x v="640"/>
    <n v="1"/>
    <n v="27234.36"/>
  </r>
  <r>
    <x v="1"/>
    <n v="6"/>
    <d v="2024-06-04T00:00:00"/>
    <x v="784"/>
    <x v="0"/>
    <x v="0"/>
    <x v="640"/>
    <n v="1"/>
    <x v="640"/>
    <n v="1"/>
    <n v="25341.759999999998"/>
  </r>
  <r>
    <x v="1"/>
    <n v="7"/>
    <d v="2024-07-02T00:00:00"/>
    <x v="785"/>
    <x v="0"/>
    <x v="0"/>
    <x v="640"/>
    <n v="1"/>
    <x v="640"/>
    <n v="1"/>
    <n v="71921.960000000006"/>
  </r>
  <r>
    <x v="1"/>
    <n v="8"/>
    <d v="2024-08-02T00:00:00"/>
    <x v="786"/>
    <x v="0"/>
    <x v="0"/>
    <x v="640"/>
    <n v="1"/>
    <x v="640"/>
    <n v="1"/>
    <n v="44054.15"/>
  </r>
  <r>
    <x v="1"/>
    <n v="9"/>
    <d v="2024-09-04T00:00:00"/>
    <x v="787"/>
    <x v="0"/>
    <x v="0"/>
    <x v="640"/>
    <n v="1"/>
    <x v="640"/>
    <n v="1"/>
    <n v="70126.92"/>
  </r>
  <r>
    <x v="1"/>
    <n v="9"/>
    <d v="2024-09-06T00:00:00"/>
    <x v="788"/>
    <x v="0"/>
    <x v="0"/>
    <x v="640"/>
    <n v="1"/>
    <x v="640"/>
    <n v="1"/>
    <n v="48685.81"/>
  </r>
  <r>
    <x v="1"/>
    <n v="10"/>
    <d v="2024-10-02T00:00:00"/>
    <x v="789"/>
    <x v="0"/>
    <x v="0"/>
    <x v="640"/>
    <n v="1"/>
    <x v="640"/>
    <n v="1"/>
    <n v="77546.679999999993"/>
  </r>
  <r>
    <x v="1"/>
    <n v="11"/>
    <d v="2024-11-04T00:00:00"/>
    <x v="790"/>
    <x v="0"/>
    <x v="0"/>
    <x v="640"/>
    <n v="1"/>
    <x v="640"/>
    <n v="1"/>
    <n v="40740.26"/>
  </r>
  <r>
    <x v="1"/>
    <n v="5"/>
    <d v="2024-05-01T00:00:00"/>
    <x v="164"/>
    <x v="0"/>
    <x v="0"/>
    <x v="641"/>
    <n v="7.0000000000000007E-2"/>
    <x v="641"/>
    <n v="7.0000000000000007E-2"/>
    <n v="15741.24"/>
  </r>
  <r>
    <x v="1"/>
    <n v="12"/>
    <d v="2024-12-20T00:00:00"/>
    <x v="791"/>
    <x v="1"/>
    <x v="1"/>
    <x v="642"/>
    <m/>
    <x v="642"/>
    <n v="0.04"/>
    <n v="44277.01"/>
  </r>
  <r>
    <x v="1"/>
    <n v="10"/>
    <d v="2024-10-09T00:00:00"/>
    <x v="792"/>
    <x v="1"/>
    <x v="2"/>
    <x v="642"/>
    <m/>
    <x v="643"/>
    <n v="1.64"/>
    <n v="69518.98"/>
  </r>
  <r>
    <x v="1"/>
    <n v="10"/>
    <d v="2024-10-09T00:00:00"/>
    <x v="792"/>
    <x v="1"/>
    <x v="3"/>
    <x v="642"/>
    <m/>
    <x v="644"/>
    <n v="2.02"/>
    <n v="69517.34"/>
  </r>
  <r>
    <x v="1"/>
    <n v="10"/>
    <d v="2024-10-09T00:00:00"/>
    <x v="792"/>
    <x v="1"/>
    <x v="4"/>
    <x v="642"/>
    <m/>
    <x v="645"/>
    <n v="3.33"/>
    <n v="69515.320000000007"/>
  </r>
  <r>
    <x v="2"/>
    <n v="10"/>
    <d v="2023-10-25T00:00:00"/>
    <x v="793"/>
    <x v="1"/>
    <x v="5"/>
    <x v="642"/>
    <m/>
    <x v="646"/>
    <n v="5.5"/>
    <n v="37674.57"/>
  </r>
  <r>
    <x v="1"/>
    <n v="5"/>
    <d v="2024-05-24T00:00:00"/>
    <x v="794"/>
    <x v="1"/>
    <x v="6"/>
    <x v="642"/>
    <m/>
    <x v="647"/>
    <n v="28.26"/>
    <n v="18534.87"/>
  </r>
  <r>
    <x v="1"/>
    <n v="5"/>
    <d v="2024-05-02T00:00:00"/>
    <x v="164"/>
    <x v="1"/>
    <x v="7"/>
    <x v="642"/>
    <m/>
    <x v="648"/>
    <n v="32.01"/>
    <n v="27873.25"/>
  </r>
  <r>
    <x v="1"/>
    <n v="6"/>
    <d v="2024-06-04T00:00:00"/>
    <x v="164"/>
    <x v="1"/>
    <x v="8"/>
    <x v="642"/>
    <m/>
    <x v="649"/>
    <n v="42.24"/>
    <n v="25960.78"/>
  </r>
  <r>
    <x v="1"/>
    <n v="12"/>
    <d v="2024-12-20T00:00:00"/>
    <x v="791"/>
    <x v="1"/>
    <x v="9"/>
    <x v="642"/>
    <m/>
    <x v="650"/>
    <n v="45.2"/>
    <n v="44276.97"/>
  </r>
  <r>
    <x v="0"/>
    <n v="2"/>
    <d v="2025-02-27T00:00:00"/>
    <x v="795"/>
    <x v="1"/>
    <x v="10"/>
    <x v="642"/>
    <m/>
    <x v="651"/>
    <n v="46.8"/>
    <n v="65654.789999999994"/>
  </r>
  <r>
    <x v="1"/>
    <n v="8"/>
    <d v="2024-08-12T00:00:00"/>
    <x v="164"/>
    <x v="1"/>
    <x v="11"/>
    <x v="642"/>
    <m/>
    <x v="652"/>
    <n v="50"/>
    <n v="30029.16"/>
  </r>
  <r>
    <x v="1"/>
    <n v="12"/>
    <d v="2024-12-18T00:00:00"/>
    <x v="795"/>
    <x v="1"/>
    <x v="11"/>
    <x v="642"/>
    <m/>
    <x v="652"/>
    <n v="50"/>
    <n v="39817.919999999998"/>
  </r>
  <r>
    <x v="1"/>
    <n v="8"/>
    <d v="2024-08-01T00:00:00"/>
    <x v="793"/>
    <x v="1"/>
    <x v="12"/>
    <x v="642"/>
    <m/>
    <x v="653"/>
    <n v="52.06"/>
    <n v="47930.06"/>
  </r>
  <r>
    <x v="0"/>
    <n v="2"/>
    <d v="2025-02-05T00:00:00"/>
    <x v="795"/>
    <x v="1"/>
    <x v="13"/>
    <x v="642"/>
    <m/>
    <x v="654"/>
    <n v="57.38"/>
    <n v="55811.34"/>
  </r>
  <r>
    <x v="1"/>
    <n v="8"/>
    <d v="2024-08-01T00:00:00"/>
    <x v="793"/>
    <x v="1"/>
    <x v="14"/>
    <x v="642"/>
    <m/>
    <x v="655"/>
    <n v="79.66"/>
    <n v="47878"/>
  </r>
  <r>
    <x v="1"/>
    <n v="9"/>
    <d v="2024-09-24T00:00:00"/>
    <x v="164"/>
    <x v="1"/>
    <x v="15"/>
    <x v="642"/>
    <m/>
    <x v="656"/>
    <n v="79.849999999999994"/>
    <n v="66628.33"/>
  </r>
  <r>
    <x v="1"/>
    <n v="10"/>
    <d v="2024-10-09T00:00:00"/>
    <x v="796"/>
    <x v="1"/>
    <x v="16"/>
    <x v="642"/>
    <m/>
    <x v="657"/>
    <n v="89.99"/>
    <n v="69511.990000000005"/>
  </r>
  <r>
    <x v="1"/>
    <n v="9"/>
    <d v="2024-09-30T00:00:00"/>
    <x v="797"/>
    <x v="1"/>
    <x v="17"/>
    <x v="642"/>
    <m/>
    <x v="658"/>
    <n v="97.12"/>
    <n v="96266.22"/>
  </r>
  <r>
    <x v="1"/>
    <n v="6"/>
    <d v="2024-06-07T00:00:00"/>
    <x v="164"/>
    <x v="1"/>
    <x v="18"/>
    <x v="642"/>
    <m/>
    <x v="659"/>
    <n v="99"/>
    <n v="25434.400000000001"/>
  </r>
  <r>
    <x v="1"/>
    <n v="9"/>
    <d v="2024-09-06T00:00:00"/>
    <x v="164"/>
    <x v="1"/>
    <x v="18"/>
    <x v="642"/>
    <m/>
    <x v="659"/>
    <n v="99"/>
    <n v="80278.11"/>
  </r>
  <r>
    <x v="1"/>
    <n v="10"/>
    <d v="2024-10-01T00:00:00"/>
    <x v="164"/>
    <x v="1"/>
    <x v="18"/>
    <x v="642"/>
    <m/>
    <x v="659"/>
    <n v="99"/>
    <n v="94207.76"/>
  </r>
  <r>
    <x v="1"/>
    <n v="12"/>
    <d v="2024-12-13T00:00:00"/>
    <x v="795"/>
    <x v="1"/>
    <x v="18"/>
    <x v="642"/>
    <m/>
    <x v="659"/>
    <n v="99"/>
    <n v="24973.75"/>
  </r>
  <r>
    <x v="0"/>
    <n v="1"/>
    <d v="2025-01-24T00:00:00"/>
    <x v="793"/>
    <x v="1"/>
    <x v="19"/>
    <x v="642"/>
    <m/>
    <x v="660"/>
    <n v="100"/>
    <n v="78389.39"/>
  </r>
  <r>
    <x v="0"/>
    <n v="2"/>
    <d v="2025-02-07T00:00:00"/>
    <x v="793"/>
    <x v="1"/>
    <x v="19"/>
    <x v="642"/>
    <m/>
    <x v="660"/>
    <n v="100"/>
    <n v="73609.350000000006"/>
  </r>
  <r>
    <x v="0"/>
    <n v="2"/>
    <d v="2025-02-20T00:00:00"/>
    <x v="795"/>
    <x v="1"/>
    <x v="20"/>
    <x v="642"/>
    <m/>
    <x v="661"/>
    <n v="101"/>
    <n v="60001.56"/>
  </r>
  <r>
    <x v="1"/>
    <n v="6"/>
    <d v="2024-06-18T00:00:00"/>
    <x v="164"/>
    <x v="1"/>
    <x v="21"/>
    <x v="642"/>
    <m/>
    <x v="662"/>
    <n v="102.2"/>
    <n v="33239.919999999998"/>
  </r>
  <r>
    <x v="1"/>
    <n v="12"/>
    <d v="2024-12-19T00:00:00"/>
    <x v="795"/>
    <x v="1"/>
    <x v="22"/>
    <x v="642"/>
    <m/>
    <x v="663"/>
    <n v="105.84"/>
    <n v="39923.760000000002"/>
  </r>
  <r>
    <x v="1"/>
    <n v="8"/>
    <d v="2024-08-05T00:00:00"/>
    <x v="164"/>
    <x v="1"/>
    <x v="23"/>
    <x v="642"/>
    <m/>
    <x v="664"/>
    <n v="125"/>
    <n v="49269.15"/>
  </r>
  <r>
    <x v="0"/>
    <n v="3"/>
    <d v="2025-03-05T00:00:00"/>
    <x v="795"/>
    <x v="1"/>
    <x v="23"/>
    <x v="642"/>
    <m/>
    <x v="664"/>
    <n v="125"/>
    <n v="79400.490000000005"/>
  </r>
  <r>
    <x v="1"/>
    <n v="10"/>
    <d v="2024-10-02T00:00:00"/>
    <x v="797"/>
    <x v="1"/>
    <x v="24"/>
    <x v="642"/>
    <m/>
    <x v="665"/>
    <n v="127.53"/>
    <n v="87702.38"/>
  </r>
  <r>
    <x v="1"/>
    <n v="8"/>
    <d v="2024-08-27T00:00:00"/>
    <x v="164"/>
    <x v="1"/>
    <x v="25"/>
    <x v="642"/>
    <m/>
    <x v="666"/>
    <n v="128"/>
    <n v="36858.33"/>
  </r>
  <r>
    <x v="1"/>
    <n v="7"/>
    <d v="2024-07-29T00:00:00"/>
    <x v="164"/>
    <x v="1"/>
    <x v="26"/>
    <x v="642"/>
    <m/>
    <x v="667"/>
    <n v="130"/>
    <n v="30786.05"/>
  </r>
  <r>
    <x v="1"/>
    <n v="10"/>
    <d v="2024-10-29T00:00:00"/>
    <x v="164"/>
    <x v="1"/>
    <x v="27"/>
    <x v="642"/>
    <m/>
    <x v="668"/>
    <n v="131"/>
    <n v="74837.759999999995"/>
  </r>
  <r>
    <x v="1"/>
    <n v="9"/>
    <d v="2024-09-11T00:00:00"/>
    <x v="164"/>
    <x v="1"/>
    <x v="28"/>
    <x v="642"/>
    <m/>
    <x v="669"/>
    <n v="132.06"/>
    <n v="67639.02"/>
  </r>
  <r>
    <x v="1"/>
    <n v="8"/>
    <d v="2024-08-01T00:00:00"/>
    <x v="793"/>
    <x v="1"/>
    <x v="29"/>
    <x v="642"/>
    <m/>
    <x v="670"/>
    <n v="139"/>
    <n v="47798.34"/>
  </r>
  <r>
    <x v="0"/>
    <n v="2"/>
    <d v="2025-02-05T00:00:00"/>
    <x v="795"/>
    <x v="1"/>
    <x v="30"/>
    <x v="642"/>
    <m/>
    <x v="671"/>
    <n v="140.4"/>
    <n v="55753.96"/>
  </r>
  <r>
    <x v="1"/>
    <n v="12"/>
    <d v="2024-12-20T00:00:00"/>
    <x v="791"/>
    <x v="1"/>
    <x v="31"/>
    <x v="642"/>
    <m/>
    <x v="672"/>
    <n v="160.63"/>
    <n v="44231.77"/>
  </r>
  <r>
    <x v="0"/>
    <n v="3"/>
    <d v="2025-03-03T00:00:00"/>
    <x v="795"/>
    <x v="1"/>
    <x v="32"/>
    <x v="642"/>
    <m/>
    <x v="673"/>
    <n v="164"/>
    <n v="90440.77"/>
  </r>
  <r>
    <x v="1"/>
    <n v="8"/>
    <d v="2024-08-01T00:00:00"/>
    <x v="793"/>
    <x v="1"/>
    <x v="33"/>
    <x v="642"/>
    <m/>
    <x v="674"/>
    <n v="164.1"/>
    <n v="47659.34"/>
  </r>
  <r>
    <x v="1"/>
    <n v="8"/>
    <d v="2024-08-01T00:00:00"/>
    <x v="793"/>
    <x v="1"/>
    <x v="34"/>
    <x v="642"/>
    <m/>
    <x v="675"/>
    <n v="164.82"/>
    <n v="47495.24"/>
  </r>
  <r>
    <x v="1"/>
    <n v="12"/>
    <d v="2024-12-20T00:00:00"/>
    <x v="791"/>
    <x v="1"/>
    <x v="35"/>
    <x v="642"/>
    <m/>
    <x v="676"/>
    <n v="173.23"/>
    <n v="44071.14"/>
  </r>
  <r>
    <x v="0"/>
    <n v="2"/>
    <d v="2025-02-18T00:00:00"/>
    <x v="795"/>
    <x v="1"/>
    <x v="36"/>
    <x v="642"/>
    <m/>
    <x v="677"/>
    <n v="179.5"/>
    <n v="64323.12"/>
  </r>
  <r>
    <x v="0"/>
    <n v="3"/>
    <d v="2025-03-06T00:00:00"/>
    <x v="795"/>
    <x v="1"/>
    <x v="37"/>
    <x v="642"/>
    <m/>
    <x v="678"/>
    <n v="179.6"/>
    <n v="79580.09"/>
  </r>
  <r>
    <x v="1"/>
    <n v="9"/>
    <d v="2024-09-10T00:00:00"/>
    <x v="164"/>
    <x v="1"/>
    <x v="38"/>
    <x v="642"/>
    <m/>
    <x v="679"/>
    <n v="180"/>
    <n v="67890.37"/>
  </r>
  <r>
    <x v="1"/>
    <n v="11"/>
    <d v="2024-11-01T00:00:00"/>
    <x v="797"/>
    <x v="1"/>
    <x v="39"/>
    <x v="642"/>
    <m/>
    <x v="680"/>
    <n v="185.41"/>
    <n v="67172.039999999994"/>
  </r>
  <r>
    <x v="0"/>
    <n v="2"/>
    <d v="2025-02-03T00:00:00"/>
    <x v="793"/>
    <x v="1"/>
    <x v="40"/>
    <x v="642"/>
    <m/>
    <x v="681"/>
    <n v="192.6"/>
    <n v="60247.62"/>
  </r>
  <r>
    <x v="2"/>
    <n v="12"/>
    <d v="2023-12-01T00:00:00"/>
    <x v="793"/>
    <x v="1"/>
    <x v="41"/>
    <x v="642"/>
    <m/>
    <x v="682"/>
    <n v="200"/>
    <n v="37459.129999999997"/>
  </r>
  <r>
    <x v="1"/>
    <n v="12"/>
    <d v="2024-12-16T00:00:00"/>
    <x v="795"/>
    <x v="1"/>
    <x v="42"/>
    <x v="642"/>
    <m/>
    <x v="683"/>
    <n v="205"/>
    <n v="70863.570000000007"/>
  </r>
  <r>
    <x v="1"/>
    <n v="7"/>
    <d v="2024-07-10T00:00:00"/>
    <x v="793"/>
    <x v="1"/>
    <x v="43"/>
    <x v="642"/>
    <m/>
    <x v="684"/>
    <n v="210"/>
    <n v="81603.75"/>
  </r>
  <r>
    <x v="1"/>
    <n v="12"/>
    <d v="2024-12-26T00:00:00"/>
    <x v="795"/>
    <x v="1"/>
    <x v="44"/>
    <x v="642"/>
    <m/>
    <x v="685"/>
    <n v="214.8"/>
    <n v="143093.51"/>
  </r>
  <r>
    <x v="1"/>
    <n v="9"/>
    <d v="2024-09-20T00:00:00"/>
    <x v="798"/>
    <x v="1"/>
    <x v="45"/>
    <x v="642"/>
    <m/>
    <x v="686"/>
    <n v="220.14"/>
    <n v="83295.05"/>
  </r>
  <r>
    <x v="1"/>
    <n v="12"/>
    <d v="2024-12-27T00:00:00"/>
    <x v="793"/>
    <x v="1"/>
    <x v="46"/>
    <x v="642"/>
    <m/>
    <x v="687"/>
    <n v="225"/>
    <n v="143318.51"/>
  </r>
  <r>
    <x v="0"/>
    <n v="2"/>
    <d v="2025-02-03T00:00:00"/>
    <x v="793"/>
    <x v="1"/>
    <x v="46"/>
    <x v="642"/>
    <m/>
    <x v="687"/>
    <n v="225"/>
    <n v="60055.02"/>
  </r>
  <r>
    <x v="0"/>
    <n v="1"/>
    <d v="2025-01-27T00:00:00"/>
    <x v="795"/>
    <x v="1"/>
    <x v="47"/>
    <x v="642"/>
    <m/>
    <x v="688"/>
    <n v="226"/>
    <n v="56743.11"/>
  </r>
  <r>
    <x v="0"/>
    <n v="1"/>
    <d v="2025-01-02T00:00:00"/>
    <x v="795"/>
    <x v="1"/>
    <x v="48"/>
    <x v="642"/>
    <m/>
    <x v="689"/>
    <n v="229.2"/>
    <n v="150986.17000000001"/>
  </r>
  <r>
    <x v="0"/>
    <n v="1"/>
    <d v="2025-01-21T00:00:00"/>
    <x v="795"/>
    <x v="1"/>
    <x v="49"/>
    <x v="642"/>
    <m/>
    <x v="690"/>
    <n v="232"/>
    <n v="57204.46"/>
  </r>
  <r>
    <x v="1"/>
    <n v="9"/>
    <d v="2024-09-03T00:00:00"/>
    <x v="799"/>
    <x v="1"/>
    <x v="50"/>
    <x v="642"/>
    <m/>
    <x v="691"/>
    <n v="249.52"/>
    <n v="76818.539999999994"/>
  </r>
  <r>
    <x v="0"/>
    <n v="1"/>
    <d v="2025-01-21T00:00:00"/>
    <x v="793"/>
    <x v="1"/>
    <x v="51"/>
    <x v="642"/>
    <m/>
    <x v="692"/>
    <n v="251.88"/>
    <n v="56972.46"/>
  </r>
  <r>
    <x v="0"/>
    <n v="1"/>
    <d v="2025-01-15T00:00:00"/>
    <x v="795"/>
    <x v="1"/>
    <x v="52"/>
    <x v="642"/>
    <m/>
    <x v="693"/>
    <n v="280"/>
    <n v="55868.61"/>
  </r>
  <r>
    <x v="1"/>
    <n v="2"/>
    <d v="2024-02-20T00:00:00"/>
    <x v="797"/>
    <x v="1"/>
    <x v="53"/>
    <x v="642"/>
    <m/>
    <x v="694"/>
    <n v="288.89"/>
    <n v="16423.34"/>
  </r>
  <r>
    <x v="1"/>
    <n v="6"/>
    <d v="2024-06-14T00:00:00"/>
    <x v="164"/>
    <x v="1"/>
    <x v="54"/>
    <x v="642"/>
    <m/>
    <x v="695"/>
    <n v="300"/>
    <n v="21049.94"/>
  </r>
  <r>
    <x v="1"/>
    <n v="12"/>
    <d v="2024-12-24T00:00:00"/>
    <x v="793"/>
    <x v="1"/>
    <x v="55"/>
    <x v="642"/>
    <m/>
    <x v="696"/>
    <n v="302.10000000000002"/>
    <n v="63605.11"/>
  </r>
  <r>
    <x v="1"/>
    <n v="9"/>
    <d v="2024-09-25T00:00:00"/>
    <x v="164"/>
    <x v="1"/>
    <x v="56"/>
    <x v="642"/>
    <m/>
    <x v="697"/>
    <n v="322.02"/>
    <n v="66384.479999999996"/>
  </r>
  <r>
    <x v="1"/>
    <n v="12"/>
    <d v="2024-12-30T00:00:00"/>
    <x v="795"/>
    <x v="1"/>
    <x v="57"/>
    <x v="642"/>
    <m/>
    <x v="698"/>
    <n v="324"/>
    <n v="158382.10999999999"/>
  </r>
  <r>
    <x v="0"/>
    <n v="2"/>
    <d v="2025-02-21T00:00:00"/>
    <x v="793"/>
    <x v="1"/>
    <x v="58"/>
    <x v="642"/>
    <m/>
    <x v="699"/>
    <n v="326.10000000000002"/>
    <n v="64531.360000000001"/>
  </r>
  <r>
    <x v="1"/>
    <n v="6"/>
    <d v="2024-06-10T00:00:00"/>
    <x v="793"/>
    <x v="1"/>
    <x v="59"/>
    <x v="642"/>
    <m/>
    <x v="700"/>
    <n v="327"/>
    <n v="39765.839999999997"/>
  </r>
  <r>
    <x v="0"/>
    <n v="1"/>
    <d v="2025-01-09T00:00:00"/>
    <x v="795"/>
    <x v="1"/>
    <x v="60"/>
    <x v="642"/>
    <m/>
    <x v="701"/>
    <n v="346"/>
    <n v="79229.210000000006"/>
  </r>
  <r>
    <x v="0"/>
    <n v="1"/>
    <d v="2025-01-21T00:00:00"/>
    <x v="793"/>
    <x v="1"/>
    <x v="61"/>
    <x v="642"/>
    <m/>
    <x v="702"/>
    <n v="350"/>
    <n v="56720.58"/>
  </r>
  <r>
    <x v="0"/>
    <n v="2"/>
    <d v="2025-02-21T00:00:00"/>
    <x v="793"/>
    <x v="1"/>
    <x v="62"/>
    <x v="642"/>
    <m/>
    <x v="703"/>
    <n v="360.18"/>
    <n v="64205.26"/>
  </r>
  <r>
    <x v="0"/>
    <n v="2"/>
    <d v="2025-02-12T00:00:00"/>
    <x v="795"/>
    <x v="1"/>
    <x v="63"/>
    <x v="642"/>
    <m/>
    <x v="704"/>
    <n v="394.6"/>
    <n v="61470.05"/>
  </r>
  <r>
    <x v="0"/>
    <n v="1"/>
    <d v="2025-01-22T00:00:00"/>
    <x v="795"/>
    <x v="1"/>
    <x v="64"/>
    <x v="642"/>
    <m/>
    <x v="705"/>
    <n v="399.8"/>
    <n v="54030.19"/>
  </r>
  <r>
    <x v="0"/>
    <n v="2"/>
    <d v="2025-02-10T00:00:00"/>
    <x v="795"/>
    <x v="1"/>
    <x v="65"/>
    <x v="642"/>
    <m/>
    <x v="706"/>
    <n v="400"/>
    <n v="61612.69"/>
  </r>
  <r>
    <x v="1"/>
    <n v="12"/>
    <d v="2024-12-16T00:00:00"/>
    <x v="795"/>
    <x v="1"/>
    <x v="66"/>
    <x v="642"/>
    <m/>
    <x v="707"/>
    <n v="413"/>
    <n v="70658.570000000007"/>
  </r>
  <r>
    <x v="0"/>
    <n v="2"/>
    <d v="2025-02-28T00:00:00"/>
    <x v="795"/>
    <x v="1"/>
    <x v="67"/>
    <x v="642"/>
    <m/>
    <x v="708"/>
    <n v="425.98"/>
    <n v="66080.77"/>
  </r>
  <r>
    <x v="0"/>
    <n v="2"/>
    <d v="2025-02-19T00:00:00"/>
    <x v="795"/>
    <x v="1"/>
    <x v="68"/>
    <x v="642"/>
    <m/>
    <x v="709"/>
    <n v="434"/>
    <n v="57222.98"/>
  </r>
  <r>
    <x v="0"/>
    <n v="1"/>
    <d v="2025-01-14T00:00:00"/>
    <x v="793"/>
    <x v="1"/>
    <x v="69"/>
    <x v="642"/>
    <m/>
    <x v="710"/>
    <n v="436.8"/>
    <n v="55588.61"/>
  </r>
  <r>
    <x v="2"/>
    <n v="10"/>
    <d v="2023-10-12T00:00:00"/>
    <x v="793"/>
    <x v="1"/>
    <x v="70"/>
    <x v="642"/>
    <m/>
    <x v="711"/>
    <n v="460"/>
    <n v="13996.25"/>
  </r>
  <r>
    <x v="0"/>
    <n v="1"/>
    <d v="2025-01-27T00:00:00"/>
    <x v="795"/>
    <x v="1"/>
    <x v="71"/>
    <x v="642"/>
    <m/>
    <x v="712"/>
    <n v="500"/>
    <n v="56517.11"/>
  </r>
  <r>
    <x v="1"/>
    <n v="9"/>
    <d v="2024-09-04T00:00:00"/>
    <x v="164"/>
    <x v="1"/>
    <x v="72"/>
    <x v="642"/>
    <m/>
    <x v="713"/>
    <n v="517"/>
    <n v="70707.820000000007"/>
  </r>
  <r>
    <x v="1"/>
    <n v="8"/>
    <d v="2024-08-01T00:00:00"/>
    <x v="793"/>
    <x v="1"/>
    <x v="73"/>
    <x v="642"/>
    <m/>
    <x v="714"/>
    <n v="520.16999999999996"/>
    <n v="47330.42"/>
  </r>
  <r>
    <x v="1"/>
    <n v="12"/>
    <d v="2024-12-20T00:00:00"/>
    <x v="791"/>
    <x v="1"/>
    <x v="74"/>
    <x v="642"/>
    <m/>
    <x v="715"/>
    <n v="531.32000000000005"/>
    <n v="43897.91"/>
  </r>
  <r>
    <x v="1"/>
    <n v="9"/>
    <d v="2024-09-20T00:00:00"/>
    <x v="797"/>
    <x v="1"/>
    <x v="75"/>
    <x v="642"/>
    <m/>
    <x v="716"/>
    <n v="540.6"/>
    <n v="83074.91"/>
  </r>
  <r>
    <x v="1"/>
    <n v="12"/>
    <d v="2024-12-20T00:00:00"/>
    <x v="791"/>
    <x v="1"/>
    <x v="76"/>
    <x v="642"/>
    <m/>
    <x v="717"/>
    <n v="540.64"/>
    <n v="43366.59"/>
  </r>
  <r>
    <x v="1"/>
    <n v="12"/>
    <d v="2024-12-20T00:00:00"/>
    <x v="791"/>
    <x v="1"/>
    <x v="77"/>
    <x v="642"/>
    <m/>
    <x v="718"/>
    <n v="548.94000000000005"/>
    <n v="42825.95"/>
  </r>
  <r>
    <x v="1"/>
    <n v="11"/>
    <d v="2024-11-15T00:00:00"/>
    <x v="797"/>
    <x v="1"/>
    <x v="78"/>
    <x v="642"/>
    <m/>
    <x v="719"/>
    <n v="564.03"/>
    <n v="33275.85"/>
  </r>
  <r>
    <x v="1"/>
    <n v="6"/>
    <d v="2024-06-10T00:00:00"/>
    <x v="164"/>
    <x v="1"/>
    <x v="79"/>
    <x v="642"/>
    <m/>
    <x v="720"/>
    <n v="596"/>
    <n v="39438.839999999997"/>
  </r>
  <r>
    <x v="1"/>
    <n v="2"/>
    <d v="2024-02-16T00:00:00"/>
    <x v="797"/>
    <x v="1"/>
    <x v="80"/>
    <x v="642"/>
    <m/>
    <x v="721"/>
    <n v="602.59"/>
    <n v="16134.45"/>
  </r>
  <r>
    <x v="1"/>
    <n v="5"/>
    <d v="2024-05-22T00:00:00"/>
    <x v="793"/>
    <x v="1"/>
    <x v="81"/>
    <x v="642"/>
    <m/>
    <x v="722"/>
    <n v="617"/>
    <n v="18571.13"/>
  </r>
  <r>
    <x v="1"/>
    <n v="5"/>
    <d v="2024-05-30T00:00:00"/>
    <x v="793"/>
    <x v="1"/>
    <x v="82"/>
    <x v="642"/>
    <m/>
    <x v="723"/>
    <n v="635.57000000000005"/>
    <n v="45353.11"/>
  </r>
  <r>
    <x v="0"/>
    <n v="1"/>
    <d v="2025-01-08T00:00:00"/>
    <x v="795"/>
    <x v="1"/>
    <x v="83"/>
    <x v="642"/>
    <m/>
    <x v="724"/>
    <n v="663.02"/>
    <n v="79383.210000000006"/>
  </r>
  <r>
    <x v="1"/>
    <n v="12"/>
    <d v="2024-12-23T00:00:00"/>
    <x v="795"/>
    <x v="1"/>
    <x v="84"/>
    <x v="642"/>
    <m/>
    <x v="725"/>
    <n v="701.6"/>
    <n v="63303.01"/>
  </r>
  <r>
    <x v="0"/>
    <n v="2"/>
    <d v="2025-02-03T00:00:00"/>
    <x v="795"/>
    <x v="1"/>
    <x v="85"/>
    <x v="642"/>
    <m/>
    <x v="726"/>
    <n v="771.1"/>
    <n v="59830.02"/>
  </r>
  <r>
    <x v="0"/>
    <n v="1"/>
    <d v="2025-01-16T00:00:00"/>
    <x v="795"/>
    <x v="1"/>
    <x v="86"/>
    <x v="642"/>
    <m/>
    <x v="727"/>
    <n v="872.62"/>
    <n v="46741.23"/>
  </r>
  <r>
    <x v="0"/>
    <n v="2"/>
    <d v="2025-02-07T00:00:00"/>
    <x v="793"/>
    <x v="1"/>
    <x v="87"/>
    <x v="642"/>
    <m/>
    <x v="728"/>
    <n v="912"/>
    <n v="73509.350000000006"/>
  </r>
  <r>
    <x v="1"/>
    <n v="3"/>
    <d v="2024-03-07T00:00:00"/>
    <x v="793"/>
    <x v="1"/>
    <x v="88"/>
    <x v="642"/>
    <m/>
    <x v="729"/>
    <n v="920.41"/>
    <n v="46735.77"/>
  </r>
  <r>
    <x v="0"/>
    <n v="2"/>
    <d v="2025-02-07T00:00:00"/>
    <x v="793"/>
    <x v="1"/>
    <x v="89"/>
    <x v="642"/>
    <m/>
    <x v="730"/>
    <n v="1005.8"/>
    <n v="72597.350000000006"/>
  </r>
  <r>
    <x v="1"/>
    <n v="9"/>
    <d v="2024-09-16T00:00:00"/>
    <x v="797"/>
    <x v="1"/>
    <x v="90"/>
    <x v="642"/>
    <m/>
    <x v="731"/>
    <n v="1015.43"/>
    <n v="88194.32"/>
  </r>
  <r>
    <x v="1"/>
    <n v="10"/>
    <d v="2024-10-21T00:00:00"/>
    <x v="164"/>
    <x v="1"/>
    <x v="91"/>
    <x v="642"/>
    <m/>
    <x v="732"/>
    <n v="1023"/>
    <n v="72797.63"/>
  </r>
  <r>
    <x v="0"/>
    <n v="1"/>
    <d v="2025-01-29T00:00:00"/>
    <x v="795"/>
    <x v="1"/>
    <x v="92"/>
    <x v="642"/>
    <m/>
    <x v="733"/>
    <n v="1140.0999999999999"/>
    <n v="55824.35"/>
  </r>
  <r>
    <x v="0"/>
    <n v="1"/>
    <d v="2025-01-24T00:00:00"/>
    <x v="795"/>
    <x v="1"/>
    <x v="93"/>
    <x v="642"/>
    <m/>
    <x v="734"/>
    <n v="1214.8"/>
    <n v="78289.39"/>
  </r>
  <r>
    <x v="1"/>
    <n v="9"/>
    <d v="2024-09-30T00:00:00"/>
    <x v="164"/>
    <x v="1"/>
    <x v="94"/>
    <x v="642"/>
    <m/>
    <x v="735"/>
    <n v="1223.5"/>
    <n v="96169.1"/>
  </r>
  <r>
    <x v="1"/>
    <n v="10"/>
    <d v="2024-10-03T00:00:00"/>
    <x v="164"/>
    <x v="1"/>
    <x v="95"/>
    <x v="642"/>
    <m/>
    <x v="736"/>
    <n v="1244.3599999999999"/>
    <n v="89363.04"/>
  </r>
  <r>
    <x v="1"/>
    <n v="8"/>
    <d v="2024-08-19T00:00:00"/>
    <x v="164"/>
    <x v="1"/>
    <x v="96"/>
    <x v="642"/>
    <m/>
    <x v="737"/>
    <n v="1275"/>
    <n v="71922.490000000005"/>
  </r>
  <r>
    <x v="0"/>
    <n v="1"/>
    <d v="2025-01-21T00:00:00"/>
    <x v="800"/>
    <x v="1"/>
    <x v="97"/>
    <x v="642"/>
    <m/>
    <x v="738"/>
    <n v="1320.56"/>
    <n v="56370.58"/>
  </r>
  <r>
    <x v="1"/>
    <n v="10"/>
    <d v="2024-10-15T00:00:00"/>
    <x v="164"/>
    <x v="1"/>
    <x v="98"/>
    <x v="642"/>
    <m/>
    <x v="739"/>
    <n v="1336"/>
    <n v="104481.71"/>
  </r>
  <r>
    <x v="1"/>
    <n v="11"/>
    <d v="2024-11-18T00:00:00"/>
    <x v="801"/>
    <x v="1"/>
    <x v="99"/>
    <x v="642"/>
    <m/>
    <x v="740"/>
    <n v="1417"/>
    <n v="6507.17"/>
  </r>
  <r>
    <x v="1"/>
    <n v="11"/>
    <d v="2024-11-22T00:00:00"/>
    <x v="793"/>
    <x v="1"/>
    <x v="100"/>
    <x v="642"/>
    <m/>
    <x v="741"/>
    <n v="1426.64"/>
    <n v="5215.2299999999996"/>
  </r>
  <r>
    <x v="1"/>
    <n v="12"/>
    <d v="2024-12-23T00:00:00"/>
    <x v="795"/>
    <x v="1"/>
    <x v="101"/>
    <x v="642"/>
    <m/>
    <x v="742"/>
    <n v="1442.4"/>
    <n v="62601.41"/>
  </r>
  <r>
    <x v="1"/>
    <n v="10"/>
    <d v="2024-10-11T00:00:00"/>
    <x v="164"/>
    <x v="1"/>
    <x v="102"/>
    <x v="642"/>
    <m/>
    <x v="743"/>
    <n v="1458"/>
    <n v="67967.06"/>
  </r>
  <r>
    <x v="1"/>
    <n v="7"/>
    <d v="2024-07-30T00:00:00"/>
    <x v="164"/>
    <x v="1"/>
    <x v="103"/>
    <x v="642"/>
    <m/>
    <x v="744"/>
    <n v="1472"/>
    <n v="31938.26"/>
  </r>
  <r>
    <x v="0"/>
    <n v="1"/>
    <d v="2025-01-31T00:00:00"/>
    <x v="795"/>
    <x v="1"/>
    <x v="104"/>
    <x v="642"/>
    <m/>
    <x v="745"/>
    <n v="1500"/>
    <n v="54024.56"/>
  </r>
  <r>
    <x v="0"/>
    <n v="2"/>
    <d v="2025-02-21T00:00:00"/>
    <x v="793"/>
    <x v="1"/>
    <x v="104"/>
    <x v="642"/>
    <m/>
    <x v="745"/>
    <n v="1500"/>
    <n v="63845.08"/>
  </r>
  <r>
    <x v="1"/>
    <n v="12"/>
    <d v="2024-12-10T00:00:00"/>
    <x v="793"/>
    <x v="1"/>
    <x v="105"/>
    <x v="642"/>
    <m/>
    <x v="746"/>
    <n v="1571.99"/>
    <n v="10924.75"/>
  </r>
  <r>
    <x v="2"/>
    <n v="9"/>
    <d v="2023-09-22T00:00:00"/>
    <x v="793"/>
    <x v="1"/>
    <x v="106"/>
    <x v="642"/>
    <m/>
    <x v="747"/>
    <n v="1602"/>
    <n v="14707.86"/>
  </r>
  <r>
    <x v="0"/>
    <n v="2"/>
    <d v="2025-02-07T00:00:00"/>
    <x v="793"/>
    <x v="1"/>
    <x v="107"/>
    <x v="642"/>
    <m/>
    <x v="748"/>
    <n v="1750"/>
    <n v="71591.55"/>
  </r>
  <r>
    <x v="1"/>
    <n v="9"/>
    <d v="2024-09-12T00:00:00"/>
    <x v="164"/>
    <x v="1"/>
    <x v="108"/>
    <x v="642"/>
    <m/>
    <x v="749"/>
    <n v="1973"/>
    <n v="69612.02"/>
  </r>
  <r>
    <x v="1"/>
    <n v="5"/>
    <d v="2024-05-15T00:00:00"/>
    <x v="802"/>
    <x v="1"/>
    <x v="109"/>
    <x v="642"/>
    <m/>
    <x v="750"/>
    <n v="2000"/>
    <n v="25675.07"/>
  </r>
  <r>
    <x v="1"/>
    <n v="12"/>
    <d v="2024-12-10T00:00:00"/>
    <x v="803"/>
    <x v="1"/>
    <x v="109"/>
    <x v="642"/>
    <m/>
    <x v="750"/>
    <n v="2000"/>
    <n v="9352.76"/>
  </r>
  <r>
    <x v="1"/>
    <n v="12"/>
    <d v="2024-12-13T00:00:00"/>
    <x v="804"/>
    <x v="1"/>
    <x v="109"/>
    <x v="642"/>
    <m/>
    <x v="750"/>
    <n v="2000"/>
    <n v="24874.75"/>
  </r>
  <r>
    <x v="1"/>
    <n v="8"/>
    <d v="2024-08-16T00:00:00"/>
    <x v="164"/>
    <x v="1"/>
    <x v="110"/>
    <x v="642"/>
    <m/>
    <x v="751"/>
    <n v="2109"/>
    <n v="59110.45"/>
  </r>
  <r>
    <x v="1"/>
    <n v="5"/>
    <d v="2024-05-13T00:00:00"/>
    <x v="805"/>
    <x v="1"/>
    <x v="111"/>
    <x v="642"/>
    <m/>
    <x v="752"/>
    <n v="2195"/>
    <n v="8837.67"/>
  </r>
  <r>
    <x v="0"/>
    <n v="2"/>
    <d v="2025-02-07T00:00:00"/>
    <x v="795"/>
    <x v="1"/>
    <x v="112"/>
    <x v="642"/>
    <m/>
    <x v="753"/>
    <n v="2247.5"/>
    <n v="69841.55"/>
  </r>
  <r>
    <x v="1"/>
    <n v="12"/>
    <d v="2024-12-20T00:00:00"/>
    <x v="795"/>
    <x v="1"/>
    <x v="113"/>
    <x v="642"/>
    <m/>
    <x v="754"/>
    <n v="2353.25"/>
    <n v="42277.01"/>
  </r>
  <r>
    <x v="1"/>
    <n v="9"/>
    <d v="2024-09-27T00:00:00"/>
    <x v="793"/>
    <x v="1"/>
    <x v="114"/>
    <x v="642"/>
    <m/>
    <x v="755"/>
    <n v="2558.79"/>
    <n v="83665.14"/>
  </r>
  <r>
    <x v="1"/>
    <n v="4"/>
    <d v="2024-04-19T00:00:00"/>
    <x v="793"/>
    <x v="1"/>
    <x v="115"/>
    <x v="642"/>
    <m/>
    <x v="756"/>
    <n v="2662.03"/>
    <n v="11688.19"/>
  </r>
  <r>
    <x v="1"/>
    <n v="10"/>
    <d v="2024-10-30T00:00:00"/>
    <x v="793"/>
    <x v="1"/>
    <x v="116"/>
    <x v="642"/>
    <m/>
    <x v="757"/>
    <n v="2800"/>
    <n v="77631.929999999993"/>
  </r>
  <r>
    <x v="0"/>
    <n v="2"/>
    <d v="2025-02-03T00:00:00"/>
    <x v="795"/>
    <x v="1"/>
    <x v="117"/>
    <x v="642"/>
    <m/>
    <x v="758"/>
    <n v="2830.36"/>
    <n v="59058.92"/>
  </r>
  <r>
    <x v="1"/>
    <n v="4"/>
    <d v="2024-04-01T00:00:00"/>
    <x v="806"/>
    <x v="1"/>
    <x v="118"/>
    <x v="642"/>
    <m/>
    <x v="759"/>
    <n v="2877"/>
    <n v="24336.55"/>
  </r>
  <r>
    <x v="1"/>
    <n v="11"/>
    <d v="2024-11-25T00:00:00"/>
    <x v="807"/>
    <x v="1"/>
    <x v="119"/>
    <x v="642"/>
    <m/>
    <x v="760"/>
    <n v="2900"/>
    <n v="12071.43"/>
  </r>
  <r>
    <x v="1"/>
    <n v="9"/>
    <d v="2024-09-19T00:00:00"/>
    <x v="164"/>
    <x v="1"/>
    <x v="120"/>
    <x v="642"/>
    <m/>
    <x v="761"/>
    <n v="2959.14"/>
    <n v="90293.63"/>
  </r>
  <r>
    <x v="0"/>
    <n v="1"/>
    <d v="2025-01-27T00:00:00"/>
    <x v="797"/>
    <x v="1"/>
    <x v="121"/>
    <x v="642"/>
    <m/>
    <x v="762"/>
    <n v="2978.5"/>
    <n v="56017.11"/>
  </r>
  <r>
    <x v="1"/>
    <n v="7"/>
    <d v="2024-07-22T00:00:00"/>
    <x v="808"/>
    <x v="1"/>
    <x v="122"/>
    <x v="642"/>
    <m/>
    <x v="763"/>
    <n v="2979"/>
    <n v="52091.63"/>
  </r>
  <r>
    <x v="1"/>
    <n v="8"/>
    <d v="2024-08-23T00:00:00"/>
    <x v="164"/>
    <x v="1"/>
    <x v="123"/>
    <x v="642"/>
    <m/>
    <x v="764"/>
    <n v="3110"/>
    <n v="57409.15"/>
  </r>
  <r>
    <x v="1"/>
    <n v="8"/>
    <d v="2024-08-12T00:00:00"/>
    <x v="164"/>
    <x v="1"/>
    <x v="124"/>
    <x v="642"/>
    <m/>
    <x v="765"/>
    <n v="3111"/>
    <n v="29979.16"/>
  </r>
  <r>
    <x v="2"/>
    <n v="9"/>
    <d v="2023-09-11T00:00:00"/>
    <x v="809"/>
    <x v="1"/>
    <x v="125"/>
    <x v="642"/>
    <m/>
    <x v="766"/>
    <n v="3162.86"/>
    <n v="8591.8799999999992"/>
  </r>
  <r>
    <x v="1"/>
    <n v="10"/>
    <d v="2024-10-28T00:00:00"/>
    <x v="810"/>
    <x v="1"/>
    <x v="126"/>
    <x v="642"/>
    <m/>
    <x v="767"/>
    <n v="3188"/>
    <n v="74911.8"/>
  </r>
  <r>
    <x v="1"/>
    <n v="12"/>
    <d v="2024-12-02T00:00:00"/>
    <x v="811"/>
    <x v="1"/>
    <x v="127"/>
    <x v="642"/>
    <m/>
    <x v="768"/>
    <n v="3189"/>
    <n v="4399.2"/>
  </r>
  <r>
    <x v="0"/>
    <n v="2"/>
    <d v="2025-02-18T00:00:00"/>
    <x v="812"/>
    <x v="1"/>
    <x v="128"/>
    <x v="642"/>
    <m/>
    <x v="769"/>
    <n v="3200"/>
    <n v="64143.62"/>
  </r>
  <r>
    <x v="0"/>
    <n v="1"/>
    <d v="2025-01-10T00:00:00"/>
    <x v="795"/>
    <x v="1"/>
    <x v="129"/>
    <x v="642"/>
    <m/>
    <x v="770"/>
    <n v="3266.05"/>
    <n v="63094.35"/>
  </r>
  <r>
    <x v="1"/>
    <n v="3"/>
    <d v="2024-03-18T00:00:00"/>
    <x v="813"/>
    <x v="1"/>
    <x v="130"/>
    <x v="642"/>
    <m/>
    <x v="771"/>
    <n v="3368"/>
    <n v="28996.959999999999"/>
  </r>
  <r>
    <x v="1"/>
    <n v="12"/>
    <d v="2024-12-11T00:00:00"/>
    <x v="814"/>
    <x v="1"/>
    <x v="131"/>
    <x v="642"/>
    <m/>
    <x v="772"/>
    <n v="3522.91"/>
    <n v="14397.66"/>
  </r>
  <r>
    <x v="1"/>
    <n v="9"/>
    <d v="2024-09-19T00:00:00"/>
    <x v="815"/>
    <x v="1"/>
    <x v="132"/>
    <x v="642"/>
    <m/>
    <x v="773"/>
    <n v="3577.74"/>
    <n v="87334.49"/>
  </r>
  <r>
    <x v="0"/>
    <n v="1"/>
    <d v="2025-01-17T00:00:00"/>
    <x v="795"/>
    <x v="1"/>
    <x v="133"/>
    <x v="642"/>
    <m/>
    <x v="774"/>
    <n v="3907.46"/>
    <n v="50648.69"/>
  </r>
  <r>
    <x v="1"/>
    <n v="4"/>
    <d v="2024-04-29T00:00:00"/>
    <x v="816"/>
    <x v="1"/>
    <x v="134"/>
    <x v="642"/>
    <m/>
    <x v="775"/>
    <n v="3932"/>
    <n v="22200.78"/>
  </r>
  <r>
    <x v="2"/>
    <n v="12"/>
    <d v="2023-12-01T00:00:00"/>
    <x v="793"/>
    <x v="1"/>
    <x v="135"/>
    <x v="642"/>
    <m/>
    <x v="776"/>
    <n v="3935"/>
    <n v="37259.129999999997"/>
  </r>
  <r>
    <x v="0"/>
    <n v="2"/>
    <d v="2025-02-21T00:00:00"/>
    <x v="795"/>
    <x v="1"/>
    <x v="136"/>
    <x v="642"/>
    <m/>
    <x v="777"/>
    <n v="4076.7"/>
    <n v="62345.08"/>
  </r>
  <r>
    <x v="1"/>
    <n v="8"/>
    <d v="2024-08-02T00:00:00"/>
    <x v="797"/>
    <x v="1"/>
    <x v="137"/>
    <x v="642"/>
    <m/>
    <x v="778"/>
    <n v="4182.8500000000004"/>
    <n v="46482.73"/>
  </r>
  <r>
    <x v="1"/>
    <n v="10"/>
    <d v="2024-10-07T00:00:00"/>
    <x v="817"/>
    <x v="1"/>
    <x v="138"/>
    <x v="642"/>
    <m/>
    <x v="779"/>
    <n v="4397.3"/>
    <n v="70056.33"/>
  </r>
  <r>
    <x v="1"/>
    <n v="10"/>
    <d v="2024-10-03T00:00:00"/>
    <x v="818"/>
    <x v="1"/>
    <x v="139"/>
    <x v="642"/>
    <m/>
    <x v="780"/>
    <n v="4405"/>
    <n v="88118.68"/>
  </r>
  <r>
    <x v="1"/>
    <n v="7"/>
    <d v="2024-07-01T00:00:00"/>
    <x v="819"/>
    <x v="1"/>
    <x v="140"/>
    <x v="642"/>
    <m/>
    <x v="781"/>
    <n v="4505"/>
    <n v="67769.789999999994"/>
  </r>
  <r>
    <x v="1"/>
    <n v="3"/>
    <d v="2024-03-04T00:00:00"/>
    <x v="820"/>
    <x v="1"/>
    <x v="141"/>
    <x v="642"/>
    <m/>
    <x v="782"/>
    <n v="4510"/>
    <n v="28809.040000000001"/>
  </r>
  <r>
    <x v="1"/>
    <n v="11"/>
    <d v="2024-11-25T00:00:00"/>
    <x v="821"/>
    <x v="1"/>
    <x v="142"/>
    <x v="642"/>
    <m/>
    <x v="783"/>
    <n v="4530"/>
    <n v="9171.43"/>
  </r>
  <r>
    <x v="0"/>
    <n v="2"/>
    <d v="2025-02-24T00:00:00"/>
    <x v="795"/>
    <x v="1"/>
    <x v="143"/>
    <x v="642"/>
    <m/>
    <x v="784"/>
    <n v="4664"/>
    <n v="62981.52"/>
  </r>
  <r>
    <x v="1"/>
    <n v="10"/>
    <d v="2024-10-31T00:00:00"/>
    <x v="793"/>
    <x v="1"/>
    <x v="144"/>
    <x v="642"/>
    <m/>
    <x v="785"/>
    <n v="4677.1400000000003"/>
    <n v="76636"/>
  </r>
  <r>
    <x v="1"/>
    <n v="4"/>
    <d v="2024-04-19T00:00:00"/>
    <x v="822"/>
    <x v="1"/>
    <x v="145"/>
    <x v="642"/>
    <m/>
    <x v="786"/>
    <n v="4700"/>
    <n v="9026.16"/>
  </r>
  <r>
    <x v="2"/>
    <n v="9"/>
    <d v="2023-09-25T00:00:00"/>
    <x v="823"/>
    <x v="1"/>
    <x v="146"/>
    <x v="642"/>
    <m/>
    <x v="787"/>
    <n v="4801.0200000000004"/>
    <n v="14557.86"/>
  </r>
  <r>
    <x v="1"/>
    <n v="5"/>
    <d v="2024-05-17T00:00:00"/>
    <x v="824"/>
    <x v="1"/>
    <x v="147"/>
    <x v="642"/>
    <m/>
    <x v="788"/>
    <n v="4880"/>
    <n v="30446.639999999999"/>
  </r>
  <r>
    <x v="0"/>
    <n v="3"/>
    <d v="2025-03-03T00:00:00"/>
    <x v="825"/>
    <x v="1"/>
    <x v="148"/>
    <x v="642"/>
    <m/>
    <x v="789"/>
    <n v="4892"/>
    <n v="90276.77"/>
  </r>
  <r>
    <x v="1"/>
    <n v="5"/>
    <d v="2024-05-02T00:00:00"/>
    <x v="793"/>
    <x v="1"/>
    <x v="149"/>
    <x v="642"/>
    <m/>
    <x v="790"/>
    <n v="4900"/>
    <n v="27841.24"/>
  </r>
  <r>
    <x v="2"/>
    <n v="10"/>
    <d v="2023-10-06T00:00:00"/>
    <x v="826"/>
    <x v="1"/>
    <x v="150"/>
    <x v="642"/>
    <m/>
    <x v="791"/>
    <n v="5000"/>
    <n v="5597.86"/>
  </r>
  <r>
    <x v="1"/>
    <n v="8"/>
    <d v="2024-08-05T00:00:00"/>
    <x v="827"/>
    <x v="1"/>
    <x v="151"/>
    <x v="642"/>
    <m/>
    <x v="792"/>
    <n v="5090"/>
    <n v="49144.15"/>
  </r>
  <r>
    <x v="1"/>
    <n v="9"/>
    <d v="2024-09-03T00:00:00"/>
    <x v="828"/>
    <x v="1"/>
    <x v="152"/>
    <x v="642"/>
    <m/>
    <x v="793"/>
    <n v="5218.57"/>
    <n v="76569.02"/>
  </r>
  <r>
    <x v="1"/>
    <n v="3"/>
    <d v="2024-03-25T00:00:00"/>
    <x v="829"/>
    <x v="1"/>
    <x v="153"/>
    <x v="642"/>
    <m/>
    <x v="794"/>
    <n v="5402"/>
    <n v="10183.02"/>
  </r>
  <r>
    <x v="1"/>
    <n v="4"/>
    <d v="2024-04-22T00:00:00"/>
    <x v="830"/>
    <x v="1"/>
    <x v="154"/>
    <x v="642"/>
    <m/>
    <x v="795"/>
    <n v="5416"/>
    <n v="13940.51"/>
  </r>
  <r>
    <x v="1"/>
    <n v="12"/>
    <d v="2024-12-09T00:00:00"/>
    <x v="831"/>
    <x v="1"/>
    <x v="155"/>
    <x v="642"/>
    <m/>
    <x v="796"/>
    <n v="5430"/>
    <n v="7479.19"/>
  </r>
  <r>
    <x v="1"/>
    <n v="5"/>
    <d v="2024-05-06T00:00:00"/>
    <x v="832"/>
    <x v="1"/>
    <x v="156"/>
    <x v="642"/>
    <m/>
    <x v="797"/>
    <n v="5431"/>
    <n v="10377.469999999999"/>
  </r>
  <r>
    <x v="1"/>
    <n v="7"/>
    <d v="2024-07-15T00:00:00"/>
    <x v="833"/>
    <x v="1"/>
    <x v="157"/>
    <x v="642"/>
    <m/>
    <x v="798"/>
    <n v="5439"/>
    <n v="64256.63"/>
  </r>
  <r>
    <x v="1"/>
    <n v="8"/>
    <d v="2024-08-01T00:00:00"/>
    <x v="793"/>
    <x v="1"/>
    <x v="158"/>
    <x v="642"/>
    <m/>
    <x v="799"/>
    <n v="5693"/>
    <n v="46810.25"/>
  </r>
  <r>
    <x v="1"/>
    <n v="8"/>
    <d v="2024-08-13T00:00:00"/>
    <x v="164"/>
    <x v="1"/>
    <x v="159"/>
    <x v="642"/>
    <m/>
    <x v="800"/>
    <n v="5748"/>
    <n v="41544.339999999997"/>
  </r>
  <r>
    <x v="0"/>
    <n v="1"/>
    <d v="2025-01-21T00:00:00"/>
    <x v="834"/>
    <x v="1"/>
    <x v="160"/>
    <x v="642"/>
    <m/>
    <x v="801"/>
    <n v="5784"/>
    <n v="55050.02"/>
  </r>
  <r>
    <x v="1"/>
    <n v="10"/>
    <d v="2024-10-03T00:00:00"/>
    <x v="835"/>
    <x v="1"/>
    <x v="161"/>
    <x v="642"/>
    <m/>
    <x v="802"/>
    <n v="6167"/>
    <n v="83713.679999999993"/>
  </r>
  <r>
    <x v="1"/>
    <n v="8"/>
    <d v="2024-08-26T00:00:00"/>
    <x v="836"/>
    <x v="1"/>
    <x v="162"/>
    <x v="642"/>
    <m/>
    <x v="803"/>
    <n v="6178"/>
    <n v="43910.87"/>
  </r>
  <r>
    <x v="0"/>
    <n v="1"/>
    <d v="2025-01-23T00:00:00"/>
    <x v="795"/>
    <x v="1"/>
    <x v="163"/>
    <x v="642"/>
    <m/>
    <x v="804"/>
    <n v="6194.4"/>
    <n v="77074.59"/>
  </r>
  <r>
    <x v="1"/>
    <n v="2"/>
    <d v="2024-02-28T00:00:00"/>
    <x v="793"/>
    <x v="1"/>
    <x v="164"/>
    <x v="642"/>
    <m/>
    <x v="805"/>
    <n v="7093"/>
    <n v="29822.400000000001"/>
  </r>
  <r>
    <x v="1"/>
    <n v="5"/>
    <d v="2024-05-02T00:00:00"/>
    <x v="837"/>
    <x v="1"/>
    <x v="165"/>
    <x v="642"/>
    <m/>
    <x v="806"/>
    <n v="7200"/>
    <n v="22941.24"/>
  </r>
  <r>
    <x v="0"/>
    <n v="2"/>
    <d v="2025-02-03T00:00:00"/>
    <x v="838"/>
    <x v="1"/>
    <x v="166"/>
    <x v="642"/>
    <m/>
    <x v="807"/>
    <n v="7255"/>
    <n v="56228.56"/>
  </r>
  <r>
    <x v="0"/>
    <n v="1"/>
    <d v="2025-01-02T00:00:00"/>
    <x v="795"/>
    <x v="1"/>
    <x v="167"/>
    <x v="642"/>
    <m/>
    <x v="808"/>
    <n v="7331.56"/>
    <n v="150756.97"/>
  </r>
  <r>
    <x v="1"/>
    <n v="4"/>
    <d v="2024-04-08T00:00:00"/>
    <x v="839"/>
    <x v="1"/>
    <x v="168"/>
    <x v="642"/>
    <m/>
    <x v="809"/>
    <n v="8044"/>
    <n v="20114.34"/>
  </r>
  <r>
    <x v="1"/>
    <n v="6"/>
    <d v="2024-06-12T00:00:00"/>
    <x v="164"/>
    <x v="1"/>
    <x v="169"/>
    <x v="642"/>
    <m/>
    <x v="810"/>
    <n v="8140"/>
    <n v="47629.38"/>
  </r>
  <r>
    <x v="0"/>
    <n v="2"/>
    <d v="2025-02-20T00:00:00"/>
    <x v="840"/>
    <x v="1"/>
    <x v="170"/>
    <x v="642"/>
    <m/>
    <x v="811"/>
    <n v="8360.7000000000007"/>
    <n v="59900.56"/>
  </r>
  <r>
    <x v="1"/>
    <n v="3"/>
    <d v="2024-03-11T00:00:00"/>
    <x v="841"/>
    <x v="1"/>
    <x v="171"/>
    <x v="642"/>
    <m/>
    <x v="812"/>
    <n v="8391"/>
    <n v="28609.96"/>
  </r>
  <r>
    <x v="0"/>
    <n v="1"/>
    <d v="2025-01-27T00:00:00"/>
    <x v="842"/>
    <x v="1"/>
    <x v="172"/>
    <x v="642"/>
    <m/>
    <x v="813"/>
    <n v="8688"/>
    <n v="53038.61"/>
  </r>
  <r>
    <x v="1"/>
    <n v="10"/>
    <d v="2024-10-21T00:00:00"/>
    <x v="843"/>
    <x v="1"/>
    <x v="173"/>
    <x v="642"/>
    <m/>
    <x v="814"/>
    <n v="8767"/>
    <n v="71774.63"/>
  </r>
  <r>
    <x v="1"/>
    <n v="2"/>
    <d v="2024-02-26T00:00:00"/>
    <x v="844"/>
    <x v="1"/>
    <x v="174"/>
    <x v="642"/>
    <m/>
    <x v="815"/>
    <n v="8933"/>
    <n v="26386.62"/>
  </r>
  <r>
    <x v="1"/>
    <n v="8"/>
    <d v="2024-08-09T00:00:00"/>
    <x v="845"/>
    <x v="1"/>
    <x v="175"/>
    <x v="642"/>
    <m/>
    <x v="816"/>
    <n v="9000"/>
    <n v="16931.150000000001"/>
  </r>
  <r>
    <x v="1"/>
    <n v="11"/>
    <d v="2024-11-15T00:00:00"/>
    <x v="846"/>
    <x v="1"/>
    <x v="175"/>
    <x v="642"/>
    <m/>
    <x v="816"/>
    <n v="9000"/>
    <n v="32711.82"/>
  </r>
  <r>
    <x v="1"/>
    <n v="11"/>
    <d v="2024-11-26T00:00:00"/>
    <x v="847"/>
    <x v="1"/>
    <x v="175"/>
    <x v="642"/>
    <m/>
    <x v="816"/>
    <n v="9000"/>
    <n v="20964.5"/>
  </r>
  <r>
    <x v="0"/>
    <n v="2"/>
    <d v="2025-02-27T00:00:00"/>
    <x v="848"/>
    <x v="1"/>
    <x v="176"/>
    <x v="642"/>
    <m/>
    <x v="817"/>
    <n v="9250.5"/>
    <n v="65607.990000000005"/>
  </r>
  <r>
    <x v="1"/>
    <n v="9"/>
    <d v="2024-09-13T00:00:00"/>
    <x v="164"/>
    <x v="1"/>
    <x v="177"/>
    <x v="642"/>
    <m/>
    <x v="818"/>
    <n v="9746.6"/>
    <n v="74854.320000000007"/>
  </r>
  <r>
    <x v="1"/>
    <n v="8"/>
    <d v="2024-08-01T00:00:00"/>
    <x v="793"/>
    <x v="1"/>
    <x v="178"/>
    <x v="642"/>
    <m/>
    <x v="819"/>
    <n v="9800"/>
    <n v="41117.25"/>
  </r>
  <r>
    <x v="2"/>
    <n v="9"/>
    <d v="2023-09-21T00:00:00"/>
    <x v="849"/>
    <x v="1"/>
    <x v="179"/>
    <x v="642"/>
    <m/>
    <x v="820"/>
    <n v="10000"/>
    <n v="17961.7"/>
  </r>
  <r>
    <x v="2"/>
    <n v="9"/>
    <d v="2023-09-25T00:00:00"/>
    <x v="850"/>
    <x v="1"/>
    <x v="179"/>
    <x v="642"/>
    <m/>
    <x v="820"/>
    <n v="10000"/>
    <n v="24557.86"/>
  </r>
  <r>
    <x v="1"/>
    <n v="8"/>
    <d v="2024-08-13T00:00:00"/>
    <x v="851"/>
    <x v="1"/>
    <x v="179"/>
    <x v="642"/>
    <m/>
    <x v="820"/>
    <n v="10000"/>
    <n v="35796.339999999997"/>
  </r>
  <r>
    <x v="1"/>
    <n v="6"/>
    <d v="2024-06-24T00:00:00"/>
    <x v="164"/>
    <x v="1"/>
    <x v="180"/>
    <x v="642"/>
    <m/>
    <x v="821"/>
    <n v="10041.86"/>
    <n v="75258.460000000006"/>
  </r>
  <r>
    <x v="1"/>
    <n v="5"/>
    <d v="2024-05-20T00:00:00"/>
    <x v="852"/>
    <x v="1"/>
    <x v="181"/>
    <x v="642"/>
    <m/>
    <x v="822"/>
    <n v="10190"/>
    <n v="18229.5"/>
  </r>
  <r>
    <x v="1"/>
    <n v="9"/>
    <d v="2024-09-23T00:00:00"/>
    <x v="853"/>
    <x v="1"/>
    <x v="182"/>
    <x v="642"/>
    <m/>
    <x v="823"/>
    <n v="10254"/>
    <n v="66748.22"/>
  </r>
  <r>
    <x v="1"/>
    <n v="8"/>
    <d v="2024-08-12T00:00:00"/>
    <x v="854"/>
    <x v="1"/>
    <x v="183"/>
    <x v="642"/>
    <m/>
    <x v="824"/>
    <n v="10336"/>
    <n v="26868.16"/>
  </r>
  <r>
    <x v="2"/>
    <n v="10"/>
    <d v="2023-10-12T00:00:00"/>
    <x v="793"/>
    <x v="1"/>
    <x v="184"/>
    <x v="642"/>
    <m/>
    <x v="825"/>
    <n v="10375.49"/>
    <n v="13536.25"/>
  </r>
  <r>
    <x v="1"/>
    <n v="11"/>
    <d v="2024-11-12T00:00:00"/>
    <x v="855"/>
    <x v="1"/>
    <x v="185"/>
    <x v="642"/>
    <m/>
    <x v="826"/>
    <n v="10377"/>
    <n v="50611.14"/>
  </r>
  <r>
    <x v="1"/>
    <n v="6"/>
    <d v="2024-06-28T00:00:00"/>
    <x v="793"/>
    <x v="1"/>
    <x v="186"/>
    <x v="642"/>
    <m/>
    <x v="827"/>
    <n v="10480.200000000001"/>
    <n v="67040.41"/>
  </r>
  <r>
    <x v="1"/>
    <n v="10"/>
    <d v="2024-10-15T00:00:00"/>
    <x v="856"/>
    <x v="1"/>
    <x v="187"/>
    <x v="642"/>
    <m/>
    <x v="828"/>
    <n v="10606"/>
    <n v="103145.71"/>
  </r>
  <r>
    <x v="1"/>
    <n v="5"/>
    <d v="2024-05-28T00:00:00"/>
    <x v="857"/>
    <x v="1"/>
    <x v="188"/>
    <x v="642"/>
    <m/>
    <x v="829"/>
    <n v="10701"/>
    <n v="27955.35"/>
  </r>
  <r>
    <x v="1"/>
    <n v="8"/>
    <d v="2024-08-29T00:00:00"/>
    <x v="164"/>
    <x v="1"/>
    <x v="189"/>
    <x v="642"/>
    <m/>
    <x v="830"/>
    <n v="11099"/>
    <n v="44375.11"/>
  </r>
  <r>
    <x v="1"/>
    <n v="7"/>
    <d v="2024-07-29T00:00:00"/>
    <x v="858"/>
    <x v="1"/>
    <x v="190"/>
    <x v="642"/>
    <m/>
    <x v="831"/>
    <n v="11311"/>
    <n v="30656.05"/>
  </r>
  <r>
    <x v="1"/>
    <n v="8"/>
    <d v="2024-08-19T00:00:00"/>
    <x v="859"/>
    <x v="1"/>
    <x v="191"/>
    <x v="642"/>
    <m/>
    <x v="832"/>
    <n v="11944"/>
    <n v="70647.490000000005"/>
  </r>
  <r>
    <x v="1"/>
    <n v="4"/>
    <d v="2024-04-29T00:00:00"/>
    <x v="793"/>
    <x v="1"/>
    <x v="192"/>
    <x v="642"/>
    <m/>
    <x v="833"/>
    <n v="12000"/>
    <n v="18268.78"/>
  </r>
  <r>
    <x v="1"/>
    <n v="7"/>
    <d v="2024-07-02T00:00:00"/>
    <x v="793"/>
    <x v="1"/>
    <x v="192"/>
    <x v="642"/>
    <m/>
    <x v="833"/>
    <n v="12000"/>
    <n v="72978.12"/>
  </r>
  <r>
    <x v="1"/>
    <n v="12"/>
    <d v="2024-12-12T00:00:00"/>
    <x v="860"/>
    <x v="1"/>
    <x v="192"/>
    <x v="642"/>
    <m/>
    <x v="833"/>
    <n v="12000"/>
    <n v="26397.66"/>
  </r>
  <r>
    <x v="1"/>
    <n v="6"/>
    <d v="2024-06-24T00:00:00"/>
    <x v="861"/>
    <x v="1"/>
    <x v="193"/>
    <x v="642"/>
    <m/>
    <x v="834"/>
    <n v="12091"/>
    <n v="65216.6"/>
  </r>
  <r>
    <x v="1"/>
    <n v="11"/>
    <d v="2024-11-04T00:00:00"/>
    <x v="862"/>
    <x v="1"/>
    <x v="194"/>
    <x v="642"/>
    <m/>
    <x v="835"/>
    <n v="12121"/>
    <n v="42293.120000000003"/>
  </r>
  <r>
    <x v="1"/>
    <n v="6"/>
    <d v="2024-06-26T00:00:00"/>
    <x v="164"/>
    <x v="1"/>
    <x v="195"/>
    <x v="642"/>
    <m/>
    <x v="836"/>
    <n v="12146"/>
    <n v="86854.46"/>
  </r>
  <r>
    <x v="0"/>
    <n v="2"/>
    <d v="2025-02-06T00:00:00"/>
    <x v="795"/>
    <x v="1"/>
    <x v="196"/>
    <x v="642"/>
    <m/>
    <x v="837"/>
    <n v="12149.9"/>
    <n v="67594.05"/>
  </r>
  <r>
    <x v="1"/>
    <n v="9"/>
    <d v="2024-09-05T00:00:00"/>
    <x v="164"/>
    <x v="1"/>
    <x v="197"/>
    <x v="642"/>
    <m/>
    <x v="838"/>
    <n v="12268"/>
    <n v="82394.92"/>
  </r>
  <r>
    <x v="1"/>
    <n v="4"/>
    <d v="2024-04-15T00:00:00"/>
    <x v="863"/>
    <x v="1"/>
    <x v="198"/>
    <x v="642"/>
    <m/>
    <x v="839"/>
    <n v="12385"/>
    <n v="48756.28"/>
  </r>
  <r>
    <x v="2"/>
    <n v="11"/>
    <d v="2023-11-22T00:00:00"/>
    <x v="793"/>
    <x v="1"/>
    <x v="199"/>
    <x v="642"/>
    <m/>
    <x v="840"/>
    <n v="13000"/>
    <n v="35615.980000000003"/>
  </r>
  <r>
    <x v="1"/>
    <n v="7"/>
    <d v="2024-07-08T00:00:00"/>
    <x v="864"/>
    <x v="1"/>
    <x v="200"/>
    <x v="642"/>
    <m/>
    <x v="841"/>
    <n v="13296"/>
    <n v="84834.57"/>
  </r>
  <r>
    <x v="1"/>
    <n v="6"/>
    <d v="2024-06-10T00:00:00"/>
    <x v="865"/>
    <x v="1"/>
    <x v="201"/>
    <x v="642"/>
    <m/>
    <x v="842"/>
    <n v="13535"/>
    <n v="38842.839999999997"/>
  </r>
  <r>
    <x v="1"/>
    <n v="9"/>
    <d v="2024-09-16T00:00:00"/>
    <x v="866"/>
    <x v="1"/>
    <x v="202"/>
    <x v="642"/>
    <m/>
    <x v="843"/>
    <n v="13643"/>
    <n v="87178.89"/>
  </r>
  <r>
    <x v="1"/>
    <n v="8"/>
    <d v="2024-08-26T00:00:00"/>
    <x v="164"/>
    <x v="1"/>
    <x v="203"/>
    <x v="642"/>
    <m/>
    <x v="844"/>
    <n v="13858.88"/>
    <n v="37732.870000000003"/>
  </r>
  <r>
    <x v="1"/>
    <n v="1"/>
    <d v="2024-01-11T00:00:00"/>
    <x v="867"/>
    <x v="1"/>
    <x v="204"/>
    <x v="642"/>
    <m/>
    <x v="845"/>
    <n v="14000"/>
    <n v="45933.94"/>
  </r>
  <r>
    <x v="1"/>
    <n v="12"/>
    <d v="2024-12-16T00:00:00"/>
    <x v="868"/>
    <x v="1"/>
    <x v="205"/>
    <x v="642"/>
    <m/>
    <x v="846"/>
    <n v="14296"/>
    <n v="70245.570000000007"/>
  </r>
  <r>
    <x v="0"/>
    <n v="1"/>
    <d v="2025-01-30T00:00:00"/>
    <x v="795"/>
    <x v="1"/>
    <x v="206"/>
    <x v="642"/>
    <m/>
    <x v="847"/>
    <n v="14581.87"/>
    <n v="55370.06"/>
  </r>
  <r>
    <x v="1"/>
    <n v="5"/>
    <d v="2024-05-15T00:00:00"/>
    <x v="869"/>
    <x v="1"/>
    <x v="207"/>
    <x v="642"/>
    <m/>
    <x v="848"/>
    <n v="15000"/>
    <n v="23675.07"/>
  </r>
  <r>
    <x v="1"/>
    <n v="6"/>
    <d v="2024-06-17T00:00:00"/>
    <x v="870"/>
    <x v="1"/>
    <x v="208"/>
    <x v="642"/>
    <m/>
    <x v="849"/>
    <n v="15156"/>
    <n v="34997.550000000003"/>
  </r>
  <r>
    <x v="1"/>
    <n v="3"/>
    <d v="2024-03-28T00:00:00"/>
    <x v="793"/>
    <x v="1"/>
    <x v="209"/>
    <x v="642"/>
    <m/>
    <x v="850"/>
    <n v="15399"/>
    <n v="22916.49"/>
  </r>
  <r>
    <x v="1"/>
    <n v="8"/>
    <d v="2024-08-16T00:00:00"/>
    <x v="871"/>
    <x v="1"/>
    <x v="210"/>
    <x v="642"/>
    <m/>
    <x v="851"/>
    <n v="15928.5"/>
    <n v="57001.45"/>
  </r>
  <r>
    <x v="1"/>
    <n v="2"/>
    <d v="2024-02-02T00:00:00"/>
    <x v="793"/>
    <x v="1"/>
    <x v="211"/>
    <x v="642"/>
    <m/>
    <x v="852"/>
    <n v="16000"/>
    <n v="36827.050000000003"/>
  </r>
  <r>
    <x v="1"/>
    <n v="4"/>
    <d v="2024-04-02T00:00:00"/>
    <x v="793"/>
    <x v="1"/>
    <x v="211"/>
    <x v="642"/>
    <m/>
    <x v="852"/>
    <n v="16000"/>
    <n v="35325.21"/>
  </r>
  <r>
    <x v="1"/>
    <n v="2"/>
    <d v="2024-02-22T00:00:00"/>
    <x v="793"/>
    <x v="1"/>
    <x v="212"/>
    <x v="642"/>
    <m/>
    <x v="853"/>
    <n v="16255.86"/>
    <n v="31849.47"/>
  </r>
  <r>
    <x v="1"/>
    <n v="9"/>
    <d v="2024-09-26T00:00:00"/>
    <x v="164"/>
    <x v="1"/>
    <x v="213"/>
    <x v="642"/>
    <m/>
    <x v="854"/>
    <n v="16825"/>
    <n v="83178.28"/>
  </r>
  <r>
    <x v="1"/>
    <n v="12"/>
    <d v="2024-12-23T00:00:00"/>
    <x v="872"/>
    <x v="1"/>
    <x v="214"/>
    <x v="642"/>
    <m/>
    <x v="855"/>
    <n v="16882"/>
    <n v="61159.01"/>
  </r>
  <r>
    <x v="0"/>
    <n v="1"/>
    <d v="2025-01-23T00:00:00"/>
    <x v="793"/>
    <x v="1"/>
    <x v="215"/>
    <x v="642"/>
    <m/>
    <x v="856"/>
    <n v="16900"/>
    <n v="70880.19"/>
  </r>
  <r>
    <x v="1"/>
    <n v="4"/>
    <d v="2024-04-11T00:00:00"/>
    <x v="873"/>
    <x v="1"/>
    <x v="216"/>
    <x v="642"/>
    <m/>
    <x v="857"/>
    <n v="17000"/>
    <n v="36720.410000000003"/>
  </r>
  <r>
    <x v="1"/>
    <n v="3"/>
    <d v="2024-03-05T00:00:00"/>
    <x v="793"/>
    <x v="1"/>
    <x v="217"/>
    <x v="642"/>
    <m/>
    <x v="858"/>
    <n v="18000"/>
    <n v="45871.72"/>
  </r>
  <r>
    <x v="1"/>
    <n v="8"/>
    <d v="2024-08-21T00:00:00"/>
    <x v="793"/>
    <x v="1"/>
    <x v="218"/>
    <x v="642"/>
    <m/>
    <x v="859"/>
    <n v="18127.96"/>
    <n v="78465.03"/>
  </r>
  <r>
    <x v="0"/>
    <n v="2"/>
    <d v="2025-02-24T00:00:00"/>
    <x v="874"/>
    <x v="1"/>
    <x v="219"/>
    <x v="642"/>
    <m/>
    <x v="860"/>
    <n v="18306"/>
    <n v="58317.52"/>
  </r>
  <r>
    <x v="1"/>
    <n v="9"/>
    <d v="2024-09-30T00:00:00"/>
    <x v="875"/>
    <x v="1"/>
    <x v="220"/>
    <x v="642"/>
    <m/>
    <x v="861"/>
    <n v="18404"/>
    <n v="94945.600000000006"/>
  </r>
  <r>
    <x v="0"/>
    <n v="1"/>
    <d v="2025-01-13T00:00:00"/>
    <x v="876"/>
    <x v="1"/>
    <x v="221"/>
    <x v="642"/>
    <m/>
    <x v="862"/>
    <n v="19018"/>
    <n v="55171.81"/>
  </r>
  <r>
    <x v="1"/>
    <n v="9"/>
    <d v="2024-09-09T00:00:00"/>
    <x v="877"/>
    <x v="1"/>
    <x v="222"/>
    <x v="642"/>
    <m/>
    <x v="863"/>
    <n v="19333"/>
    <n v="68018.81"/>
  </r>
  <r>
    <x v="1"/>
    <n v="5"/>
    <d v="2024-05-30T00:00:00"/>
    <x v="878"/>
    <x v="1"/>
    <x v="223"/>
    <x v="642"/>
    <m/>
    <x v="864"/>
    <n v="20000"/>
    <n v="44717.54"/>
  </r>
  <r>
    <x v="1"/>
    <n v="6"/>
    <d v="2024-06-04T00:00:00"/>
    <x v="793"/>
    <x v="1"/>
    <x v="223"/>
    <x v="642"/>
    <m/>
    <x v="864"/>
    <n v="20000"/>
    <n v="25918.54"/>
  </r>
  <r>
    <x v="0"/>
    <n v="1"/>
    <d v="2025-01-06T00:00:00"/>
    <x v="879"/>
    <x v="1"/>
    <x v="224"/>
    <x v="642"/>
    <m/>
    <x v="865"/>
    <n v="20717"/>
    <n v="107063.49"/>
  </r>
  <r>
    <x v="0"/>
    <n v="2"/>
    <d v="2025-02-10T00:00:00"/>
    <x v="880"/>
    <x v="1"/>
    <x v="225"/>
    <x v="642"/>
    <m/>
    <x v="866"/>
    <n v="22337"/>
    <n v="61212.69"/>
  </r>
  <r>
    <x v="2"/>
    <n v="12"/>
    <d v="2023-12-22T00:00:00"/>
    <x v="793"/>
    <x v="1"/>
    <x v="226"/>
    <x v="642"/>
    <m/>
    <x v="867"/>
    <n v="23000"/>
    <n v="62557.46"/>
  </r>
  <r>
    <x v="1"/>
    <n v="6"/>
    <d v="2024-06-20T00:00:00"/>
    <x v="881"/>
    <x v="1"/>
    <x v="227"/>
    <x v="642"/>
    <m/>
    <x v="868"/>
    <n v="23500"/>
    <n v="56142.83"/>
  </r>
  <r>
    <x v="1"/>
    <n v="10"/>
    <d v="2024-10-07T00:00:00"/>
    <x v="164"/>
    <x v="1"/>
    <x v="228"/>
    <x v="642"/>
    <m/>
    <x v="869"/>
    <n v="23705.26"/>
    <n v="65659.03"/>
  </r>
  <r>
    <x v="0"/>
    <n v="3"/>
    <d v="2025-03-03T00:00:00"/>
    <x v="795"/>
    <x v="1"/>
    <x v="229"/>
    <x v="642"/>
    <m/>
    <x v="870"/>
    <n v="24105"/>
    <n v="85384.77"/>
  </r>
  <r>
    <x v="1"/>
    <n v="1"/>
    <d v="2024-01-23T00:00:00"/>
    <x v="882"/>
    <x v="1"/>
    <x v="230"/>
    <x v="642"/>
    <m/>
    <x v="871"/>
    <n v="25000"/>
    <n v="42978.87"/>
  </r>
  <r>
    <x v="1"/>
    <n v="10"/>
    <d v="2024-10-15T00:00:00"/>
    <x v="793"/>
    <x v="1"/>
    <x v="230"/>
    <x v="642"/>
    <m/>
    <x v="871"/>
    <n v="25000"/>
    <n v="92539.71"/>
  </r>
  <r>
    <x v="0"/>
    <n v="1"/>
    <d v="2025-01-06T00:00:00"/>
    <x v="795"/>
    <x v="1"/>
    <x v="231"/>
    <x v="642"/>
    <m/>
    <x v="872"/>
    <n v="26485"/>
    <n v="86346.49"/>
  </r>
  <r>
    <x v="1"/>
    <n v="1"/>
    <d v="2024-01-05T00:00:00"/>
    <x v="793"/>
    <x v="1"/>
    <x v="232"/>
    <x v="642"/>
    <m/>
    <x v="873"/>
    <n v="27000"/>
    <n v="51055.41"/>
  </r>
  <r>
    <x v="2"/>
    <n v="11"/>
    <d v="2023-11-08T00:00:00"/>
    <x v="793"/>
    <x v="1"/>
    <x v="233"/>
    <x v="642"/>
    <m/>
    <x v="874"/>
    <n v="30000"/>
    <n v="41778.800000000003"/>
  </r>
  <r>
    <x v="2"/>
    <n v="10"/>
    <d v="2023-10-25T00:00:00"/>
    <x v="850"/>
    <x v="1"/>
    <x v="234"/>
    <x v="642"/>
    <m/>
    <x v="875"/>
    <n v="35000"/>
    <n v="37669.07"/>
  </r>
  <r>
    <x v="2"/>
    <n v="12"/>
    <d v="2023-12-12T00:00:00"/>
    <x v="793"/>
    <x v="1"/>
    <x v="235"/>
    <x v="642"/>
    <m/>
    <x v="876"/>
    <n v="38000"/>
    <n v="56361.23"/>
  </r>
  <r>
    <x v="1"/>
    <n v="9"/>
    <d v="2024-09-03T00:00:00"/>
    <x v="883"/>
    <x v="1"/>
    <x v="236"/>
    <x v="642"/>
    <m/>
    <x v="877"/>
    <n v="40000"/>
    <n v="71350.45"/>
  </r>
  <r>
    <x v="1"/>
    <n v="12"/>
    <d v="2024-12-16T00:00:00"/>
    <x v="884"/>
    <x v="1"/>
    <x v="237"/>
    <x v="642"/>
    <m/>
    <x v="878"/>
    <n v="54992.73"/>
    <n v="55949.57"/>
  </r>
  <r>
    <x v="1"/>
    <n v="12"/>
    <d v="2024-12-30T00:00:00"/>
    <x v="885"/>
    <x v="1"/>
    <x v="238"/>
    <x v="642"/>
    <m/>
    <x v="879"/>
    <n v="64919"/>
    <n v="158058.10999999999"/>
  </r>
  <r>
    <x v="1"/>
    <n v="12"/>
    <d v="2024-12-26T00:00:00"/>
    <x v="795"/>
    <x v="1"/>
    <x v="239"/>
    <x v="642"/>
    <m/>
    <x v="880"/>
    <n v="79323.600000000006"/>
    <n v="142878.71"/>
  </r>
  <r>
    <x v="1"/>
    <n v="10"/>
    <d v="2024-10-15T00:00:00"/>
    <x v="886"/>
    <x v="0"/>
    <x v="0"/>
    <x v="643"/>
    <m/>
    <x v="881"/>
    <n v="1543.76"/>
    <m/>
  </r>
  <r>
    <x v="3"/>
    <m/>
    <m/>
    <x v="887"/>
    <x v="2"/>
    <x v="0"/>
    <x v="642"/>
    <m/>
    <x v="88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P9" firstHeaderRow="1" firstDataRow="3" firstDataCol="1"/>
  <pivotFields count="11">
    <pivotField axis="axisCol" showAll="0">
      <items count="5">
        <item x="2"/>
        <item x="1"/>
        <item x="0"/>
        <item x="3"/>
        <item t="default"/>
      </items>
    </pivotField>
    <pivotField showAll="0"/>
    <pivotField showAll="0"/>
    <pivotField showAll="0">
      <items count="889">
        <item x="394"/>
        <item x="395"/>
        <item x="348"/>
        <item x="337"/>
        <item x="396"/>
        <item x="375"/>
        <item x="376"/>
        <item x="377"/>
        <item x="372"/>
        <item x="373"/>
        <item x="374"/>
        <item x="637"/>
        <item x="369"/>
        <item x="370"/>
        <item x="371"/>
        <item x="604"/>
        <item x="592"/>
        <item x="593"/>
        <item x="594"/>
        <item x="595"/>
        <item x="597"/>
        <item x="598"/>
        <item x="599"/>
        <item x="629"/>
        <item x="630"/>
        <item x="631"/>
        <item x="632"/>
        <item x="353"/>
        <item x="38"/>
        <item x="241"/>
        <item x="442"/>
        <item x="674"/>
        <item x="305"/>
        <item x="425"/>
        <item x="420"/>
        <item x="625"/>
        <item x="628"/>
        <item x="530"/>
        <item x="574"/>
        <item x="703"/>
        <item x="411"/>
        <item x="561"/>
        <item x="591"/>
        <item x="350"/>
        <item x="453"/>
        <item x="679"/>
        <item x="642"/>
        <item x="543"/>
        <item x="705"/>
        <item x="403"/>
        <item x="749"/>
        <item x="448"/>
        <item x="409"/>
        <item x="601"/>
        <item x="460"/>
        <item x="612"/>
        <item x="680"/>
        <item x="617"/>
        <item x="546"/>
        <item x="702"/>
        <item x="339"/>
        <item x="729"/>
        <item x="567"/>
        <item x="419"/>
        <item x="562"/>
        <item x="575"/>
        <item x="327"/>
        <item x="619"/>
        <item x="647"/>
        <item x="792"/>
        <item x="747"/>
        <item x="746"/>
        <item x="741"/>
        <item x="737"/>
        <item x="744"/>
        <item x="742"/>
        <item x="745"/>
        <item x="739"/>
        <item x="740"/>
        <item x="743"/>
        <item x="738"/>
        <item x="775"/>
        <item x="678"/>
        <item x="794"/>
        <item x="687"/>
        <item x="552"/>
        <item x="291"/>
        <item x="457"/>
        <item x="558"/>
        <item x="774"/>
        <item x="521"/>
        <item x="407"/>
        <item x="701"/>
        <item x="713"/>
        <item x="584"/>
        <item x="641"/>
        <item x="728"/>
        <item x="570"/>
        <item x="555"/>
        <item x="736"/>
        <item x="564"/>
        <item x="495"/>
        <item x="542"/>
        <item x="596"/>
        <item x="623"/>
        <item x="528"/>
        <item x="626"/>
        <item x="627"/>
        <item x="755"/>
        <item x="635"/>
        <item x="706"/>
        <item x="557"/>
        <item x="582"/>
        <item x="565"/>
        <item x="358"/>
        <item x="548"/>
        <item x="398"/>
        <item x="349"/>
        <item x="440"/>
        <item x="667"/>
        <item x="514"/>
        <item x="764"/>
        <item x="571"/>
        <item x="434"/>
        <item x="536"/>
        <item x="636"/>
        <item x="590"/>
        <item x="272"/>
        <item x="677"/>
        <item x="500"/>
        <item x="668"/>
        <item x="768"/>
        <item x="722"/>
        <item x="603"/>
        <item x="758"/>
        <item x="735"/>
        <item x="351"/>
        <item x="693"/>
        <item x="429"/>
        <item x="624"/>
        <item x="685"/>
        <item x="756"/>
        <item x="559"/>
        <item x="650"/>
        <item x="656"/>
        <item x="652"/>
        <item x="640"/>
        <item x="644"/>
        <item x="643"/>
        <item x="639"/>
        <item x="651"/>
        <item x="657"/>
        <item x="661"/>
        <item x="662"/>
        <item x="663"/>
        <item x="664"/>
        <item x="665"/>
        <item x="600"/>
        <item x="621"/>
        <item x="708"/>
        <item x="51"/>
        <item x="445"/>
        <item x="37"/>
        <item x="151"/>
        <item x="298"/>
        <item x="256"/>
        <item x="613"/>
        <item x="614"/>
        <item x="720"/>
        <item x="750"/>
        <item x="751"/>
        <item x="711"/>
        <item x="710"/>
        <item x="689"/>
        <item x="733"/>
        <item x="712"/>
        <item x="709"/>
        <item x="721"/>
        <item x="754"/>
        <item x="516"/>
        <item x="730"/>
        <item x="688"/>
        <item x="752"/>
        <item x="753"/>
        <item x="727"/>
        <item x="732"/>
        <item x="725"/>
        <item x="724"/>
        <item x="726"/>
        <item x="723"/>
        <item x="731"/>
        <item x="588"/>
        <item x="660"/>
        <item x="659"/>
        <item x="654"/>
        <item x="622"/>
        <item x="589"/>
        <item x="704"/>
        <item x="684"/>
        <item x="683"/>
        <item x="690"/>
        <item x="149"/>
        <item x="616"/>
        <item x="130"/>
        <item x="95"/>
        <item x="672"/>
        <item x="459"/>
        <item x="882"/>
        <item x="873"/>
        <item x="881"/>
        <item x="883"/>
        <item x="16"/>
        <item x="837"/>
        <item x="148"/>
        <item x="869"/>
        <item x="802"/>
        <item x="878"/>
        <item x="10"/>
        <item x="76"/>
        <item x="847"/>
        <item x="35"/>
        <item x="867"/>
        <item x="822"/>
        <item x="824"/>
        <item x="851"/>
        <item x="828"/>
        <item x="849"/>
        <item x="807"/>
        <item x="803"/>
        <item x="814"/>
        <item x="124"/>
        <item x="209"/>
        <item x="257"/>
        <item x="182"/>
        <item x="170"/>
        <item x="156"/>
        <item x="222"/>
        <item x="227"/>
        <item x="523"/>
        <item x="282"/>
        <item x="283"/>
        <item x="748"/>
        <item x="259"/>
        <item x="295"/>
        <item x="286"/>
        <item x="210"/>
        <item x="52"/>
        <item x="185"/>
        <item x="232"/>
        <item x="304"/>
        <item x="80"/>
        <item x="464"/>
        <item x="336"/>
        <item x="146"/>
        <item x="180"/>
        <item x="75"/>
        <item x="208"/>
        <item x="165"/>
        <item x="446"/>
        <item x="413"/>
        <item x="49"/>
        <item x="510"/>
        <item x="157"/>
        <item x="167"/>
        <item x="537"/>
        <item x="187"/>
        <item x="287"/>
        <item x="490"/>
        <item x="68"/>
        <item x="134"/>
        <item x="141"/>
        <item x="128"/>
        <item x="175"/>
        <item x="186"/>
        <item x="136"/>
        <item x="169"/>
        <item x="215"/>
        <item x="188"/>
        <item x="189"/>
        <item x="190"/>
        <item x="62"/>
        <item x="66"/>
        <item x="174"/>
        <item x="30"/>
        <item x="0"/>
        <item x="330"/>
        <item x="316"/>
        <item x="633"/>
        <item x="818"/>
        <item x="835"/>
        <item x="800"/>
        <item x="840"/>
        <item x="848"/>
        <item x="871"/>
        <item x="815"/>
        <item x="223"/>
        <item x="400"/>
        <item x="384"/>
        <item x="385"/>
        <item x="386"/>
        <item x="387"/>
        <item x="388"/>
        <item x="389"/>
        <item x="390"/>
        <item x="391"/>
        <item x="392"/>
        <item x="359"/>
        <item x="393"/>
        <item x="397"/>
        <item x="879"/>
        <item x="876"/>
        <item x="834"/>
        <item x="842"/>
        <item x="838"/>
        <item x="880"/>
        <item x="812"/>
        <item x="874"/>
        <item x="844"/>
        <item x="825"/>
        <item x="820"/>
        <item x="841"/>
        <item x="813"/>
        <item x="829"/>
        <item x="806"/>
        <item x="839"/>
        <item x="863"/>
        <item x="830"/>
        <item x="816"/>
        <item x="832"/>
        <item x="805"/>
        <item x="852"/>
        <item x="857"/>
        <item x="865"/>
        <item x="870"/>
        <item x="861"/>
        <item x="819"/>
        <item x="864"/>
        <item x="833"/>
        <item x="808"/>
        <item x="858"/>
        <item x="827"/>
        <item x="854"/>
        <item x="859"/>
        <item x="836"/>
        <item x="877"/>
        <item x="866"/>
        <item x="853"/>
        <item x="875"/>
        <item x="817"/>
        <item x="856"/>
        <item x="843"/>
        <item x="810"/>
        <item x="862"/>
        <item x="855"/>
        <item x="801"/>
        <item x="821"/>
        <item x="811"/>
        <item x="831"/>
        <item x="868"/>
        <item x="872"/>
        <item x="885"/>
        <item x="279"/>
        <item x="280"/>
        <item x="793"/>
        <item x="382"/>
        <item x="383"/>
        <item x="221"/>
        <item x="378"/>
        <item x="379"/>
        <item x="380"/>
        <item x="334"/>
        <item x="581"/>
        <item x="850"/>
        <item x="307"/>
        <item x="326"/>
        <item x="428"/>
        <item x="229"/>
        <item x="414"/>
        <item x="197"/>
        <item x="524"/>
        <item x="585"/>
        <item x="526"/>
        <item x="517"/>
        <item x="482"/>
        <item x="331"/>
        <item x="233"/>
        <item x="634"/>
        <item x="483"/>
        <item x="159"/>
        <item x="214"/>
        <item x="205"/>
        <item x="200"/>
        <item x="204"/>
        <item x="195"/>
        <item x="198"/>
        <item x="183"/>
        <item x="160"/>
        <item x="166"/>
        <item x="184"/>
        <item x="284"/>
        <item x="194"/>
        <item x="211"/>
        <item x="217"/>
        <item x="203"/>
        <item x="181"/>
        <item x="154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76"/>
        <item x="790"/>
        <item x="777"/>
        <item x="778"/>
        <item x="352"/>
        <item x="563"/>
        <item x="795"/>
        <item x="71"/>
        <item x="884"/>
        <item x="579"/>
        <item x="586"/>
        <item x="718"/>
        <item x="694"/>
        <item x="649"/>
        <item x="699"/>
        <item x="700"/>
        <item x="760"/>
        <item x="734"/>
        <item x="615"/>
        <item x="423"/>
        <item x="317"/>
        <item x="262"/>
        <item x="422"/>
        <item x="263"/>
        <item x="264"/>
        <item x="265"/>
        <item x="269"/>
        <item x="266"/>
        <item x="267"/>
        <item x="281"/>
        <item x="717"/>
        <item x="719"/>
        <item x="707"/>
        <item x="695"/>
        <item x="697"/>
        <item x="698"/>
        <item x="716"/>
        <item x="696"/>
        <item x="763"/>
        <item x="714"/>
        <item x="715"/>
        <item x="655"/>
        <item x="239"/>
        <item x="605"/>
        <item x="606"/>
        <item x="607"/>
        <item x="608"/>
        <item x="609"/>
        <item x="610"/>
        <item x="451"/>
        <item x="271"/>
        <item x="218"/>
        <item x="297"/>
        <item x="761"/>
        <item x="164"/>
        <item x="135"/>
        <item x="638"/>
        <item x="456"/>
        <item x="306"/>
        <item x="433"/>
        <item x="247"/>
        <item x="437"/>
        <item x="251"/>
        <item x="512"/>
        <item x="248"/>
        <item x="491"/>
        <item x="249"/>
        <item x="499"/>
        <item x="250"/>
        <item x="333"/>
        <item x="458"/>
        <item x="602"/>
        <item x="252"/>
        <item x="431"/>
        <item x="492"/>
        <item x="254"/>
        <item x="545"/>
        <item x="245"/>
        <item x="439"/>
        <item x="253"/>
        <item x="243"/>
        <item x="481"/>
        <item x="455"/>
        <item x="791"/>
        <item x="480"/>
        <item x="347"/>
        <item x="288"/>
        <item x="289"/>
        <item x="469"/>
        <item x="470"/>
        <item x="471"/>
        <item x="472"/>
        <item x="473"/>
        <item x="474"/>
        <item x="343"/>
        <item x="475"/>
        <item x="224"/>
        <item x="344"/>
        <item x="796"/>
        <item x="476"/>
        <item x="477"/>
        <item x="345"/>
        <item x="478"/>
        <item x="479"/>
        <item x="346"/>
        <item x="653"/>
        <item x="53"/>
        <item x="332"/>
        <item x="418"/>
        <item x="216"/>
        <item x="361"/>
        <item x="362"/>
        <item x="363"/>
        <item x="364"/>
        <item x="365"/>
        <item x="366"/>
        <item x="367"/>
        <item x="368"/>
        <item x="158"/>
        <item x="401"/>
        <item x="410"/>
        <item x="133"/>
        <item x="137"/>
        <item x="404"/>
        <item x="494"/>
        <item x="669"/>
        <item x="553"/>
        <item x="436"/>
        <item x="611"/>
        <item x="766"/>
        <item x="765"/>
        <item x="444"/>
        <item x="274"/>
        <item x="417"/>
        <item x="560"/>
        <item x="435"/>
        <item x="533"/>
        <item x="762"/>
        <item x="355"/>
        <item x="356"/>
        <item x="357"/>
        <item x="199"/>
        <item x="314"/>
        <item x="196"/>
        <item x="319"/>
        <item x="757"/>
        <item x="219"/>
        <item x="242"/>
        <item x="465"/>
        <item x="179"/>
        <item x="290"/>
        <item x="176"/>
        <item x="406"/>
        <item x="692"/>
        <item x="421"/>
        <item x="424"/>
        <item x="278"/>
        <item x="568"/>
        <item x="178"/>
        <item x="324"/>
        <item x="670"/>
        <item x="258"/>
        <item x="228"/>
        <item x="225"/>
        <item x="246"/>
        <item x="580"/>
        <item x="261"/>
        <item x="497"/>
        <item x="220"/>
        <item x="237"/>
        <item x="360"/>
        <item x="231"/>
        <item x="309"/>
        <item x="226"/>
        <item x="515"/>
        <item x="303"/>
        <item x="313"/>
        <item x="338"/>
        <item x="132"/>
        <item x="556"/>
        <item x="335"/>
        <item x="230"/>
        <item x="73"/>
        <item x="268"/>
        <item x="43"/>
        <item x="77"/>
        <item x="150"/>
        <item x="60"/>
        <item x="860"/>
        <item x="804"/>
        <item x="17"/>
        <item x="3"/>
        <item x="142"/>
        <item x="292"/>
        <item x="293"/>
        <item x="121"/>
        <item x="155"/>
        <item x="61"/>
        <item x="58"/>
        <item x="50"/>
        <item x="48"/>
        <item x="44"/>
        <item x="56"/>
        <item x="45"/>
        <item x="47"/>
        <item x="42"/>
        <item x="39"/>
        <item x="40"/>
        <item x="15"/>
        <item x="22"/>
        <item x="24"/>
        <item x="28"/>
        <item x="23"/>
        <item x="29"/>
        <item x="20"/>
        <item x="21"/>
        <item x="27"/>
        <item x="153"/>
        <item x="26"/>
        <item x="19"/>
        <item x="5"/>
        <item x="845"/>
        <item x="9"/>
        <item x="11"/>
        <item x="12"/>
        <item x="1"/>
        <item x="8"/>
        <item x="7"/>
        <item x="846"/>
        <item x="13"/>
        <item x="36"/>
        <item x="25"/>
        <item x="2"/>
        <item x="14"/>
        <item x="6"/>
        <item x="4"/>
        <item x="18"/>
        <item x="809"/>
        <item x="191"/>
        <item x="129"/>
        <item x="127"/>
        <item x="131"/>
        <item x="126"/>
        <item x="125"/>
        <item x="122"/>
        <item x="144"/>
        <item x="123"/>
        <item x="240"/>
        <item x="119"/>
        <item x="496"/>
        <item x="110"/>
        <item x="105"/>
        <item x="113"/>
        <item x="99"/>
        <item x="104"/>
        <item x="112"/>
        <item x="117"/>
        <item x="666"/>
        <item x="114"/>
        <item x="120"/>
        <item x="109"/>
        <item x="107"/>
        <item x="118"/>
        <item x="235"/>
        <item x="106"/>
        <item x="108"/>
        <item x="59"/>
        <item x="64"/>
        <item x="69"/>
        <item x="97"/>
        <item x="54"/>
        <item x="63"/>
        <item x="94"/>
        <item x="96"/>
        <item x="79"/>
        <item x="78"/>
        <item x="67"/>
        <item x="74"/>
        <item x="57"/>
        <item x="55"/>
        <item x="103"/>
        <item x="522"/>
        <item x="554"/>
        <item x="573"/>
        <item x="572"/>
        <item x="569"/>
        <item x="547"/>
        <item x="544"/>
        <item x="541"/>
        <item x="551"/>
        <item x="759"/>
        <item x="513"/>
        <item x="549"/>
        <item x="447"/>
        <item x="443"/>
        <item x="511"/>
        <item x="550"/>
        <item x="426"/>
        <item x="430"/>
        <item x="489"/>
        <item x="493"/>
        <item x="462"/>
        <item x="467"/>
        <item x="416"/>
        <item x="285"/>
        <item x="236"/>
        <item x="238"/>
        <item x="302"/>
        <item x="318"/>
        <item x="322"/>
        <item x="323"/>
        <item x="320"/>
        <item x="321"/>
        <item x="315"/>
        <item x="311"/>
        <item x="308"/>
        <item x="299"/>
        <item x="300"/>
        <item x="301"/>
        <item x="294"/>
        <item x="115"/>
        <item x="100"/>
        <item x="192"/>
        <item x="207"/>
        <item x="140"/>
        <item x="162"/>
        <item x="519"/>
        <item x="578"/>
        <item x="540"/>
        <item x="681"/>
        <item x="769"/>
        <item x="484"/>
        <item x="770"/>
        <item x="771"/>
        <item x="772"/>
        <item x="773"/>
        <item x="468"/>
        <item x="566"/>
        <item x="454"/>
        <item x="583"/>
        <item x="498"/>
        <item x="576"/>
        <item x="485"/>
        <item x="767"/>
        <item x="518"/>
        <item x="577"/>
        <item x="143"/>
        <item x="193"/>
        <item x="201"/>
        <item x="206"/>
        <item x="173"/>
        <item x="171"/>
        <item x="163"/>
        <item x="139"/>
        <item x="172"/>
        <item x="161"/>
        <item x="202"/>
        <item x="381"/>
        <item x="260"/>
        <item x="325"/>
        <item x="449"/>
        <item x="450"/>
        <item x="270"/>
        <item x="648"/>
        <item x="452"/>
        <item x="329"/>
        <item x="340"/>
        <item x="438"/>
        <item x="275"/>
        <item x="328"/>
        <item x="116"/>
        <item x="823"/>
        <item x="486"/>
        <item x="487"/>
        <item x="463"/>
        <item x="399"/>
        <item x="534"/>
        <item x="587"/>
        <item x="168"/>
        <item x="70"/>
        <item x="41"/>
        <item x="65"/>
        <item x="72"/>
        <item x="31"/>
        <item x="415"/>
        <item x="691"/>
        <item x="354"/>
        <item x="402"/>
        <item x="461"/>
        <item x="408"/>
        <item x="273"/>
        <item x="520"/>
        <item x="244"/>
        <item x="488"/>
        <item x="682"/>
        <item x="427"/>
        <item x="525"/>
        <item x="673"/>
        <item x="296"/>
        <item x="646"/>
        <item x="531"/>
        <item x="255"/>
        <item x="466"/>
        <item x="441"/>
        <item x="620"/>
        <item x="310"/>
        <item x="532"/>
        <item x="341"/>
        <item x="277"/>
        <item x="34"/>
        <item x="111"/>
        <item x="101"/>
        <item x="102"/>
        <item x="147"/>
        <item x="138"/>
        <item x="234"/>
        <item x="98"/>
        <item x="797"/>
        <item x="645"/>
        <item x="213"/>
        <item x="212"/>
        <item x="432"/>
        <item x="177"/>
        <item x="618"/>
        <item x="342"/>
        <item x="799"/>
        <item x="535"/>
        <item x="658"/>
        <item x="686"/>
        <item x="798"/>
        <item x="412"/>
        <item x="91"/>
        <item x="87"/>
        <item x="152"/>
        <item x="93"/>
        <item x="85"/>
        <item x="82"/>
        <item x="81"/>
        <item x="83"/>
        <item x="92"/>
        <item x="88"/>
        <item x="86"/>
        <item x="90"/>
        <item x="84"/>
        <item x="89"/>
        <item x="145"/>
        <item x="671"/>
        <item x="675"/>
        <item x="312"/>
        <item x="527"/>
        <item x="529"/>
        <item x="501"/>
        <item x="502"/>
        <item x="503"/>
        <item x="504"/>
        <item x="505"/>
        <item x="506"/>
        <item x="507"/>
        <item x="276"/>
        <item x="508"/>
        <item x="405"/>
        <item x="509"/>
        <item x="676"/>
        <item x="826"/>
        <item x="32"/>
        <item x="33"/>
        <item x="46"/>
        <item x="886"/>
        <item x="539"/>
        <item x="538"/>
        <item x="887"/>
        <item t="default"/>
      </items>
    </pivotField>
    <pivotField axis="axisRow" showAll="0">
      <items count="4">
        <item x="1"/>
        <item x="0"/>
        <item x="2"/>
        <item t="default"/>
      </items>
    </pivotField>
    <pivotField dataField="1" showAll="0">
      <items count="241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0"/>
        <item t="default"/>
      </items>
    </pivotField>
    <pivotField dataField="1" showAll="0">
      <items count="6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643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t="default"/>
      </items>
    </pivotField>
    <pivotField showAll="0"/>
    <pivotField dataField="1" showAll="0">
      <items count="8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881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2"/>
        <item t="default"/>
      </items>
    </pivotField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2">
    <field x="-2"/>
    <field x="0"/>
  </colFields>
  <colItems count="15">
    <i>
      <x/>
      <x/>
    </i>
    <i r="1">
      <x v="1"/>
    </i>
    <i r="1">
      <x v="2"/>
    </i>
    <i r="1">
      <x v="3"/>
    </i>
    <i i="1">
      <x v="1"/>
      <x/>
    </i>
    <i r="1" i="1">
      <x v="1"/>
    </i>
    <i r="1" i="1">
      <x v="2"/>
    </i>
    <i r="1" i="1">
      <x v="3"/>
    </i>
    <i i="2">
      <x v="2"/>
      <x/>
    </i>
    <i r="1" i="2">
      <x v="1"/>
    </i>
    <i r="1" i="2">
      <x v="2"/>
    </i>
    <i r="1" i="2">
      <x v="3"/>
    </i>
    <i t="grand">
      <x/>
    </i>
    <i t="grand" i="1">
      <x/>
    </i>
    <i t="grand" i="2">
      <x/>
    </i>
  </colItems>
  <dataFields count="3">
    <dataField name="Sum of Amount" fld="8" baseField="0" baseItem="0"/>
    <dataField name="Sum of DEBIT" fld="6" baseField="0" baseItem="0"/>
    <dataField name="Sum of CREDI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Table3" displayName="Table3" ref="A1:K179" totalsRowShown="0">
  <autoFilter ref="A1:K179">
    <filterColumn colId="3">
      <filters>
        <filter val="AMAZON MKTPLACE PMTS 10/08 REFUND Amzn.com/bill WA DEBIT CARD *1171"/>
        <filter val="AMAZON RET* 113-860873 05/23 REFUND WWW.AMAZON.CO WA DEBIT CARD *1171"/>
      </filters>
    </filterColumn>
  </autoFilter>
  <sortState xmlns:xlrd2="http://schemas.microsoft.com/office/spreadsheetml/2017/richdata2" ref="A2:K179">
    <sortCondition ref="C1:C179"/>
  </sortState>
  <tableColumns count="11">
    <tableColumn id="1" name="YEAR"/>
    <tableColumn id="2" name="MON"/>
    <tableColumn id="3" name="Date" dataDxfId="1"/>
    <tableColumn id="4" name="Description"/>
    <tableColumn id="5" name="CRDEB"/>
    <tableColumn id="6" name="CREDIT"/>
    <tableColumn id="7" name="DEBIT"/>
    <tableColumn id="8" name="DEBITPOS"/>
    <tableColumn id="9" name="Amount"/>
    <tableColumn id="10" name="AMOUNTPOS"/>
    <tableColumn id="11" name="Running Bal.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1:K682" totalsRowShown="0">
  <autoFilter ref="A1:K682"/>
  <tableColumns count="11">
    <tableColumn id="1" name="YEAR"/>
    <tableColumn id="2" name="MON"/>
    <tableColumn id="3" name="Date" dataDxfId="0"/>
    <tableColumn id="4" name="Description"/>
    <tableColumn id="5" name="CRDEB"/>
    <tableColumn id="6" name="CREDIT"/>
    <tableColumn id="7" name="DEBIT"/>
    <tableColumn id="8" name="DEBITPOS"/>
    <tableColumn id="9" name="Amount"/>
    <tableColumn id="10" name="AMOUNTPOS"/>
    <tableColumn id="11" name="Running Bal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51"/>
  <sheetViews>
    <sheetView workbookViewId="0">
      <selection sqref="A1:XFD1048576"/>
    </sheetView>
  </sheetViews>
  <sheetFormatPr defaultRowHeight="15" x14ac:dyDescent="0.25"/>
  <cols>
    <col min="1" max="1" width="32.5703125" bestFit="1" customWidth="1"/>
    <col min="2" max="2" width="194.28515625" bestFit="1" customWidth="1"/>
  </cols>
  <sheetData>
    <row r="1" spans="1:4" x14ac:dyDescent="0.25">
      <c r="A1" t="s">
        <v>0</v>
      </c>
      <c r="C1" t="s">
        <v>1</v>
      </c>
    </row>
    <row r="2" spans="1:4" x14ac:dyDescent="0.25">
      <c r="A2" t="s">
        <v>2</v>
      </c>
      <c r="C2">
        <v>10100</v>
      </c>
    </row>
    <row r="3" spans="1:4" x14ac:dyDescent="0.25">
      <c r="A3" t="s">
        <v>3</v>
      </c>
      <c r="C3">
        <v>1714574.26</v>
      </c>
    </row>
    <row r="4" spans="1:4" x14ac:dyDescent="0.25">
      <c r="A4" t="s">
        <v>4</v>
      </c>
      <c r="C4">
        <v>-1647043.08</v>
      </c>
    </row>
    <row r="5" spans="1:4" x14ac:dyDescent="0.25">
      <c r="A5" t="s">
        <v>5</v>
      </c>
      <c r="C5">
        <v>77631.179999999993</v>
      </c>
    </row>
    <row r="7" spans="1:4" x14ac:dyDescent="0.25">
      <c r="A7" t="s">
        <v>6</v>
      </c>
      <c r="B7" t="s">
        <v>0</v>
      </c>
      <c r="C7" t="s">
        <v>7</v>
      </c>
      <c r="D7" t="s">
        <v>8</v>
      </c>
    </row>
    <row r="8" spans="1:4" x14ac:dyDescent="0.25">
      <c r="A8" s="1">
        <v>45176</v>
      </c>
      <c r="B8" t="s">
        <v>2</v>
      </c>
      <c r="D8">
        <v>10100</v>
      </c>
    </row>
    <row r="9" spans="1:4" x14ac:dyDescent="0.25">
      <c r="A9" s="1">
        <v>45176</v>
      </c>
      <c r="B9" t="s">
        <v>9</v>
      </c>
      <c r="C9">
        <v>-260.29000000000002</v>
      </c>
      <c r="D9">
        <v>9839.7099999999991</v>
      </c>
    </row>
    <row r="10" spans="1:4" x14ac:dyDescent="0.25">
      <c r="A10" s="1">
        <v>45177</v>
      </c>
      <c r="B10" t="s">
        <v>10</v>
      </c>
      <c r="C10">
        <v>-3233.69</v>
      </c>
      <c r="D10">
        <v>6606.02</v>
      </c>
    </row>
    <row r="11" spans="1:4" x14ac:dyDescent="0.25">
      <c r="A11" s="1">
        <v>45177</v>
      </c>
      <c r="B11" t="s">
        <v>11</v>
      </c>
      <c r="C11">
        <v>-1177</v>
      </c>
      <c r="D11">
        <v>5429.02</v>
      </c>
    </row>
    <row r="12" spans="1:4" x14ac:dyDescent="0.25">
      <c r="A12" s="1">
        <v>45180</v>
      </c>
      <c r="B12" t="s">
        <v>12</v>
      </c>
      <c r="C12">
        <v>3162.86</v>
      </c>
      <c r="D12">
        <v>8591.8799999999992</v>
      </c>
    </row>
    <row r="13" spans="1:4" x14ac:dyDescent="0.25">
      <c r="A13" s="1">
        <v>45180</v>
      </c>
      <c r="B13" t="s">
        <v>13</v>
      </c>
      <c r="C13">
        <v>-55.05</v>
      </c>
      <c r="D13">
        <v>8536.83</v>
      </c>
    </row>
    <row r="14" spans="1:4" x14ac:dyDescent="0.25">
      <c r="A14" s="1">
        <v>45183</v>
      </c>
      <c r="B14" t="s">
        <v>14</v>
      </c>
      <c r="C14">
        <v>-40.659999999999997</v>
      </c>
      <c r="D14">
        <v>8496.17</v>
      </c>
    </row>
    <row r="15" spans="1:4" x14ac:dyDescent="0.25">
      <c r="A15" s="1">
        <v>45184</v>
      </c>
      <c r="B15" t="s">
        <v>15</v>
      </c>
      <c r="C15">
        <v>-33.29</v>
      </c>
      <c r="D15">
        <v>8462.8799999999992</v>
      </c>
    </row>
    <row r="16" spans="1:4" x14ac:dyDescent="0.25">
      <c r="A16" s="1">
        <v>45184</v>
      </c>
      <c r="B16" t="s">
        <v>16</v>
      </c>
      <c r="C16">
        <v>-26.34</v>
      </c>
      <c r="D16">
        <v>8436.5400000000009</v>
      </c>
    </row>
    <row r="17" spans="1:4" x14ac:dyDescent="0.25">
      <c r="A17" s="1">
        <v>45188</v>
      </c>
      <c r="B17" t="s">
        <v>17</v>
      </c>
      <c r="C17">
        <v>-424.84</v>
      </c>
      <c r="D17">
        <v>8011.7</v>
      </c>
    </row>
    <row r="18" spans="1:4" x14ac:dyDescent="0.25">
      <c r="A18" s="1">
        <v>45188</v>
      </c>
      <c r="B18" t="s">
        <v>18</v>
      </c>
      <c r="C18">
        <v>-50</v>
      </c>
      <c r="D18">
        <v>7961.7</v>
      </c>
    </row>
    <row r="19" spans="1:4" x14ac:dyDescent="0.25">
      <c r="A19" s="1">
        <v>45190</v>
      </c>
      <c r="B19" t="s">
        <v>19</v>
      </c>
      <c r="C19">
        <v>10000</v>
      </c>
      <c r="D19">
        <v>17961.7</v>
      </c>
    </row>
    <row r="20" spans="1:4" x14ac:dyDescent="0.25">
      <c r="A20" s="1">
        <v>45190</v>
      </c>
      <c r="B20" t="s">
        <v>20</v>
      </c>
      <c r="C20">
        <v>-2989.94</v>
      </c>
      <c r="D20">
        <v>14971.76</v>
      </c>
    </row>
    <row r="21" spans="1:4" x14ac:dyDescent="0.25">
      <c r="A21" s="1">
        <v>45190</v>
      </c>
      <c r="B21" t="s">
        <v>21</v>
      </c>
      <c r="C21">
        <v>-1865.9</v>
      </c>
      <c r="D21">
        <v>13105.86</v>
      </c>
    </row>
    <row r="22" spans="1:4" x14ac:dyDescent="0.25">
      <c r="A22" s="1">
        <v>45191</v>
      </c>
      <c r="B22" t="s">
        <v>22</v>
      </c>
      <c r="C22">
        <v>1602</v>
      </c>
      <c r="D22">
        <v>14707.86</v>
      </c>
    </row>
    <row r="23" spans="1:4" x14ac:dyDescent="0.25">
      <c r="A23" s="1">
        <v>45191</v>
      </c>
      <c r="B23" t="s">
        <v>23</v>
      </c>
      <c r="C23">
        <v>-4801.0200000000004</v>
      </c>
      <c r="D23">
        <v>9906.84</v>
      </c>
    </row>
    <row r="24" spans="1:4" x14ac:dyDescent="0.25">
      <c r="A24" s="1">
        <v>45191</v>
      </c>
      <c r="B24" t="s">
        <v>24</v>
      </c>
      <c r="C24">
        <v>-150</v>
      </c>
      <c r="D24">
        <v>9756.84</v>
      </c>
    </row>
    <row r="25" spans="1:4" x14ac:dyDescent="0.25">
      <c r="A25" s="1">
        <v>45194</v>
      </c>
      <c r="B25" t="s">
        <v>25</v>
      </c>
      <c r="C25">
        <v>4801.0200000000004</v>
      </c>
      <c r="D25">
        <v>14557.86</v>
      </c>
    </row>
    <row r="26" spans="1:4" x14ac:dyDescent="0.25">
      <c r="A26" s="1">
        <v>45194</v>
      </c>
      <c r="B26" t="s">
        <v>26</v>
      </c>
      <c r="C26">
        <v>10000</v>
      </c>
      <c r="D26">
        <v>24557.86</v>
      </c>
    </row>
    <row r="27" spans="1:4" x14ac:dyDescent="0.25">
      <c r="A27" s="1">
        <v>45194</v>
      </c>
      <c r="B27" t="s">
        <v>27</v>
      </c>
      <c r="C27">
        <v>-967.7</v>
      </c>
      <c r="D27">
        <v>23590.16</v>
      </c>
    </row>
    <row r="28" spans="1:4" x14ac:dyDescent="0.25">
      <c r="A28" s="1">
        <v>45195</v>
      </c>
      <c r="B28" t="s">
        <v>28</v>
      </c>
      <c r="C28">
        <v>-114.22</v>
      </c>
      <c r="D28">
        <v>23475.94</v>
      </c>
    </row>
    <row r="29" spans="1:4" x14ac:dyDescent="0.25">
      <c r="A29" s="1">
        <v>45196</v>
      </c>
      <c r="B29" t="s">
        <v>29</v>
      </c>
      <c r="C29">
        <v>-36.979999999999997</v>
      </c>
      <c r="D29">
        <v>23438.959999999999</v>
      </c>
    </row>
    <row r="30" spans="1:4" x14ac:dyDescent="0.25">
      <c r="A30" s="1">
        <v>45202</v>
      </c>
      <c r="B30" t="s">
        <v>18</v>
      </c>
      <c r="C30">
        <v>-50</v>
      </c>
      <c r="D30">
        <v>23388.959999999999</v>
      </c>
    </row>
    <row r="31" spans="1:4" x14ac:dyDescent="0.25">
      <c r="A31" s="1">
        <v>45203</v>
      </c>
      <c r="B31" t="s">
        <v>30</v>
      </c>
      <c r="C31">
        <v>-238.04</v>
      </c>
      <c r="D31">
        <v>23150.92</v>
      </c>
    </row>
    <row r="32" spans="1:4" x14ac:dyDescent="0.25">
      <c r="A32" s="1">
        <v>45203</v>
      </c>
      <c r="B32" t="s">
        <v>31</v>
      </c>
      <c r="C32">
        <v>-9637.02</v>
      </c>
      <c r="D32">
        <v>13513.9</v>
      </c>
    </row>
    <row r="33" spans="1:4" x14ac:dyDescent="0.25">
      <c r="A33" s="1">
        <v>45203</v>
      </c>
      <c r="B33" t="s">
        <v>32</v>
      </c>
      <c r="C33">
        <v>-59</v>
      </c>
      <c r="D33">
        <v>13454.9</v>
      </c>
    </row>
    <row r="34" spans="1:4" x14ac:dyDescent="0.25">
      <c r="A34" s="1">
        <v>45203</v>
      </c>
      <c r="B34" t="s">
        <v>33</v>
      </c>
      <c r="C34">
        <v>-30</v>
      </c>
      <c r="D34">
        <v>13424.9</v>
      </c>
    </row>
    <row r="35" spans="1:4" x14ac:dyDescent="0.25">
      <c r="A35" s="1">
        <v>45204</v>
      </c>
      <c r="B35" t="s">
        <v>34</v>
      </c>
      <c r="C35">
        <v>-1488.54</v>
      </c>
      <c r="D35">
        <v>11936.36</v>
      </c>
    </row>
    <row r="36" spans="1:4" x14ac:dyDescent="0.25">
      <c r="A36" s="1">
        <v>45204</v>
      </c>
      <c r="B36" t="s">
        <v>35</v>
      </c>
      <c r="C36">
        <v>-105.77</v>
      </c>
      <c r="D36">
        <v>11830.59</v>
      </c>
    </row>
    <row r="37" spans="1:4" x14ac:dyDescent="0.25">
      <c r="A37" s="1">
        <v>45204</v>
      </c>
      <c r="B37" t="s">
        <v>36</v>
      </c>
      <c r="C37">
        <v>-705.34</v>
      </c>
      <c r="D37">
        <v>11125.25</v>
      </c>
    </row>
    <row r="38" spans="1:4" x14ac:dyDescent="0.25">
      <c r="A38" s="1">
        <v>45204</v>
      </c>
      <c r="B38" t="s">
        <v>37</v>
      </c>
      <c r="C38">
        <v>-446.52</v>
      </c>
      <c r="D38">
        <v>10678.73</v>
      </c>
    </row>
    <row r="39" spans="1:4" x14ac:dyDescent="0.25">
      <c r="A39" s="1">
        <v>45204</v>
      </c>
      <c r="B39" t="s">
        <v>38</v>
      </c>
      <c r="C39">
        <v>-7034.34</v>
      </c>
      <c r="D39">
        <v>3644.39</v>
      </c>
    </row>
    <row r="40" spans="1:4" x14ac:dyDescent="0.25">
      <c r="A40" s="1">
        <v>45204</v>
      </c>
      <c r="B40" t="s">
        <v>39</v>
      </c>
      <c r="C40">
        <v>-3046.53</v>
      </c>
      <c r="D40">
        <v>597.86</v>
      </c>
    </row>
    <row r="41" spans="1:4" x14ac:dyDescent="0.25">
      <c r="A41" s="1">
        <v>45205</v>
      </c>
      <c r="B41" t="s">
        <v>40</v>
      </c>
      <c r="C41">
        <v>5000</v>
      </c>
      <c r="D41">
        <v>5597.86</v>
      </c>
    </row>
    <row r="42" spans="1:4" x14ac:dyDescent="0.25">
      <c r="A42" s="1">
        <v>45205</v>
      </c>
      <c r="B42" t="s">
        <v>41</v>
      </c>
      <c r="C42">
        <v>-277.97000000000003</v>
      </c>
      <c r="D42">
        <v>5319.89</v>
      </c>
    </row>
    <row r="43" spans="1:4" x14ac:dyDescent="0.25">
      <c r="A43" s="1">
        <v>45205</v>
      </c>
      <c r="B43" t="s">
        <v>42</v>
      </c>
      <c r="C43">
        <v>-19.13</v>
      </c>
      <c r="D43">
        <v>5300.76</v>
      </c>
    </row>
    <row r="44" spans="1:4" x14ac:dyDescent="0.25">
      <c r="A44" s="1">
        <v>45205</v>
      </c>
      <c r="B44" t="s">
        <v>43</v>
      </c>
      <c r="C44">
        <v>-292.89999999999998</v>
      </c>
      <c r="D44">
        <v>5007.8599999999997</v>
      </c>
    </row>
    <row r="45" spans="1:4" x14ac:dyDescent="0.25">
      <c r="A45" s="1">
        <v>45205</v>
      </c>
      <c r="B45" t="s">
        <v>44</v>
      </c>
      <c r="C45">
        <v>-133.13</v>
      </c>
      <c r="D45">
        <v>4874.7299999999996</v>
      </c>
    </row>
    <row r="46" spans="1:4" x14ac:dyDescent="0.25">
      <c r="A46" s="1">
        <v>45209</v>
      </c>
      <c r="B46" t="s">
        <v>33</v>
      </c>
      <c r="C46">
        <v>-15</v>
      </c>
      <c r="D46">
        <v>4859.7299999999996</v>
      </c>
    </row>
    <row r="47" spans="1:4" x14ac:dyDescent="0.25">
      <c r="A47" s="1">
        <v>45210</v>
      </c>
      <c r="B47" t="s">
        <v>45</v>
      </c>
      <c r="C47">
        <v>-439.62</v>
      </c>
      <c r="D47">
        <v>4420.1099999999997</v>
      </c>
    </row>
    <row r="48" spans="1:4" x14ac:dyDescent="0.25">
      <c r="A48" s="1">
        <v>45210</v>
      </c>
      <c r="B48" t="s">
        <v>46</v>
      </c>
      <c r="C48">
        <v>-1259.3499999999999</v>
      </c>
      <c r="D48">
        <v>3160.76</v>
      </c>
    </row>
    <row r="49" spans="1:4" x14ac:dyDescent="0.25">
      <c r="A49" s="1">
        <v>45211</v>
      </c>
      <c r="B49" t="s">
        <v>22</v>
      </c>
      <c r="C49">
        <v>10375.49</v>
      </c>
      <c r="D49">
        <v>13536.25</v>
      </c>
    </row>
    <row r="50" spans="1:4" x14ac:dyDescent="0.25">
      <c r="A50" s="1">
        <v>45211</v>
      </c>
      <c r="B50" t="s">
        <v>22</v>
      </c>
      <c r="C50">
        <v>460</v>
      </c>
      <c r="D50">
        <v>13996.25</v>
      </c>
    </row>
    <row r="51" spans="1:4" x14ac:dyDescent="0.25">
      <c r="A51" s="1">
        <v>45212</v>
      </c>
      <c r="B51" t="s">
        <v>47</v>
      </c>
      <c r="C51">
        <v>-66.459999999999994</v>
      </c>
      <c r="D51">
        <v>13929.79</v>
      </c>
    </row>
    <row r="52" spans="1:4" x14ac:dyDescent="0.25">
      <c r="A52" s="1">
        <v>45215</v>
      </c>
      <c r="B52" t="s">
        <v>48</v>
      </c>
      <c r="C52">
        <v>-238.01</v>
      </c>
      <c r="D52">
        <v>13691.78</v>
      </c>
    </row>
    <row r="53" spans="1:4" x14ac:dyDescent="0.25">
      <c r="A53" s="1">
        <v>45215</v>
      </c>
      <c r="B53" t="s">
        <v>49</v>
      </c>
      <c r="C53">
        <v>-46.7</v>
      </c>
      <c r="D53">
        <v>13645.08</v>
      </c>
    </row>
    <row r="54" spans="1:4" x14ac:dyDescent="0.25">
      <c r="A54" s="1">
        <v>45217</v>
      </c>
      <c r="B54" t="s">
        <v>50</v>
      </c>
      <c r="C54">
        <v>-265.72000000000003</v>
      </c>
      <c r="D54">
        <v>13379.36</v>
      </c>
    </row>
    <row r="55" spans="1:4" x14ac:dyDescent="0.25">
      <c r="A55" s="1">
        <v>45217</v>
      </c>
      <c r="B55" t="s">
        <v>51</v>
      </c>
      <c r="C55">
        <v>-14.5</v>
      </c>
      <c r="D55">
        <v>13364.86</v>
      </c>
    </row>
    <row r="56" spans="1:4" x14ac:dyDescent="0.25">
      <c r="A56" s="1">
        <v>45218</v>
      </c>
      <c r="B56" t="s">
        <v>52</v>
      </c>
      <c r="C56">
        <v>-254.05</v>
      </c>
      <c r="D56">
        <v>13110.81</v>
      </c>
    </row>
    <row r="57" spans="1:4" x14ac:dyDescent="0.25">
      <c r="A57" s="1">
        <v>45219</v>
      </c>
      <c r="B57" t="s">
        <v>53</v>
      </c>
      <c r="C57">
        <v>-7557.43</v>
      </c>
      <c r="D57">
        <v>5553.38</v>
      </c>
    </row>
    <row r="58" spans="1:4" x14ac:dyDescent="0.25">
      <c r="A58" s="1">
        <v>45219</v>
      </c>
      <c r="B58" t="s">
        <v>54</v>
      </c>
      <c r="C58">
        <v>-2884.31</v>
      </c>
      <c r="D58">
        <v>2669.07</v>
      </c>
    </row>
    <row r="59" spans="1:4" x14ac:dyDescent="0.25">
      <c r="A59" s="1">
        <v>45224</v>
      </c>
      <c r="B59" t="s">
        <v>26</v>
      </c>
      <c r="C59">
        <v>35000</v>
      </c>
      <c r="D59">
        <v>37669.07</v>
      </c>
    </row>
    <row r="60" spans="1:4" x14ac:dyDescent="0.25">
      <c r="A60" s="1">
        <v>45224</v>
      </c>
      <c r="B60" t="s">
        <v>22</v>
      </c>
      <c r="C60">
        <v>5.5</v>
      </c>
      <c r="D60">
        <v>37674.57</v>
      </c>
    </row>
    <row r="61" spans="1:4" x14ac:dyDescent="0.25">
      <c r="A61" s="1">
        <v>45226</v>
      </c>
      <c r="B61" t="s">
        <v>55</v>
      </c>
      <c r="C61">
        <v>-112.96</v>
      </c>
      <c r="D61">
        <v>37561.61</v>
      </c>
    </row>
    <row r="62" spans="1:4" x14ac:dyDescent="0.25">
      <c r="A62" s="1">
        <v>45229</v>
      </c>
      <c r="B62" t="s">
        <v>18</v>
      </c>
      <c r="C62">
        <v>-50</v>
      </c>
      <c r="D62">
        <v>37511.61</v>
      </c>
    </row>
    <row r="63" spans="1:4" x14ac:dyDescent="0.25">
      <c r="A63" s="1">
        <v>45231</v>
      </c>
      <c r="B63" t="s">
        <v>56</v>
      </c>
      <c r="C63">
        <v>-4801</v>
      </c>
      <c r="D63">
        <v>32710.61</v>
      </c>
    </row>
    <row r="64" spans="1:4" x14ac:dyDescent="0.25">
      <c r="A64" s="1">
        <v>45231</v>
      </c>
      <c r="B64" t="s">
        <v>57</v>
      </c>
      <c r="C64">
        <v>-8087.07</v>
      </c>
      <c r="D64">
        <v>24623.54</v>
      </c>
    </row>
    <row r="65" spans="1:4" x14ac:dyDescent="0.25">
      <c r="A65" s="1">
        <v>45231</v>
      </c>
      <c r="B65" t="s">
        <v>58</v>
      </c>
      <c r="C65">
        <v>-59</v>
      </c>
      <c r="D65">
        <v>24564.54</v>
      </c>
    </row>
    <row r="66" spans="1:4" x14ac:dyDescent="0.25">
      <c r="A66" s="1">
        <v>45232</v>
      </c>
      <c r="B66" t="s">
        <v>59</v>
      </c>
      <c r="C66">
        <v>-19.13</v>
      </c>
      <c r="D66">
        <v>24545.41</v>
      </c>
    </row>
    <row r="67" spans="1:4" x14ac:dyDescent="0.25">
      <c r="A67" s="1">
        <v>45232</v>
      </c>
      <c r="B67" t="s">
        <v>60</v>
      </c>
      <c r="C67">
        <v>-8967.16</v>
      </c>
      <c r="D67">
        <v>15578.25</v>
      </c>
    </row>
    <row r="68" spans="1:4" x14ac:dyDescent="0.25">
      <c r="A68" s="1">
        <v>45232</v>
      </c>
      <c r="B68" t="s">
        <v>61</v>
      </c>
      <c r="C68">
        <v>-3051.21</v>
      </c>
      <c r="D68">
        <v>12527.04</v>
      </c>
    </row>
    <row r="69" spans="1:4" x14ac:dyDescent="0.25">
      <c r="A69" s="1">
        <v>45232</v>
      </c>
      <c r="B69" t="s">
        <v>62</v>
      </c>
      <c r="C69">
        <v>-34.799999999999997</v>
      </c>
      <c r="D69">
        <v>12492.24</v>
      </c>
    </row>
    <row r="70" spans="1:4" x14ac:dyDescent="0.25">
      <c r="A70" s="1">
        <v>45232</v>
      </c>
      <c r="B70" t="s">
        <v>63</v>
      </c>
      <c r="C70">
        <v>-1</v>
      </c>
      <c r="D70">
        <v>12491.24</v>
      </c>
    </row>
    <row r="71" spans="1:4" x14ac:dyDescent="0.25">
      <c r="A71" s="1">
        <v>45233</v>
      </c>
      <c r="B71" t="s">
        <v>64</v>
      </c>
      <c r="C71">
        <v>-42.49</v>
      </c>
      <c r="D71">
        <v>12448.75</v>
      </c>
    </row>
    <row r="72" spans="1:4" x14ac:dyDescent="0.25">
      <c r="A72" s="1">
        <v>45236</v>
      </c>
      <c r="B72" t="s">
        <v>64</v>
      </c>
      <c r="C72">
        <v>-372.19</v>
      </c>
      <c r="D72">
        <v>12076.56</v>
      </c>
    </row>
    <row r="73" spans="1:4" x14ac:dyDescent="0.25">
      <c r="A73" s="1">
        <v>45236</v>
      </c>
      <c r="B73" t="s">
        <v>65</v>
      </c>
      <c r="C73">
        <v>-247.76</v>
      </c>
      <c r="D73">
        <v>11828.8</v>
      </c>
    </row>
    <row r="74" spans="1:4" x14ac:dyDescent="0.25">
      <c r="A74" s="1">
        <v>45237</v>
      </c>
      <c r="B74" t="s">
        <v>18</v>
      </c>
      <c r="C74">
        <v>-50</v>
      </c>
      <c r="D74">
        <v>11778.8</v>
      </c>
    </row>
    <row r="75" spans="1:4" x14ac:dyDescent="0.25">
      <c r="A75" s="1">
        <v>45238</v>
      </c>
      <c r="B75" t="s">
        <v>22</v>
      </c>
      <c r="C75">
        <v>30000</v>
      </c>
      <c r="D75">
        <v>41778.800000000003</v>
      </c>
    </row>
    <row r="76" spans="1:4" x14ac:dyDescent="0.25">
      <c r="A76" s="1">
        <v>45238</v>
      </c>
      <c r="B76" t="s">
        <v>44</v>
      </c>
      <c r="C76">
        <v>-99.86</v>
      </c>
      <c r="D76">
        <v>41678.94</v>
      </c>
    </row>
    <row r="77" spans="1:4" x14ac:dyDescent="0.25">
      <c r="A77" s="1">
        <v>45239</v>
      </c>
      <c r="B77" t="s">
        <v>66</v>
      </c>
      <c r="C77">
        <v>-71.010000000000005</v>
      </c>
      <c r="D77">
        <v>41607.93</v>
      </c>
    </row>
    <row r="78" spans="1:4" x14ac:dyDescent="0.25">
      <c r="A78" s="1">
        <v>45240</v>
      </c>
      <c r="B78" t="s">
        <v>67</v>
      </c>
      <c r="C78">
        <v>-1615</v>
      </c>
      <c r="D78">
        <v>39992.93</v>
      </c>
    </row>
    <row r="79" spans="1:4" x14ac:dyDescent="0.25">
      <c r="A79" s="1">
        <v>45240</v>
      </c>
      <c r="B79" t="s">
        <v>68</v>
      </c>
      <c r="C79">
        <v>-398.9</v>
      </c>
      <c r="D79">
        <v>39594.03</v>
      </c>
    </row>
    <row r="80" spans="1:4" x14ac:dyDescent="0.25">
      <c r="A80" s="1">
        <v>45244</v>
      </c>
      <c r="B80" t="s">
        <v>18</v>
      </c>
      <c r="C80">
        <v>-50</v>
      </c>
      <c r="D80">
        <v>39544.03</v>
      </c>
    </row>
    <row r="81" spans="1:4" x14ac:dyDescent="0.25">
      <c r="A81" s="1">
        <v>45245</v>
      </c>
      <c r="B81" t="s">
        <v>69</v>
      </c>
      <c r="C81">
        <v>-1669.58</v>
      </c>
      <c r="D81">
        <v>37874.449999999997</v>
      </c>
    </row>
    <row r="82" spans="1:4" x14ac:dyDescent="0.25">
      <c r="A82" s="1">
        <v>45246</v>
      </c>
      <c r="B82" t="s">
        <v>70</v>
      </c>
      <c r="C82">
        <v>-9391.5400000000009</v>
      </c>
      <c r="D82">
        <v>28482.91</v>
      </c>
    </row>
    <row r="83" spans="1:4" x14ac:dyDescent="0.25">
      <c r="A83" s="1">
        <v>45246</v>
      </c>
      <c r="B83" t="s">
        <v>71</v>
      </c>
      <c r="C83">
        <v>-3063.53</v>
      </c>
      <c r="D83">
        <v>25419.38</v>
      </c>
    </row>
    <row r="84" spans="1:4" x14ac:dyDescent="0.25">
      <c r="A84" s="1">
        <v>45247</v>
      </c>
      <c r="B84" t="s">
        <v>72</v>
      </c>
      <c r="C84">
        <v>-264.56</v>
      </c>
      <c r="D84">
        <v>25154.82</v>
      </c>
    </row>
    <row r="85" spans="1:4" x14ac:dyDescent="0.25">
      <c r="A85" s="1">
        <v>45247</v>
      </c>
      <c r="B85" t="s">
        <v>73</v>
      </c>
      <c r="C85">
        <v>-512.54999999999995</v>
      </c>
      <c r="D85">
        <v>24642.27</v>
      </c>
    </row>
    <row r="86" spans="1:4" x14ac:dyDescent="0.25">
      <c r="A86" s="1">
        <v>45250</v>
      </c>
      <c r="B86" t="s">
        <v>74</v>
      </c>
      <c r="C86">
        <v>-67.55</v>
      </c>
      <c r="D86">
        <v>24574.720000000001</v>
      </c>
    </row>
    <row r="87" spans="1:4" x14ac:dyDescent="0.25">
      <c r="A87" s="1">
        <v>45250</v>
      </c>
      <c r="B87" t="s">
        <v>75</v>
      </c>
      <c r="C87">
        <v>-903.49</v>
      </c>
      <c r="D87">
        <v>23671.23</v>
      </c>
    </row>
    <row r="88" spans="1:4" x14ac:dyDescent="0.25">
      <c r="A88" s="1">
        <v>45250</v>
      </c>
      <c r="B88" t="s">
        <v>76</v>
      </c>
      <c r="C88">
        <v>-819.72</v>
      </c>
      <c r="D88">
        <v>22851.51</v>
      </c>
    </row>
    <row r="89" spans="1:4" x14ac:dyDescent="0.25">
      <c r="A89" s="1">
        <v>45250</v>
      </c>
      <c r="B89" t="s">
        <v>77</v>
      </c>
      <c r="C89">
        <v>-235.53</v>
      </c>
      <c r="D89">
        <v>22615.98</v>
      </c>
    </row>
    <row r="90" spans="1:4" x14ac:dyDescent="0.25">
      <c r="A90" s="1">
        <v>45252</v>
      </c>
      <c r="B90" t="s">
        <v>22</v>
      </c>
      <c r="C90">
        <v>13000</v>
      </c>
      <c r="D90">
        <v>35615.980000000003</v>
      </c>
    </row>
    <row r="91" spans="1:4" x14ac:dyDescent="0.25">
      <c r="A91" s="1">
        <v>45252</v>
      </c>
      <c r="B91" t="s">
        <v>78</v>
      </c>
      <c r="C91">
        <v>-140.38</v>
      </c>
      <c r="D91">
        <v>35475.599999999999</v>
      </c>
    </row>
    <row r="92" spans="1:4" x14ac:dyDescent="0.25">
      <c r="A92" s="1">
        <v>45258</v>
      </c>
      <c r="B92" t="s">
        <v>79</v>
      </c>
      <c r="C92">
        <v>-1969.72</v>
      </c>
      <c r="D92">
        <v>33505.879999999997</v>
      </c>
    </row>
    <row r="93" spans="1:4" x14ac:dyDescent="0.25">
      <c r="A93" s="1">
        <v>45258</v>
      </c>
      <c r="B93" t="s">
        <v>18</v>
      </c>
      <c r="C93">
        <v>-50</v>
      </c>
      <c r="D93">
        <v>33455.879999999997</v>
      </c>
    </row>
    <row r="94" spans="1:4" x14ac:dyDescent="0.25">
      <c r="A94" s="1">
        <v>45259</v>
      </c>
      <c r="B94" t="s">
        <v>80</v>
      </c>
      <c r="C94">
        <v>-1</v>
      </c>
      <c r="D94">
        <v>33454.879999999997</v>
      </c>
    </row>
    <row r="95" spans="1:4" x14ac:dyDescent="0.25">
      <c r="A95" s="1">
        <v>45260</v>
      </c>
      <c r="B95" t="s">
        <v>81</v>
      </c>
      <c r="C95">
        <v>-85.75</v>
      </c>
      <c r="D95">
        <v>33369.129999999997</v>
      </c>
    </row>
    <row r="96" spans="1:4" x14ac:dyDescent="0.25">
      <c r="A96" s="1">
        <v>45260</v>
      </c>
      <c r="B96" t="s">
        <v>82</v>
      </c>
      <c r="C96">
        <v>-45</v>
      </c>
      <c r="D96">
        <v>33324.129999999997</v>
      </c>
    </row>
    <row r="97" spans="1:4" x14ac:dyDescent="0.25">
      <c r="A97" s="1">
        <v>45261</v>
      </c>
      <c r="B97" t="s">
        <v>22</v>
      </c>
      <c r="C97">
        <v>3935</v>
      </c>
      <c r="D97">
        <v>37259.129999999997</v>
      </c>
    </row>
    <row r="98" spans="1:4" x14ac:dyDescent="0.25">
      <c r="A98" s="1">
        <v>45261</v>
      </c>
      <c r="B98" t="s">
        <v>22</v>
      </c>
      <c r="C98">
        <v>200</v>
      </c>
      <c r="D98">
        <v>37459.129999999997</v>
      </c>
    </row>
    <row r="99" spans="1:4" x14ac:dyDescent="0.25">
      <c r="A99" s="1">
        <v>45261</v>
      </c>
      <c r="B99" t="s">
        <v>83</v>
      </c>
      <c r="C99">
        <v>-4801</v>
      </c>
      <c r="D99">
        <v>32658.13</v>
      </c>
    </row>
    <row r="100" spans="1:4" x14ac:dyDescent="0.25">
      <c r="A100" s="1">
        <v>45261</v>
      </c>
      <c r="B100" t="s">
        <v>84</v>
      </c>
      <c r="C100">
        <v>-9995.92</v>
      </c>
      <c r="D100">
        <v>22662.21</v>
      </c>
    </row>
    <row r="101" spans="1:4" x14ac:dyDescent="0.25">
      <c r="A101" s="1">
        <v>45261</v>
      </c>
      <c r="B101" t="s">
        <v>85</v>
      </c>
      <c r="C101">
        <v>-3183.48</v>
      </c>
      <c r="D101">
        <v>19478.73</v>
      </c>
    </row>
    <row r="102" spans="1:4" x14ac:dyDescent="0.25">
      <c r="A102" s="1">
        <v>45264</v>
      </c>
      <c r="B102" t="s">
        <v>86</v>
      </c>
      <c r="C102">
        <v>-19.13</v>
      </c>
      <c r="D102">
        <v>19459.599999999999</v>
      </c>
    </row>
    <row r="103" spans="1:4" x14ac:dyDescent="0.25">
      <c r="A103" s="1">
        <v>45264</v>
      </c>
      <c r="B103" t="s">
        <v>87</v>
      </c>
      <c r="C103">
        <v>-247.76</v>
      </c>
      <c r="D103">
        <v>19211.84</v>
      </c>
    </row>
    <row r="104" spans="1:4" x14ac:dyDescent="0.25">
      <c r="A104" s="1">
        <v>45264</v>
      </c>
      <c r="B104" t="s">
        <v>88</v>
      </c>
      <c r="C104">
        <v>-33.85</v>
      </c>
      <c r="D104">
        <v>19177.990000000002</v>
      </c>
    </row>
    <row r="105" spans="1:4" x14ac:dyDescent="0.25">
      <c r="A105" s="1">
        <v>45264</v>
      </c>
      <c r="B105" t="s">
        <v>89</v>
      </c>
      <c r="C105">
        <v>-1</v>
      </c>
      <c r="D105">
        <v>19176.990000000002</v>
      </c>
    </row>
    <row r="106" spans="1:4" x14ac:dyDescent="0.25">
      <c r="A106" s="1">
        <v>45266</v>
      </c>
      <c r="B106" t="s">
        <v>90</v>
      </c>
      <c r="C106">
        <v>-118.41</v>
      </c>
      <c r="D106">
        <v>19058.580000000002</v>
      </c>
    </row>
    <row r="107" spans="1:4" x14ac:dyDescent="0.25">
      <c r="A107" s="1">
        <v>45267</v>
      </c>
      <c r="B107" t="s">
        <v>91</v>
      </c>
      <c r="C107">
        <v>-265.29000000000002</v>
      </c>
      <c r="D107">
        <v>18793.29</v>
      </c>
    </row>
    <row r="108" spans="1:4" x14ac:dyDescent="0.25">
      <c r="A108" s="1">
        <v>45268</v>
      </c>
      <c r="B108" t="s">
        <v>92</v>
      </c>
      <c r="C108">
        <v>-52.99</v>
      </c>
      <c r="D108">
        <v>18740.3</v>
      </c>
    </row>
    <row r="109" spans="1:4" x14ac:dyDescent="0.25">
      <c r="A109" s="1">
        <v>45268</v>
      </c>
      <c r="B109" t="s">
        <v>93</v>
      </c>
      <c r="C109">
        <v>-39.76</v>
      </c>
      <c r="D109">
        <v>18700.54</v>
      </c>
    </row>
    <row r="110" spans="1:4" x14ac:dyDescent="0.25">
      <c r="A110" s="1">
        <v>45268</v>
      </c>
      <c r="B110" t="s">
        <v>44</v>
      </c>
      <c r="C110">
        <v>-99.86</v>
      </c>
      <c r="D110">
        <v>18600.68</v>
      </c>
    </row>
    <row r="111" spans="1:4" x14ac:dyDescent="0.25">
      <c r="A111" s="1">
        <v>45271</v>
      </c>
      <c r="B111" t="s">
        <v>94</v>
      </c>
      <c r="C111">
        <v>-219.81</v>
      </c>
      <c r="D111">
        <v>18380.87</v>
      </c>
    </row>
    <row r="112" spans="1:4" x14ac:dyDescent="0.25">
      <c r="A112" s="1">
        <v>45271</v>
      </c>
      <c r="B112" t="s">
        <v>95</v>
      </c>
      <c r="C112">
        <v>-19.64</v>
      </c>
      <c r="D112">
        <v>18361.23</v>
      </c>
    </row>
    <row r="113" spans="1:4" x14ac:dyDescent="0.25">
      <c r="A113" s="1">
        <v>45272</v>
      </c>
      <c r="B113" t="s">
        <v>22</v>
      </c>
      <c r="C113">
        <v>38000</v>
      </c>
      <c r="D113">
        <v>56361.23</v>
      </c>
    </row>
    <row r="114" spans="1:4" x14ac:dyDescent="0.25">
      <c r="A114" s="1">
        <v>45272</v>
      </c>
      <c r="B114" t="s">
        <v>96</v>
      </c>
      <c r="C114">
        <v>-294.48</v>
      </c>
      <c r="D114">
        <v>56066.75</v>
      </c>
    </row>
    <row r="115" spans="1:4" x14ac:dyDescent="0.25">
      <c r="A115" s="1">
        <v>45272</v>
      </c>
      <c r="B115" t="s">
        <v>18</v>
      </c>
      <c r="C115">
        <v>-50</v>
      </c>
      <c r="D115">
        <v>56016.75</v>
      </c>
    </row>
    <row r="116" spans="1:4" x14ac:dyDescent="0.25">
      <c r="A116" s="1">
        <v>45274</v>
      </c>
      <c r="B116" t="s">
        <v>97</v>
      </c>
      <c r="C116">
        <v>-867.5</v>
      </c>
      <c r="D116">
        <v>55149.25</v>
      </c>
    </row>
    <row r="117" spans="1:4" x14ac:dyDescent="0.25">
      <c r="A117" s="1">
        <v>45274</v>
      </c>
      <c r="B117" t="s">
        <v>98</v>
      </c>
      <c r="C117">
        <v>-993</v>
      </c>
      <c r="D117">
        <v>54156.25</v>
      </c>
    </row>
    <row r="118" spans="1:4" x14ac:dyDescent="0.25">
      <c r="A118" s="1">
        <v>45274</v>
      </c>
      <c r="B118" t="s">
        <v>99</v>
      </c>
      <c r="C118">
        <v>-7614.31</v>
      </c>
      <c r="D118">
        <v>46541.94</v>
      </c>
    </row>
    <row r="119" spans="1:4" x14ac:dyDescent="0.25">
      <c r="A119" s="1">
        <v>45274</v>
      </c>
      <c r="B119" t="s">
        <v>100</v>
      </c>
      <c r="C119">
        <v>-2228.0700000000002</v>
      </c>
      <c r="D119">
        <v>44313.87</v>
      </c>
    </row>
    <row r="120" spans="1:4" x14ac:dyDescent="0.25">
      <c r="A120" s="1">
        <v>45275</v>
      </c>
      <c r="B120" t="s">
        <v>101</v>
      </c>
      <c r="C120">
        <v>-914</v>
      </c>
      <c r="D120">
        <v>43399.87</v>
      </c>
    </row>
    <row r="121" spans="1:4" x14ac:dyDescent="0.25">
      <c r="A121" s="1">
        <v>45278</v>
      </c>
      <c r="B121" t="s">
        <v>102</v>
      </c>
      <c r="C121">
        <v>-275.86</v>
      </c>
      <c r="D121">
        <v>43124.01</v>
      </c>
    </row>
    <row r="122" spans="1:4" x14ac:dyDescent="0.25">
      <c r="A122" s="1">
        <v>45279</v>
      </c>
      <c r="B122" t="s">
        <v>103</v>
      </c>
      <c r="C122">
        <v>-246.19</v>
      </c>
      <c r="D122">
        <v>42877.82</v>
      </c>
    </row>
    <row r="123" spans="1:4" x14ac:dyDescent="0.25">
      <c r="A123" s="1">
        <v>45279</v>
      </c>
      <c r="B123" t="s">
        <v>104</v>
      </c>
      <c r="C123">
        <v>-407.39</v>
      </c>
      <c r="D123">
        <v>42470.43</v>
      </c>
    </row>
    <row r="124" spans="1:4" x14ac:dyDescent="0.25">
      <c r="A124" s="1">
        <v>45279</v>
      </c>
      <c r="B124" t="s">
        <v>104</v>
      </c>
      <c r="C124">
        <v>-723.48</v>
      </c>
      <c r="D124">
        <v>41746.949999999997</v>
      </c>
    </row>
    <row r="125" spans="1:4" x14ac:dyDescent="0.25">
      <c r="A125" s="1">
        <v>45279</v>
      </c>
      <c r="B125" t="s">
        <v>104</v>
      </c>
      <c r="C125">
        <v>-649.99</v>
      </c>
      <c r="D125">
        <v>41096.959999999999</v>
      </c>
    </row>
    <row r="126" spans="1:4" x14ac:dyDescent="0.25">
      <c r="A126" s="1">
        <v>45279</v>
      </c>
      <c r="B126" t="s">
        <v>105</v>
      </c>
      <c r="C126">
        <v>-309.92</v>
      </c>
      <c r="D126">
        <v>40787.040000000001</v>
      </c>
    </row>
    <row r="127" spans="1:4" x14ac:dyDescent="0.25">
      <c r="A127" s="1">
        <v>45280</v>
      </c>
      <c r="B127" t="s">
        <v>106</v>
      </c>
      <c r="C127">
        <v>-59.88</v>
      </c>
      <c r="D127">
        <v>40727.160000000003</v>
      </c>
    </row>
    <row r="128" spans="1:4" x14ac:dyDescent="0.25">
      <c r="A128" s="1">
        <v>45280</v>
      </c>
      <c r="B128" t="s">
        <v>107</v>
      </c>
      <c r="C128">
        <v>-70.319999999999993</v>
      </c>
      <c r="D128">
        <v>40656.839999999997</v>
      </c>
    </row>
    <row r="129" spans="1:4" x14ac:dyDescent="0.25">
      <c r="A129" s="1">
        <v>45280</v>
      </c>
      <c r="B129" t="s">
        <v>108</v>
      </c>
      <c r="C129">
        <v>-716.51</v>
      </c>
      <c r="D129">
        <v>39940.33</v>
      </c>
    </row>
    <row r="130" spans="1:4" x14ac:dyDescent="0.25">
      <c r="A130" s="1">
        <v>45280</v>
      </c>
      <c r="B130" t="s">
        <v>109</v>
      </c>
      <c r="C130">
        <v>-382.87</v>
      </c>
      <c r="D130">
        <v>39557.46</v>
      </c>
    </row>
    <row r="131" spans="1:4" x14ac:dyDescent="0.25">
      <c r="A131" s="1">
        <v>45282</v>
      </c>
      <c r="B131" t="s">
        <v>22</v>
      </c>
      <c r="C131">
        <v>23000</v>
      </c>
      <c r="D131">
        <v>62557.46</v>
      </c>
    </row>
    <row r="132" spans="1:4" x14ac:dyDescent="0.25">
      <c r="A132" s="1">
        <v>45286</v>
      </c>
      <c r="B132" t="s">
        <v>110</v>
      </c>
      <c r="C132">
        <v>-50</v>
      </c>
      <c r="D132">
        <v>62507.46</v>
      </c>
    </row>
    <row r="133" spans="1:4" x14ac:dyDescent="0.25">
      <c r="A133" s="1">
        <v>45288</v>
      </c>
      <c r="B133" t="s">
        <v>111</v>
      </c>
      <c r="C133">
        <v>-182.65</v>
      </c>
      <c r="D133">
        <v>62324.81</v>
      </c>
    </row>
    <row r="134" spans="1:4" x14ac:dyDescent="0.25">
      <c r="A134" s="1">
        <v>45288</v>
      </c>
      <c r="B134" t="s">
        <v>112</v>
      </c>
      <c r="C134">
        <v>-15000</v>
      </c>
      <c r="D134">
        <v>47324.81</v>
      </c>
    </row>
    <row r="135" spans="1:4" x14ac:dyDescent="0.25">
      <c r="A135" s="1">
        <v>45288</v>
      </c>
      <c r="B135" t="s">
        <v>113</v>
      </c>
      <c r="C135">
        <v>-9859.36</v>
      </c>
      <c r="D135">
        <v>37465.449999999997</v>
      </c>
    </row>
    <row r="136" spans="1:4" x14ac:dyDescent="0.25">
      <c r="A136" s="1">
        <v>45288</v>
      </c>
      <c r="B136" t="s">
        <v>114</v>
      </c>
      <c r="C136">
        <v>-3173.8</v>
      </c>
      <c r="D136">
        <v>34291.65</v>
      </c>
    </row>
    <row r="137" spans="1:4" x14ac:dyDescent="0.25">
      <c r="A137" s="1">
        <v>45288</v>
      </c>
      <c r="B137" t="s">
        <v>115</v>
      </c>
      <c r="C137">
        <v>-603.75</v>
      </c>
      <c r="D137">
        <v>33687.9</v>
      </c>
    </row>
    <row r="138" spans="1:4" x14ac:dyDescent="0.25">
      <c r="A138" s="1">
        <v>45288</v>
      </c>
      <c r="B138" t="s">
        <v>33</v>
      </c>
      <c r="C138">
        <v>-30</v>
      </c>
      <c r="D138">
        <v>33657.9</v>
      </c>
    </row>
    <row r="139" spans="1:4" x14ac:dyDescent="0.25">
      <c r="A139" s="1">
        <v>45293</v>
      </c>
      <c r="B139" t="s">
        <v>116</v>
      </c>
      <c r="C139">
        <v>-35.67</v>
      </c>
      <c r="D139">
        <v>33622.230000000003</v>
      </c>
    </row>
    <row r="140" spans="1:4" x14ac:dyDescent="0.25">
      <c r="A140" s="1">
        <v>45293</v>
      </c>
      <c r="B140" t="s">
        <v>117</v>
      </c>
      <c r="C140">
        <v>-114.17</v>
      </c>
      <c r="D140">
        <v>33508.06</v>
      </c>
    </row>
    <row r="141" spans="1:4" x14ac:dyDescent="0.25">
      <c r="A141" s="1">
        <v>45293</v>
      </c>
      <c r="B141" t="s">
        <v>118</v>
      </c>
      <c r="C141">
        <v>-19.13</v>
      </c>
      <c r="D141">
        <v>33488.93</v>
      </c>
    </row>
    <row r="142" spans="1:4" x14ac:dyDescent="0.25">
      <c r="A142" s="1">
        <v>45293</v>
      </c>
      <c r="B142" t="s">
        <v>119</v>
      </c>
      <c r="C142">
        <v>-4801</v>
      </c>
      <c r="D142">
        <v>28687.93</v>
      </c>
    </row>
    <row r="143" spans="1:4" x14ac:dyDescent="0.25">
      <c r="A143" s="1">
        <v>45293</v>
      </c>
      <c r="B143" t="s">
        <v>120</v>
      </c>
      <c r="C143">
        <v>-34.6</v>
      </c>
      <c r="D143">
        <v>28653.33</v>
      </c>
    </row>
    <row r="144" spans="1:4" x14ac:dyDescent="0.25">
      <c r="A144" s="1">
        <v>45294</v>
      </c>
      <c r="B144" t="s">
        <v>121</v>
      </c>
      <c r="C144">
        <v>-303.83</v>
      </c>
      <c r="D144">
        <v>28349.5</v>
      </c>
    </row>
    <row r="145" spans="1:4" x14ac:dyDescent="0.25">
      <c r="A145" s="1">
        <v>45294</v>
      </c>
      <c r="B145" t="s">
        <v>122</v>
      </c>
      <c r="C145">
        <v>-1</v>
      </c>
      <c r="D145">
        <v>28348.5</v>
      </c>
    </row>
    <row r="146" spans="1:4" x14ac:dyDescent="0.25">
      <c r="A146" s="1">
        <v>45295</v>
      </c>
      <c r="B146" t="s">
        <v>123</v>
      </c>
      <c r="C146">
        <v>-248.54</v>
      </c>
      <c r="D146">
        <v>28099.96</v>
      </c>
    </row>
    <row r="147" spans="1:4" x14ac:dyDescent="0.25">
      <c r="A147" s="1">
        <v>45295</v>
      </c>
      <c r="B147" t="s">
        <v>124</v>
      </c>
      <c r="C147">
        <v>-1050.6099999999999</v>
      </c>
      <c r="D147">
        <v>27049.35</v>
      </c>
    </row>
    <row r="148" spans="1:4" x14ac:dyDescent="0.25">
      <c r="A148" s="1">
        <v>45295</v>
      </c>
      <c r="B148" t="s">
        <v>125</v>
      </c>
      <c r="C148">
        <v>-2993.94</v>
      </c>
      <c r="D148">
        <v>24055.41</v>
      </c>
    </row>
    <row r="149" spans="1:4" x14ac:dyDescent="0.25">
      <c r="A149" s="1">
        <v>45296</v>
      </c>
      <c r="B149" t="s">
        <v>22</v>
      </c>
      <c r="C149">
        <v>27000</v>
      </c>
      <c r="D149">
        <v>51055.41</v>
      </c>
    </row>
    <row r="150" spans="1:4" x14ac:dyDescent="0.25">
      <c r="A150" s="1">
        <v>45296</v>
      </c>
      <c r="B150" t="s">
        <v>126</v>
      </c>
      <c r="C150">
        <v>-118.41</v>
      </c>
      <c r="D150">
        <v>50937</v>
      </c>
    </row>
    <row r="151" spans="1:4" x14ac:dyDescent="0.25">
      <c r="A151" s="1">
        <v>45296</v>
      </c>
      <c r="B151" t="s">
        <v>127</v>
      </c>
      <c r="C151">
        <v>-34</v>
      </c>
      <c r="D151">
        <v>50903</v>
      </c>
    </row>
    <row r="152" spans="1:4" x14ac:dyDescent="0.25">
      <c r="A152" s="1">
        <v>45299</v>
      </c>
      <c r="B152" t="s">
        <v>128</v>
      </c>
      <c r="C152">
        <v>-354</v>
      </c>
      <c r="D152">
        <v>50549</v>
      </c>
    </row>
    <row r="153" spans="1:4" x14ac:dyDescent="0.25">
      <c r="A153" s="1">
        <v>45299</v>
      </c>
      <c r="B153" t="s">
        <v>128</v>
      </c>
      <c r="C153">
        <v>-21.72</v>
      </c>
      <c r="D153">
        <v>50527.28</v>
      </c>
    </row>
    <row r="154" spans="1:4" x14ac:dyDescent="0.25">
      <c r="A154" s="1">
        <v>45299</v>
      </c>
      <c r="B154" t="s">
        <v>129</v>
      </c>
      <c r="C154">
        <v>-55.86</v>
      </c>
      <c r="D154">
        <v>50471.42</v>
      </c>
    </row>
    <row r="155" spans="1:4" x14ac:dyDescent="0.25">
      <c r="A155" s="1">
        <v>45300</v>
      </c>
      <c r="B155" t="s">
        <v>130</v>
      </c>
      <c r="C155">
        <v>-2255</v>
      </c>
      <c r="D155">
        <v>48216.42</v>
      </c>
    </row>
    <row r="156" spans="1:4" x14ac:dyDescent="0.25">
      <c r="A156" s="1">
        <v>45300</v>
      </c>
      <c r="B156" t="s">
        <v>131</v>
      </c>
      <c r="C156">
        <v>-1076.05</v>
      </c>
      <c r="D156">
        <v>47140.37</v>
      </c>
    </row>
    <row r="157" spans="1:4" x14ac:dyDescent="0.25">
      <c r="A157" s="1">
        <v>45300</v>
      </c>
      <c r="B157" t="s">
        <v>110</v>
      </c>
      <c r="C157">
        <v>-50</v>
      </c>
      <c r="D157">
        <v>47090.37</v>
      </c>
    </row>
    <row r="158" spans="1:4" x14ac:dyDescent="0.25">
      <c r="A158" s="1">
        <v>45301</v>
      </c>
      <c r="B158" t="s">
        <v>132</v>
      </c>
      <c r="C158">
        <v>-15000</v>
      </c>
      <c r="D158">
        <v>32090.37</v>
      </c>
    </row>
    <row r="159" spans="1:4" x14ac:dyDescent="0.25">
      <c r="A159" s="1">
        <v>45301</v>
      </c>
      <c r="B159" t="s">
        <v>44</v>
      </c>
      <c r="C159">
        <v>-126.43</v>
      </c>
      <c r="D159">
        <v>31963.94</v>
      </c>
    </row>
    <row r="160" spans="1:4" x14ac:dyDescent="0.25">
      <c r="A160" s="1">
        <v>45301</v>
      </c>
      <c r="B160" t="s">
        <v>33</v>
      </c>
      <c r="C160">
        <v>-30</v>
      </c>
      <c r="D160">
        <v>31933.94</v>
      </c>
    </row>
    <row r="161" spans="1:4" x14ac:dyDescent="0.25">
      <c r="A161" s="1">
        <v>45302</v>
      </c>
      <c r="B161" t="s">
        <v>133</v>
      </c>
      <c r="C161">
        <v>14000</v>
      </c>
      <c r="D161">
        <v>45933.94</v>
      </c>
    </row>
    <row r="162" spans="1:4" x14ac:dyDescent="0.25">
      <c r="A162" s="1">
        <v>45302</v>
      </c>
      <c r="B162" t="s">
        <v>134</v>
      </c>
      <c r="C162">
        <v>-515.63</v>
      </c>
      <c r="D162">
        <v>45418.31</v>
      </c>
    </row>
    <row r="163" spans="1:4" x14ac:dyDescent="0.25">
      <c r="A163" s="1">
        <v>45302</v>
      </c>
      <c r="B163" t="s">
        <v>135</v>
      </c>
      <c r="C163">
        <v>-8099.74</v>
      </c>
      <c r="D163">
        <v>37318.57</v>
      </c>
    </row>
    <row r="164" spans="1:4" x14ac:dyDescent="0.25">
      <c r="A164" s="1">
        <v>45302</v>
      </c>
      <c r="B164" t="s">
        <v>136</v>
      </c>
      <c r="C164">
        <v>-342.5</v>
      </c>
      <c r="D164">
        <v>36976.07</v>
      </c>
    </row>
    <row r="165" spans="1:4" x14ac:dyDescent="0.25">
      <c r="A165" s="1">
        <v>45302</v>
      </c>
      <c r="B165" t="s">
        <v>137</v>
      </c>
      <c r="C165">
        <v>-2968.53</v>
      </c>
      <c r="D165">
        <v>34007.54</v>
      </c>
    </row>
    <row r="166" spans="1:4" x14ac:dyDescent="0.25">
      <c r="A166" s="1">
        <v>45303</v>
      </c>
      <c r="B166" t="s">
        <v>138</v>
      </c>
      <c r="C166">
        <v>-300</v>
      </c>
      <c r="D166">
        <v>33707.54</v>
      </c>
    </row>
    <row r="167" spans="1:4" x14ac:dyDescent="0.25">
      <c r="A167" s="1">
        <v>45303</v>
      </c>
      <c r="B167" t="s">
        <v>139</v>
      </c>
      <c r="C167">
        <v>-9448.3700000000008</v>
      </c>
      <c r="D167">
        <v>24259.17</v>
      </c>
    </row>
    <row r="168" spans="1:4" x14ac:dyDescent="0.25">
      <c r="A168" s="1">
        <v>45303</v>
      </c>
      <c r="B168" t="s">
        <v>140</v>
      </c>
      <c r="C168">
        <v>-3368</v>
      </c>
      <c r="D168">
        <v>20891.169999999998</v>
      </c>
    </row>
    <row r="169" spans="1:4" x14ac:dyDescent="0.25">
      <c r="A169" s="1">
        <v>45307</v>
      </c>
      <c r="B169" t="s">
        <v>141</v>
      </c>
      <c r="C169">
        <v>-480.3</v>
      </c>
      <c r="D169">
        <v>20410.87</v>
      </c>
    </row>
    <row r="170" spans="1:4" x14ac:dyDescent="0.25">
      <c r="A170" s="1">
        <v>45307</v>
      </c>
      <c r="B170" t="s">
        <v>142</v>
      </c>
      <c r="C170">
        <v>-29.99</v>
      </c>
      <c r="D170">
        <v>20380.88</v>
      </c>
    </row>
    <row r="171" spans="1:4" x14ac:dyDescent="0.25">
      <c r="A171" s="1">
        <v>45307</v>
      </c>
      <c r="B171" t="s">
        <v>143</v>
      </c>
      <c r="C171">
        <v>-70.319999999999993</v>
      </c>
      <c r="D171">
        <v>20310.560000000001</v>
      </c>
    </row>
    <row r="172" spans="1:4" x14ac:dyDescent="0.25">
      <c r="A172" s="1">
        <v>45307</v>
      </c>
      <c r="B172" t="s">
        <v>144</v>
      </c>
      <c r="C172">
        <v>-12.55</v>
      </c>
      <c r="D172">
        <v>20298.009999999998</v>
      </c>
    </row>
    <row r="173" spans="1:4" x14ac:dyDescent="0.25">
      <c r="A173" s="1">
        <v>45307</v>
      </c>
      <c r="B173" t="s">
        <v>145</v>
      </c>
      <c r="C173">
        <v>-304.45999999999998</v>
      </c>
      <c r="D173">
        <v>19993.55</v>
      </c>
    </row>
    <row r="174" spans="1:4" x14ac:dyDescent="0.25">
      <c r="A174" s="1">
        <v>45308</v>
      </c>
      <c r="B174" t="s">
        <v>146</v>
      </c>
      <c r="C174">
        <v>-488.71</v>
      </c>
      <c r="D174">
        <v>19504.84</v>
      </c>
    </row>
    <row r="175" spans="1:4" x14ac:dyDescent="0.25">
      <c r="A175" s="1">
        <v>45308</v>
      </c>
      <c r="B175" t="s">
        <v>147</v>
      </c>
      <c r="C175">
        <v>-135</v>
      </c>
      <c r="D175">
        <v>19369.84</v>
      </c>
    </row>
    <row r="176" spans="1:4" x14ac:dyDescent="0.25">
      <c r="A176" s="1">
        <v>45309</v>
      </c>
      <c r="B176" t="s">
        <v>148</v>
      </c>
      <c r="C176">
        <v>-985.16</v>
      </c>
      <c r="D176">
        <v>18384.68</v>
      </c>
    </row>
    <row r="177" spans="1:4" x14ac:dyDescent="0.25">
      <c r="A177" s="1">
        <v>45310</v>
      </c>
      <c r="B177" t="s">
        <v>149</v>
      </c>
      <c r="C177">
        <v>-249.37</v>
      </c>
      <c r="D177">
        <v>18135.310000000001</v>
      </c>
    </row>
    <row r="178" spans="1:4" x14ac:dyDescent="0.25">
      <c r="A178" s="1">
        <v>45313</v>
      </c>
      <c r="B178" t="s">
        <v>150</v>
      </c>
      <c r="C178">
        <v>-132.44</v>
      </c>
      <c r="D178">
        <v>18002.87</v>
      </c>
    </row>
    <row r="179" spans="1:4" x14ac:dyDescent="0.25">
      <c r="A179" s="1">
        <v>45313</v>
      </c>
      <c r="B179" t="s">
        <v>127</v>
      </c>
      <c r="C179">
        <v>-24</v>
      </c>
      <c r="D179">
        <v>17978.87</v>
      </c>
    </row>
    <row r="180" spans="1:4" x14ac:dyDescent="0.25">
      <c r="A180" s="1">
        <v>45314</v>
      </c>
      <c r="B180" t="s">
        <v>151</v>
      </c>
      <c r="C180">
        <v>25000</v>
      </c>
      <c r="D180">
        <v>42978.87</v>
      </c>
    </row>
    <row r="181" spans="1:4" x14ac:dyDescent="0.25">
      <c r="A181" s="1">
        <v>45314</v>
      </c>
      <c r="B181" t="s">
        <v>110</v>
      </c>
      <c r="C181">
        <v>-50</v>
      </c>
      <c r="D181">
        <v>42928.87</v>
      </c>
    </row>
    <row r="182" spans="1:4" x14ac:dyDescent="0.25">
      <c r="A182" s="1">
        <v>45315</v>
      </c>
      <c r="B182" t="s">
        <v>152</v>
      </c>
      <c r="C182">
        <v>-24.43</v>
      </c>
      <c r="D182">
        <v>42904.44</v>
      </c>
    </row>
    <row r="183" spans="1:4" x14ac:dyDescent="0.25">
      <c r="A183" s="1">
        <v>45315</v>
      </c>
      <c r="B183" t="s">
        <v>153</v>
      </c>
      <c r="C183">
        <v>-865.87</v>
      </c>
      <c r="D183">
        <v>42038.57</v>
      </c>
    </row>
    <row r="184" spans="1:4" x14ac:dyDescent="0.25">
      <c r="A184" s="1">
        <v>45315</v>
      </c>
      <c r="B184" t="s">
        <v>154</v>
      </c>
      <c r="C184">
        <v>-724.56</v>
      </c>
      <c r="D184">
        <v>41314.01</v>
      </c>
    </row>
    <row r="185" spans="1:4" x14ac:dyDescent="0.25">
      <c r="A185" s="1">
        <v>45316</v>
      </c>
      <c r="B185" t="s">
        <v>155</v>
      </c>
      <c r="C185">
        <v>-10202.219999999999</v>
      </c>
      <c r="D185">
        <v>31111.79</v>
      </c>
    </row>
    <row r="186" spans="1:4" x14ac:dyDescent="0.25">
      <c r="A186" s="1">
        <v>45316</v>
      </c>
      <c r="B186" t="s">
        <v>156</v>
      </c>
      <c r="C186">
        <v>-3699.89</v>
      </c>
      <c r="D186">
        <v>27411.9</v>
      </c>
    </row>
    <row r="187" spans="1:4" x14ac:dyDescent="0.25">
      <c r="A187" s="1">
        <v>45317</v>
      </c>
      <c r="B187" t="s">
        <v>157</v>
      </c>
      <c r="C187">
        <v>-246.17</v>
      </c>
      <c r="D187">
        <v>27165.73</v>
      </c>
    </row>
    <row r="188" spans="1:4" x14ac:dyDescent="0.25">
      <c r="A188" s="1">
        <v>45317</v>
      </c>
      <c r="B188" t="s">
        <v>158</v>
      </c>
      <c r="C188">
        <v>-5.79</v>
      </c>
      <c r="D188">
        <v>27159.94</v>
      </c>
    </row>
    <row r="189" spans="1:4" x14ac:dyDescent="0.25">
      <c r="A189" s="1">
        <v>45320</v>
      </c>
      <c r="B189" t="s">
        <v>159</v>
      </c>
      <c r="C189">
        <v>-567.53</v>
      </c>
      <c r="D189">
        <v>26592.41</v>
      </c>
    </row>
    <row r="190" spans="1:4" x14ac:dyDescent="0.25">
      <c r="A190" s="1">
        <v>45320</v>
      </c>
      <c r="B190" t="s">
        <v>160</v>
      </c>
      <c r="C190">
        <v>-14.99</v>
      </c>
      <c r="D190">
        <v>26577.42</v>
      </c>
    </row>
    <row r="191" spans="1:4" x14ac:dyDescent="0.25">
      <c r="A191" s="1">
        <v>45320</v>
      </c>
      <c r="B191" t="s">
        <v>161</v>
      </c>
      <c r="C191">
        <v>-93.46</v>
      </c>
      <c r="D191">
        <v>26483.96</v>
      </c>
    </row>
    <row r="192" spans="1:4" x14ac:dyDescent="0.25">
      <c r="A192" s="1">
        <v>45320</v>
      </c>
      <c r="B192" t="s">
        <v>162</v>
      </c>
      <c r="C192">
        <v>-10</v>
      </c>
      <c r="D192">
        <v>26473.96</v>
      </c>
    </row>
    <row r="193" spans="1:4" x14ac:dyDescent="0.25">
      <c r="A193" s="1">
        <v>45321</v>
      </c>
      <c r="B193" t="s">
        <v>163</v>
      </c>
      <c r="C193">
        <v>-169.58</v>
      </c>
      <c r="D193">
        <v>26304.38</v>
      </c>
    </row>
    <row r="194" spans="1:4" x14ac:dyDescent="0.25">
      <c r="A194" s="1">
        <v>45321</v>
      </c>
      <c r="B194" t="s">
        <v>164</v>
      </c>
      <c r="C194">
        <v>-272.22000000000003</v>
      </c>
      <c r="D194">
        <v>26032.16</v>
      </c>
    </row>
    <row r="195" spans="1:4" x14ac:dyDescent="0.25">
      <c r="A195" s="1">
        <v>45321</v>
      </c>
      <c r="B195" t="s">
        <v>165</v>
      </c>
      <c r="C195">
        <v>-254.16</v>
      </c>
      <c r="D195">
        <v>25778</v>
      </c>
    </row>
    <row r="196" spans="1:4" x14ac:dyDescent="0.25">
      <c r="A196" s="1">
        <v>45322</v>
      </c>
      <c r="B196" t="s">
        <v>166</v>
      </c>
      <c r="C196">
        <v>-149.94999999999999</v>
      </c>
      <c r="D196">
        <v>25628.05</v>
      </c>
    </row>
    <row r="197" spans="1:4" x14ac:dyDescent="0.25">
      <c r="A197" s="1">
        <v>45323</v>
      </c>
      <c r="B197" t="s">
        <v>167</v>
      </c>
      <c r="C197">
        <v>-4801</v>
      </c>
      <c r="D197">
        <v>20827.05</v>
      </c>
    </row>
    <row r="198" spans="1:4" x14ac:dyDescent="0.25">
      <c r="A198" s="1">
        <v>45324</v>
      </c>
      <c r="B198" t="s">
        <v>22</v>
      </c>
      <c r="C198">
        <v>16000</v>
      </c>
      <c r="D198">
        <v>36827.050000000003</v>
      </c>
    </row>
    <row r="199" spans="1:4" x14ac:dyDescent="0.25">
      <c r="A199" s="1">
        <v>45324</v>
      </c>
      <c r="B199" t="s">
        <v>168</v>
      </c>
      <c r="C199">
        <v>-251.76</v>
      </c>
      <c r="D199">
        <v>36575.29</v>
      </c>
    </row>
    <row r="200" spans="1:4" x14ac:dyDescent="0.25">
      <c r="A200" s="1">
        <v>45324</v>
      </c>
      <c r="B200" t="s">
        <v>169</v>
      </c>
      <c r="C200">
        <v>-19.13</v>
      </c>
      <c r="D200">
        <v>36556.160000000003</v>
      </c>
    </row>
    <row r="201" spans="1:4" x14ac:dyDescent="0.25">
      <c r="A201" s="1">
        <v>45324</v>
      </c>
      <c r="B201" t="s">
        <v>170</v>
      </c>
      <c r="C201">
        <v>-15.56</v>
      </c>
      <c r="D201">
        <v>36540.6</v>
      </c>
    </row>
    <row r="202" spans="1:4" x14ac:dyDescent="0.25">
      <c r="A202" s="1">
        <v>45324</v>
      </c>
      <c r="B202" t="s">
        <v>171</v>
      </c>
      <c r="C202">
        <v>-35.700000000000003</v>
      </c>
      <c r="D202">
        <v>36504.9</v>
      </c>
    </row>
    <row r="203" spans="1:4" x14ac:dyDescent="0.25">
      <c r="A203" s="1">
        <v>45324</v>
      </c>
      <c r="B203" t="s">
        <v>172</v>
      </c>
      <c r="C203">
        <v>-1</v>
      </c>
      <c r="D203">
        <v>36503.9</v>
      </c>
    </row>
    <row r="204" spans="1:4" x14ac:dyDescent="0.25">
      <c r="A204" s="1">
        <v>45327</v>
      </c>
      <c r="B204" t="s">
        <v>173</v>
      </c>
      <c r="C204">
        <v>-1311.14</v>
      </c>
      <c r="D204">
        <v>35192.76</v>
      </c>
    </row>
    <row r="205" spans="1:4" x14ac:dyDescent="0.25">
      <c r="A205" s="1">
        <v>45327</v>
      </c>
      <c r="B205" t="s">
        <v>174</v>
      </c>
      <c r="C205">
        <v>-126.56</v>
      </c>
      <c r="D205">
        <v>35066.199999999997</v>
      </c>
    </row>
    <row r="206" spans="1:4" x14ac:dyDescent="0.25">
      <c r="A206" s="1">
        <v>45327</v>
      </c>
      <c r="B206" t="s">
        <v>175</v>
      </c>
      <c r="C206">
        <v>-248.54</v>
      </c>
      <c r="D206">
        <v>34817.660000000003</v>
      </c>
    </row>
    <row r="207" spans="1:4" x14ac:dyDescent="0.25">
      <c r="A207" s="1">
        <v>45327</v>
      </c>
      <c r="B207" t="s">
        <v>110</v>
      </c>
      <c r="C207">
        <v>-50</v>
      </c>
      <c r="D207">
        <v>34767.660000000003</v>
      </c>
    </row>
    <row r="208" spans="1:4" x14ac:dyDescent="0.25">
      <c r="A208" s="1">
        <v>45329</v>
      </c>
      <c r="B208" t="s">
        <v>44</v>
      </c>
      <c r="C208">
        <v>-126.43</v>
      </c>
      <c r="D208">
        <v>34641.230000000003</v>
      </c>
    </row>
    <row r="209" spans="1:4" x14ac:dyDescent="0.25">
      <c r="A209" s="1">
        <v>45330</v>
      </c>
      <c r="B209" t="s">
        <v>176</v>
      </c>
      <c r="C209">
        <v>-121.14</v>
      </c>
      <c r="D209">
        <v>34520.089999999997</v>
      </c>
    </row>
    <row r="210" spans="1:4" x14ac:dyDescent="0.25">
      <c r="A210" s="1">
        <v>45330</v>
      </c>
      <c r="B210" t="s">
        <v>177</v>
      </c>
      <c r="C210">
        <v>-32.06</v>
      </c>
      <c r="D210">
        <v>34488.03</v>
      </c>
    </row>
    <row r="211" spans="1:4" x14ac:dyDescent="0.25">
      <c r="A211" s="1">
        <v>45330</v>
      </c>
      <c r="B211" t="s">
        <v>178</v>
      </c>
      <c r="C211">
        <v>-55.86</v>
      </c>
      <c r="D211">
        <v>34432.17</v>
      </c>
    </row>
    <row r="212" spans="1:4" x14ac:dyDescent="0.25">
      <c r="A212" s="1">
        <v>45330</v>
      </c>
      <c r="B212" t="s">
        <v>179</v>
      </c>
      <c r="C212">
        <v>-10482.81</v>
      </c>
      <c r="D212">
        <v>23949.360000000001</v>
      </c>
    </row>
    <row r="213" spans="1:4" x14ac:dyDescent="0.25">
      <c r="A213" s="1">
        <v>45330</v>
      </c>
      <c r="B213" t="s">
        <v>180</v>
      </c>
      <c r="C213">
        <v>-3772.27</v>
      </c>
      <c r="D213">
        <v>20177.09</v>
      </c>
    </row>
    <row r="214" spans="1:4" x14ac:dyDescent="0.25">
      <c r="A214" s="1">
        <v>45334</v>
      </c>
      <c r="B214" t="s">
        <v>181</v>
      </c>
      <c r="C214">
        <v>-50</v>
      </c>
      <c r="D214">
        <v>20127.09</v>
      </c>
    </row>
    <row r="215" spans="1:4" x14ac:dyDescent="0.25">
      <c r="A215" s="1">
        <v>45335</v>
      </c>
      <c r="B215" t="s">
        <v>182</v>
      </c>
      <c r="C215">
        <v>-330.86</v>
      </c>
      <c r="D215">
        <v>19796.23</v>
      </c>
    </row>
    <row r="216" spans="1:4" x14ac:dyDescent="0.25">
      <c r="A216" s="1">
        <v>45335</v>
      </c>
      <c r="B216" t="s">
        <v>183</v>
      </c>
      <c r="C216">
        <v>-1677.56</v>
      </c>
      <c r="D216">
        <v>18118.669999999998</v>
      </c>
    </row>
    <row r="217" spans="1:4" x14ac:dyDescent="0.25">
      <c r="A217" s="1">
        <v>45335</v>
      </c>
      <c r="B217" t="s">
        <v>184</v>
      </c>
      <c r="C217">
        <v>-1120</v>
      </c>
      <c r="D217">
        <v>16998.669999999998</v>
      </c>
    </row>
    <row r="218" spans="1:4" x14ac:dyDescent="0.25">
      <c r="A218" s="1">
        <v>45336</v>
      </c>
      <c r="B218" t="s">
        <v>185</v>
      </c>
      <c r="C218">
        <v>-244.36</v>
      </c>
      <c r="D218">
        <v>16754.310000000001</v>
      </c>
    </row>
    <row r="219" spans="1:4" x14ac:dyDescent="0.25">
      <c r="A219" s="1">
        <v>45337</v>
      </c>
      <c r="B219" t="s">
        <v>186</v>
      </c>
      <c r="C219">
        <v>-200</v>
      </c>
      <c r="D219">
        <v>16554.310000000001</v>
      </c>
    </row>
    <row r="220" spans="1:4" x14ac:dyDescent="0.25">
      <c r="A220" s="1">
        <v>45337</v>
      </c>
      <c r="B220" t="s">
        <v>187</v>
      </c>
      <c r="C220">
        <v>-1022.45</v>
      </c>
      <c r="D220">
        <v>15531.86</v>
      </c>
    </row>
    <row r="221" spans="1:4" x14ac:dyDescent="0.25">
      <c r="A221" s="1">
        <v>45338</v>
      </c>
      <c r="B221" t="s">
        <v>188</v>
      </c>
      <c r="C221">
        <v>602.59</v>
      </c>
      <c r="D221">
        <v>16134.45</v>
      </c>
    </row>
    <row r="222" spans="1:4" x14ac:dyDescent="0.25">
      <c r="A222" s="1">
        <v>45342</v>
      </c>
      <c r="B222" t="s">
        <v>188</v>
      </c>
      <c r="C222">
        <v>288.89</v>
      </c>
      <c r="D222">
        <v>16423.34</v>
      </c>
    </row>
    <row r="223" spans="1:4" x14ac:dyDescent="0.25">
      <c r="A223" s="1">
        <v>45342</v>
      </c>
      <c r="B223" t="s">
        <v>189</v>
      </c>
      <c r="C223">
        <v>-180.36</v>
      </c>
      <c r="D223">
        <v>16242.98</v>
      </c>
    </row>
    <row r="224" spans="1:4" x14ac:dyDescent="0.25">
      <c r="A224" s="1">
        <v>45342</v>
      </c>
      <c r="B224" t="s">
        <v>190</v>
      </c>
      <c r="C224">
        <v>-249.37</v>
      </c>
      <c r="D224">
        <v>15993.61</v>
      </c>
    </row>
    <row r="225" spans="1:4" x14ac:dyDescent="0.25">
      <c r="A225" s="1">
        <v>45343</v>
      </c>
      <c r="B225" t="s">
        <v>191</v>
      </c>
      <c r="C225">
        <v>-350</v>
      </c>
      <c r="D225">
        <v>15643.61</v>
      </c>
    </row>
    <row r="226" spans="1:4" x14ac:dyDescent="0.25">
      <c r="A226" s="1">
        <v>45343</v>
      </c>
      <c r="B226" t="s">
        <v>110</v>
      </c>
      <c r="C226">
        <v>-50</v>
      </c>
      <c r="D226">
        <v>15593.61</v>
      </c>
    </row>
    <row r="227" spans="1:4" x14ac:dyDescent="0.25">
      <c r="A227" s="1">
        <v>45344</v>
      </c>
      <c r="B227" t="s">
        <v>22</v>
      </c>
      <c r="C227">
        <v>16255.86</v>
      </c>
      <c r="D227">
        <v>31849.47</v>
      </c>
    </row>
    <row r="228" spans="1:4" x14ac:dyDescent="0.25">
      <c r="A228" s="1">
        <v>45344</v>
      </c>
      <c r="B228" t="s">
        <v>192</v>
      </c>
      <c r="C228">
        <v>-10326.18</v>
      </c>
      <c r="D228">
        <v>21523.29</v>
      </c>
    </row>
    <row r="229" spans="1:4" x14ac:dyDescent="0.25">
      <c r="A229" s="1">
        <v>45344</v>
      </c>
      <c r="B229" t="s">
        <v>193</v>
      </c>
      <c r="C229">
        <v>-3636.51</v>
      </c>
      <c r="D229">
        <v>17886.78</v>
      </c>
    </row>
    <row r="230" spans="1:4" x14ac:dyDescent="0.25">
      <c r="A230" s="1">
        <v>45345</v>
      </c>
      <c r="B230" t="s">
        <v>194</v>
      </c>
      <c r="C230">
        <v>-11.68</v>
      </c>
      <c r="D230">
        <v>17875.099999999999</v>
      </c>
    </row>
    <row r="231" spans="1:4" x14ac:dyDescent="0.25">
      <c r="A231" s="1">
        <v>45345</v>
      </c>
      <c r="B231" t="s">
        <v>195</v>
      </c>
      <c r="C231">
        <v>-421.48</v>
      </c>
      <c r="D231">
        <v>17453.62</v>
      </c>
    </row>
    <row r="232" spans="1:4" x14ac:dyDescent="0.25">
      <c r="A232" s="1">
        <v>45348</v>
      </c>
      <c r="B232" t="s">
        <v>196</v>
      </c>
      <c r="C232">
        <v>8933</v>
      </c>
      <c r="D232">
        <v>26386.62</v>
      </c>
    </row>
    <row r="233" spans="1:4" x14ac:dyDescent="0.25">
      <c r="A233" s="1">
        <v>45349</v>
      </c>
      <c r="B233" t="s">
        <v>197</v>
      </c>
      <c r="C233">
        <v>-1384.18</v>
      </c>
      <c r="D233">
        <v>25002.44</v>
      </c>
    </row>
    <row r="234" spans="1:4" x14ac:dyDescent="0.25">
      <c r="A234" s="1">
        <v>45349</v>
      </c>
      <c r="B234" t="s">
        <v>197</v>
      </c>
      <c r="C234">
        <v>-756.25</v>
      </c>
      <c r="D234">
        <v>24246.19</v>
      </c>
    </row>
    <row r="235" spans="1:4" x14ac:dyDescent="0.25">
      <c r="A235" s="1">
        <v>45349</v>
      </c>
      <c r="B235" t="s">
        <v>197</v>
      </c>
      <c r="C235">
        <v>-80.040000000000006</v>
      </c>
      <c r="D235">
        <v>24166.15</v>
      </c>
    </row>
    <row r="236" spans="1:4" x14ac:dyDescent="0.25">
      <c r="A236" s="1">
        <v>45349</v>
      </c>
      <c r="B236" t="s">
        <v>198</v>
      </c>
      <c r="C236">
        <v>-14.99</v>
      </c>
      <c r="D236">
        <v>24151.16</v>
      </c>
    </row>
    <row r="237" spans="1:4" x14ac:dyDescent="0.25">
      <c r="A237" s="1">
        <v>45349</v>
      </c>
      <c r="B237" t="s">
        <v>199</v>
      </c>
      <c r="C237">
        <v>-1388.76</v>
      </c>
      <c r="D237">
        <v>22762.400000000001</v>
      </c>
    </row>
    <row r="238" spans="1:4" x14ac:dyDescent="0.25">
      <c r="A238" s="1">
        <v>45349</v>
      </c>
      <c r="B238" t="s">
        <v>200</v>
      </c>
      <c r="C238">
        <v>-33</v>
      </c>
      <c r="D238">
        <v>22729.4</v>
      </c>
    </row>
    <row r="239" spans="1:4" x14ac:dyDescent="0.25">
      <c r="A239" s="1">
        <v>45350</v>
      </c>
      <c r="B239" t="s">
        <v>22</v>
      </c>
      <c r="C239">
        <v>7093</v>
      </c>
      <c r="D239">
        <v>29822.400000000001</v>
      </c>
    </row>
    <row r="240" spans="1:4" x14ac:dyDescent="0.25">
      <c r="A240" s="1">
        <v>45350</v>
      </c>
      <c r="B240" t="s">
        <v>201</v>
      </c>
      <c r="C240">
        <v>-500</v>
      </c>
      <c r="D240">
        <v>29322.400000000001</v>
      </c>
    </row>
    <row r="241" spans="1:4" x14ac:dyDescent="0.25">
      <c r="A241" s="1">
        <v>45351</v>
      </c>
      <c r="B241" t="s">
        <v>202</v>
      </c>
      <c r="C241">
        <v>-222.36</v>
      </c>
      <c r="D241">
        <v>29100.04</v>
      </c>
    </row>
    <row r="242" spans="1:4" x14ac:dyDescent="0.25">
      <c r="A242" s="1">
        <v>45352</v>
      </c>
      <c r="B242" t="s">
        <v>203</v>
      </c>
      <c r="C242">
        <v>-4801</v>
      </c>
      <c r="D242">
        <v>24299.040000000001</v>
      </c>
    </row>
    <row r="243" spans="1:4" x14ac:dyDescent="0.25">
      <c r="A243" s="1">
        <v>45355</v>
      </c>
      <c r="B243" t="s">
        <v>204</v>
      </c>
      <c r="C243">
        <v>4510</v>
      </c>
      <c r="D243">
        <v>28809.040000000001</v>
      </c>
    </row>
    <row r="244" spans="1:4" x14ac:dyDescent="0.25">
      <c r="A244" s="1">
        <v>45355</v>
      </c>
      <c r="B244" t="s">
        <v>205</v>
      </c>
      <c r="C244">
        <v>-251.75</v>
      </c>
      <c r="D244">
        <v>28557.29</v>
      </c>
    </row>
    <row r="245" spans="1:4" x14ac:dyDescent="0.25">
      <c r="A245" s="1">
        <v>45355</v>
      </c>
      <c r="B245" t="s">
        <v>206</v>
      </c>
      <c r="C245">
        <v>-181.24</v>
      </c>
      <c r="D245">
        <v>28376.05</v>
      </c>
    </row>
    <row r="246" spans="1:4" x14ac:dyDescent="0.25">
      <c r="A246" s="1">
        <v>45355</v>
      </c>
      <c r="B246" t="s">
        <v>207</v>
      </c>
      <c r="C246">
        <v>-19.13</v>
      </c>
      <c r="D246">
        <v>28356.92</v>
      </c>
    </row>
    <row r="247" spans="1:4" x14ac:dyDescent="0.25">
      <c r="A247" s="1">
        <v>45355</v>
      </c>
      <c r="B247" t="s">
        <v>208</v>
      </c>
      <c r="C247">
        <v>-200.06</v>
      </c>
      <c r="D247">
        <v>28156.86</v>
      </c>
    </row>
    <row r="248" spans="1:4" x14ac:dyDescent="0.25">
      <c r="A248" s="1">
        <v>45355</v>
      </c>
      <c r="B248" t="s">
        <v>209</v>
      </c>
      <c r="C248">
        <v>-248.54</v>
      </c>
      <c r="D248">
        <v>27908.32</v>
      </c>
    </row>
    <row r="249" spans="1:4" x14ac:dyDescent="0.25">
      <c r="A249" s="1">
        <v>45355</v>
      </c>
      <c r="B249" t="s">
        <v>210</v>
      </c>
      <c r="C249">
        <v>-35.6</v>
      </c>
      <c r="D249">
        <v>27872.720000000001</v>
      </c>
    </row>
    <row r="250" spans="1:4" x14ac:dyDescent="0.25">
      <c r="A250" s="1">
        <v>45355</v>
      </c>
      <c r="B250" t="s">
        <v>211</v>
      </c>
      <c r="C250">
        <v>-1</v>
      </c>
      <c r="D250">
        <v>27871.72</v>
      </c>
    </row>
    <row r="251" spans="1:4" x14ac:dyDescent="0.25">
      <c r="A251" s="1">
        <v>45356</v>
      </c>
      <c r="B251" t="s">
        <v>22</v>
      </c>
      <c r="C251">
        <v>18000</v>
      </c>
      <c r="D251">
        <v>45871.72</v>
      </c>
    </row>
    <row r="252" spans="1:4" x14ac:dyDescent="0.25">
      <c r="A252" s="1">
        <v>45356</v>
      </c>
      <c r="B252" t="s">
        <v>110</v>
      </c>
      <c r="C252">
        <v>-50</v>
      </c>
      <c r="D252">
        <v>45821.72</v>
      </c>
    </row>
    <row r="253" spans="1:4" x14ac:dyDescent="0.25">
      <c r="A253" s="1">
        <v>45357</v>
      </c>
      <c r="B253" t="s">
        <v>212</v>
      </c>
      <c r="C253">
        <v>-6.36</v>
      </c>
      <c r="D253">
        <v>45815.360000000001</v>
      </c>
    </row>
    <row r="254" spans="1:4" x14ac:dyDescent="0.25">
      <c r="A254" s="1">
        <v>45358</v>
      </c>
      <c r="B254" t="s">
        <v>22</v>
      </c>
      <c r="C254">
        <v>920.41</v>
      </c>
      <c r="D254">
        <v>46735.77</v>
      </c>
    </row>
    <row r="255" spans="1:4" x14ac:dyDescent="0.25">
      <c r="A255" s="1">
        <v>45358</v>
      </c>
      <c r="B255" t="s">
        <v>213</v>
      </c>
      <c r="C255">
        <v>-20656.77</v>
      </c>
      <c r="D255">
        <v>26079</v>
      </c>
    </row>
    <row r="256" spans="1:4" x14ac:dyDescent="0.25">
      <c r="A256" s="1">
        <v>45358</v>
      </c>
      <c r="B256" t="s">
        <v>214</v>
      </c>
      <c r="C256">
        <v>-4326.83</v>
      </c>
      <c r="D256">
        <v>21752.17</v>
      </c>
    </row>
    <row r="257" spans="1:4" x14ac:dyDescent="0.25">
      <c r="A257" s="1">
        <v>45359</v>
      </c>
      <c r="B257" t="s">
        <v>215</v>
      </c>
      <c r="C257">
        <v>-126.56</v>
      </c>
      <c r="D257">
        <v>21625.61</v>
      </c>
    </row>
    <row r="258" spans="1:4" x14ac:dyDescent="0.25">
      <c r="A258" s="1">
        <v>45359</v>
      </c>
      <c r="B258" t="s">
        <v>216</v>
      </c>
      <c r="C258">
        <v>-55.86</v>
      </c>
      <c r="D258">
        <v>21569.75</v>
      </c>
    </row>
    <row r="259" spans="1:4" x14ac:dyDescent="0.25">
      <c r="A259" s="1">
        <v>45359</v>
      </c>
      <c r="B259" t="s">
        <v>217</v>
      </c>
      <c r="C259">
        <v>-24.14</v>
      </c>
      <c r="D259">
        <v>21545.61</v>
      </c>
    </row>
    <row r="260" spans="1:4" x14ac:dyDescent="0.25">
      <c r="A260" s="1">
        <v>45359</v>
      </c>
      <c r="B260" t="s">
        <v>218</v>
      </c>
      <c r="C260">
        <v>-1014</v>
      </c>
      <c r="D260">
        <v>20531.61</v>
      </c>
    </row>
    <row r="261" spans="1:4" x14ac:dyDescent="0.25">
      <c r="A261" s="1">
        <v>45359</v>
      </c>
      <c r="B261" t="s">
        <v>44</v>
      </c>
      <c r="C261">
        <v>-126.43</v>
      </c>
      <c r="D261">
        <v>20405.18</v>
      </c>
    </row>
    <row r="262" spans="1:4" x14ac:dyDescent="0.25">
      <c r="A262" s="1">
        <v>45359</v>
      </c>
      <c r="B262" t="s">
        <v>219</v>
      </c>
      <c r="C262">
        <v>-115.22</v>
      </c>
      <c r="D262">
        <v>20289.96</v>
      </c>
    </row>
    <row r="263" spans="1:4" x14ac:dyDescent="0.25">
      <c r="A263" s="1">
        <v>45359</v>
      </c>
      <c r="B263" t="s">
        <v>220</v>
      </c>
      <c r="C263">
        <v>-50</v>
      </c>
      <c r="D263">
        <v>20239.96</v>
      </c>
    </row>
    <row r="264" spans="1:4" x14ac:dyDescent="0.25">
      <c r="A264" s="1">
        <v>45359</v>
      </c>
      <c r="B264" t="s">
        <v>221</v>
      </c>
      <c r="C264">
        <v>-21</v>
      </c>
      <c r="D264">
        <v>20218.96</v>
      </c>
    </row>
    <row r="265" spans="1:4" x14ac:dyDescent="0.25">
      <c r="A265" s="1">
        <v>45362</v>
      </c>
      <c r="B265" t="s">
        <v>222</v>
      </c>
      <c r="C265">
        <v>8391</v>
      </c>
      <c r="D265">
        <v>28609.96</v>
      </c>
    </row>
    <row r="266" spans="1:4" x14ac:dyDescent="0.25">
      <c r="A266" s="1">
        <v>45362</v>
      </c>
      <c r="B266" t="s">
        <v>223</v>
      </c>
      <c r="C266">
        <v>-948</v>
      </c>
      <c r="D266">
        <v>27661.96</v>
      </c>
    </row>
    <row r="267" spans="1:4" x14ac:dyDescent="0.25">
      <c r="A267" s="1">
        <v>45362</v>
      </c>
      <c r="B267" t="s">
        <v>224</v>
      </c>
      <c r="C267">
        <v>-118.1</v>
      </c>
      <c r="D267">
        <v>27543.86</v>
      </c>
    </row>
    <row r="268" spans="1:4" x14ac:dyDescent="0.25">
      <c r="A268" s="1">
        <v>45362</v>
      </c>
      <c r="B268" t="s">
        <v>225</v>
      </c>
      <c r="C268">
        <v>-165.87</v>
      </c>
      <c r="D268">
        <v>27377.99</v>
      </c>
    </row>
    <row r="269" spans="1:4" x14ac:dyDescent="0.25">
      <c r="A269" s="1">
        <v>45362</v>
      </c>
      <c r="B269" t="s">
        <v>226</v>
      </c>
      <c r="C269">
        <v>-200.07</v>
      </c>
      <c r="D269">
        <v>27177.919999999998</v>
      </c>
    </row>
    <row r="270" spans="1:4" x14ac:dyDescent="0.25">
      <c r="A270" s="1">
        <v>45362</v>
      </c>
      <c r="B270" t="s">
        <v>227</v>
      </c>
      <c r="C270">
        <v>-141.26</v>
      </c>
      <c r="D270">
        <v>27036.66</v>
      </c>
    </row>
    <row r="271" spans="1:4" x14ac:dyDescent="0.25">
      <c r="A271" s="1">
        <v>45363</v>
      </c>
      <c r="B271" t="s">
        <v>228</v>
      </c>
      <c r="C271">
        <v>-500</v>
      </c>
      <c r="D271">
        <v>26536.66</v>
      </c>
    </row>
    <row r="272" spans="1:4" x14ac:dyDescent="0.25">
      <c r="A272" s="1">
        <v>45364</v>
      </c>
      <c r="B272" t="s">
        <v>229</v>
      </c>
      <c r="C272">
        <v>-103.7</v>
      </c>
      <c r="D272">
        <v>26432.959999999999</v>
      </c>
    </row>
    <row r="273" spans="1:4" x14ac:dyDescent="0.25">
      <c r="A273" s="1">
        <v>45366</v>
      </c>
      <c r="B273" t="s">
        <v>230</v>
      </c>
      <c r="C273">
        <v>-456</v>
      </c>
      <c r="D273">
        <v>25976.959999999999</v>
      </c>
    </row>
    <row r="274" spans="1:4" x14ac:dyDescent="0.25">
      <c r="A274" s="1">
        <v>45366</v>
      </c>
      <c r="B274" t="s">
        <v>231</v>
      </c>
      <c r="C274">
        <v>-348</v>
      </c>
      <c r="D274">
        <v>25628.959999999999</v>
      </c>
    </row>
    <row r="275" spans="1:4" x14ac:dyDescent="0.25">
      <c r="A275" s="1">
        <v>45369</v>
      </c>
      <c r="B275" t="s">
        <v>232</v>
      </c>
      <c r="C275">
        <v>3368</v>
      </c>
      <c r="D275">
        <v>28996.959999999999</v>
      </c>
    </row>
    <row r="276" spans="1:4" x14ac:dyDescent="0.25">
      <c r="A276" s="1">
        <v>45369</v>
      </c>
      <c r="B276" t="s">
        <v>233</v>
      </c>
      <c r="C276">
        <v>-194.16</v>
      </c>
      <c r="D276">
        <v>28802.799999999999</v>
      </c>
    </row>
    <row r="277" spans="1:4" x14ac:dyDescent="0.25">
      <c r="A277" s="1">
        <v>45369</v>
      </c>
      <c r="B277" t="s">
        <v>234</v>
      </c>
      <c r="C277">
        <v>-28.26</v>
      </c>
      <c r="D277">
        <v>28774.54</v>
      </c>
    </row>
    <row r="278" spans="1:4" x14ac:dyDescent="0.25">
      <c r="A278" s="1">
        <v>45369</v>
      </c>
      <c r="B278" t="s">
        <v>235</v>
      </c>
      <c r="C278">
        <v>-990.74</v>
      </c>
      <c r="D278">
        <v>27783.8</v>
      </c>
    </row>
    <row r="279" spans="1:4" x14ac:dyDescent="0.25">
      <c r="A279" s="1">
        <v>45370</v>
      </c>
      <c r="B279" t="s">
        <v>236</v>
      </c>
      <c r="C279">
        <v>-76.040000000000006</v>
      </c>
      <c r="D279">
        <v>27707.759999999998</v>
      </c>
    </row>
    <row r="280" spans="1:4" x14ac:dyDescent="0.25">
      <c r="A280" s="1">
        <v>45370</v>
      </c>
      <c r="B280" t="s">
        <v>237</v>
      </c>
      <c r="C280">
        <v>-249.37</v>
      </c>
      <c r="D280">
        <v>27458.39</v>
      </c>
    </row>
    <row r="281" spans="1:4" x14ac:dyDescent="0.25">
      <c r="A281" s="1">
        <v>45370</v>
      </c>
      <c r="B281" t="s">
        <v>110</v>
      </c>
      <c r="C281">
        <v>-50</v>
      </c>
      <c r="D281">
        <v>27408.39</v>
      </c>
    </row>
    <row r="282" spans="1:4" x14ac:dyDescent="0.25">
      <c r="A282" s="1">
        <v>45372</v>
      </c>
      <c r="B282" t="s">
        <v>238</v>
      </c>
      <c r="C282">
        <v>-18760.060000000001</v>
      </c>
      <c r="D282">
        <v>8648.33</v>
      </c>
    </row>
    <row r="283" spans="1:4" x14ac:dyDescent="0.25">
      <c r="A283" s="1">
        <v>45372</v>
      </c>
      <c r="B283" t="s">
        <v>239</v>
      </c>
      <c r="C283">
        <v>-3779.49</v>
      </c>
      <c r="D283">
        <v>4868.84</v>
      </c>
    </row>
    <row r="284" spans="1:4" x14ac:dyDescent="0.25">
      <c r="A284" s="1">
        <v>45373</v>
      </c>
      <c r="B284" t="s">
        <v>240</v>
      </c>
      <c r="C284">
        <v>-87.82</v>
      </c>
      <c r="D284">
        <v>4781.0200000000004</v>
      </c>
    </row>
    <row r="285" spans="1:4" x14ac:dyDescent="0.25">
      <c r="A285" s="1">
        <v>45376</v>
      </c>
      <c r="B285" t="s">
        <v>241</v>
      </c>
      <c r="C285">
        <v>5402</v>
      </c>
      <c r="D285">
        <v>10183.02</v>
      </c>
    </row>
    <row r="286" spans="1:4" x14ac:dyDescent="0.25">
      <c r="A286" s="1">
        <v>45376</v>
      </c>
      <c r="B286" t="s">
        <v>242</v>
      </c>
      <c r="C286">
        <v>-543.55999999999995</v>
      </c>
      <c r="D286">
        <v>9639.4599999999991</v>
      </c>
    </row>
    <row r="287" spans="1:4" x14ac:dyDescent="0.25">
      <c r="A287" s="1">
        <v>45376</v>
      </c>
      <c r="B287" t="s">
        <v>243</v>
      </c>
      <c r="C287">
        <v>-2053.81</v>
      </c>
      <c r="D287">
        <v>7585.65</v>
      </c>
    </row>
    <row r="288" spans="1:4" x14ac:dyDescent="0.25">
      <c r="A288" s="1">
        <v>45376</v>
      </c>
      <c r="B288" t="s">
        <v>244</v>
      </c>
      <c r="C288">
        <v>-16</v>
      </c>
      <c r="D288">
        <v>7569.65</v>
      </c>
    </row>
    <row r="289" spans="1:4" x14ac:dyDescent="0.25">
      <c r="A289" s="1">
        <v>45378</v>
      </c>
      <c r="B289" t="s">
        <v>245</v>
      </c>
      <c r="C289">
        <v>-14.99</v>
      </c>
      <c r="D289">
        <v>7554.66</v>
      </c>
    </row>
    <row r="290" spans="1:4" x14ac:dyDescent="0.25">
      <c r="A290" s="1">
        <v>45378</v>
      </c>
      <c r="B290" t="s">
        <v>246</v>
      </c>
      <c r="C290">
        <v>-37.17</v>
      </c>
      <c r="D290">
        <v>7517.49</v>
      </c>
    </row>
    <row r="291" spans="1:4" x14ac:dyDescent="0.25">
      <c r="A291" s="1">
        <v>45379</v>
      </c>
      <c r="B291" t="s">
        <v>22</v>
      </c>
      <c r="C291">
        <v>15399</v>
      </c>
      <c r="D291">
        <v>22916.49</v>
      </c>
    </row>
    <row r="292" spans="1:4" x14ac:dyDescent="0.25">
      <c r="A292" s="1">
        <v>45379</v>
      </c>
      <c r="B292" t="s">
        <v>247</v>
      </c>
      <c r="C292">
        <v>-147.69</v>
      </c>
      <c r="D292">
        <v>22768.799999999999</v>
      </c>
    </row>
    <row r="293" spans="1:4" x14ac:dyDescent="0.25">
      <c r="A293" s="1">
        <v>45379</v>
      </c>
      <c r="B293" t="s">
        <v>248</v>
      </c>
      <c r="C293">
        <v>-76.56</v>
      </c>
      <c r="D293">
        <v>22692.240000000002</v>
      </c>
    </row>
    <row r="294" spans="1:4" x14ac:dyDescent="0.25">
      <c r="A294" s="1">
        <v>45379</v>
      </c>
      <c r="B294" t="s">
        <v>249</v>
      </c>
      <c r="C294">
        <v>-116.96</v>
      </c>
      <c r="D294">
        <v>22575.279999999999</v>
      </c>
    </row>
    <row r="295" spans="1:4" x14ac:dyDescent="0.25">
      <c r="A295" s="1">
        <v>45379</v>
      </c>
      <c r="B295" t="s">
        <v>250</v>
      </c>
      <c r="C295">
        <v>-8.5</v>
      </c>
      <c r="D295">
        <v>22566.78</v>
      </c>
    </row>
    <row r="296" spans="1:4" x14ac:dyDescent="0.25">
      <c r="A296" s="1">
        <v>45379</v>
      </c>
      <c r="B296" t="s">
        <v>251</v>
      </c>
      <c r="C296">
        <v>-86.92</v>
      </c>
      <c r="D296">
        <v>22479.86</v>
      </c>
    </row>
    <row r="297" spans="1:4" x14ac:dyDescent="0.25">
      <c r="A297" s="1">
        <v>45379</v>
      </c>
      <c r="B297" t="s">
        <v>252</v>
      </c>
      <c r="C297">
        <v>-10.06</v>
      </c>
      <c r="D297">
        <v>22469.8</v>
      </c>
    </row>
    <row r="298" spans="1:4" x14ac:dyDescent="0.25">
      <c r="A298" s="1">
        <v>45379</v>
      </c>
      <c r="B298" t="s">
        <v>252</v>
      </c>
      <c r="C298">
        <v>-457.41</v>
      </c>
      <c r="D298">
        <v>22012.39</v>
      </c>
    </row>
    <row r="299" spans="1:4" x14ac:dyDescent="0.25">
      <c r="A299" s="1">
        <v>45379</v>
      </c>
      <c r="B299" t="s">
        <v>253</v>
      </c>
      <c r="C299">
        <v>-316.58</v>
      </c>
      <c r="D299">
        <v>21695.81</v>
      </c>
    </row>
    <row r="300" spans="1:4" x14ac:dyDescent="0.25">
      <c r="A300" s="1">
        <v>45379</v>
      </c>
      <c r="B300" t="s">
        <v>254</v>
      </c>
      <c r="C300">
        <v>-186.25</v>
      </c>
      <c r="D300">
        <v>21509.56</v>
      </c>
    </row>
    <row r="301" spans="1:4" x14ac:dyDescent="0.25">
      <c r="A301" s="1">
        <v>45379</v>
      </c>
      <c r="B301" t="s">
        <v>255</v>
      </c>
      <c r="C301">
        <v>-33</v>
      </c>
      <c r="D301">
        <v>21476.560000000001</v>
      </c>
    </row>
    <row r="302" spans="1:4" x14ac:dyDescent="0.25">
      <c r="A302" s="1">
        <v>45380</v>
      </c>
      <c r="B302" t="s">
        <v>256</v>
      </c>
      <c r="C302">
        <v>-17.010000000000002</v>
      </c>
      <c r="D302">
        <v>21459.55</v>
      </c>
    </row>
    <row r="303" spans="1:4" x14ac:dyDescent="0.25">
      <c r="A303" s="1">
        <v>45383</v>
      </c>
      <c r="B303" t="s">
        <v>257</v>
      </c>
      <c r="C303">
        <v>2877</v>
      </c>
      <c r="D303">
        <v>24336.55</v>
      </c>
    </row>
    <row r="304" spans="1:4" x14ac:dyDescent="0.25">
      <c r="A304" s="1">
        <v>45383</v>
      </c>
      <c r="B304" t="s">
        <v>258</v>
      </c>
      <c r="C304">
        <v>-210.34</v>
      </c>
      <c r="D304">
        <v>24126.21</v>
      </c>
    </row>
    <row r="305" spans="1:4" x14ac:dyDescent="0.25">
      <c r="A305" s="1">
        <v>45383</v>
      </c>
      <c r="B305" t="s">
        <v>259</v>
      </c>
      <c r="C305">
        <v>-4801</v>
      </c>
      <c r="D305">
        <v>19325.21</v>
      </c>
    </row>
    <row r="306" spans="1:4" x14ac:dyDescent="0.25">
      <c r="A306" s="1">
        <v>45384</v>
      </c>
      <c r="B306" t="s">
        <v>22</v>
      </c>
      <c r="C306">
        <v>16000</v>
      </c>
      <c r="D306">
        <v>35325.21</v>
      </c>
    </row>
    <row r="307" spans="1:4" x14ac:dyDescent="0.25">
      <c r="A307" s="1">
        <v>45384</v>
      </c>
      <c r="B307" t="s">
        <v>260</v>
      </c>
      <c r="C307">
        <v>-178.37</v>
      </c>
      <c r="D307">
        <v>35146.839999999997</v>
      </c>
    </row>
    <row r="308" spans="1:4" x14ac:dyDescent="0.25">
      <c r="A308" s="1">
        <v>45384</v>
      </c>
      <c r="B308" t="s">
        <v>261</v>
      </c>
      <c r="C308">
        <v>-251.75</v>
      </c>
      <c r="D308">
        <v>34895.089999999997</v>
      </c>
    </row>
    <row r="309" spans="1:4" x14ac:dyDescent="0.25">
      <c r="A309" s="1">
        <v>45384</v>
      </c>
      <c r="B309" t="s">
        <v>262</v>
      </c>
      <c r="C309">
        <v>-20.23</v>
      </c>
      <c r="D309">
        <v>34874.86</v>
      </c>
    </row>
    <row r="310" spans="1:4" x14ac:dyDescent="0.25">
      <c r="A310" s="1">
        <v>45384</v>
      </c>
      <c r="B310" t="s">
        <v>263</v>
      </c>
      <c r="C310">
        <v>-68.05</v>
      </c>
      <c r="D310">
        <v>34806.81</v>
      </c>
    </row>
    <row r="311" spans="1:4" x14ac:dyDescent="0.25">
      <c r="A311" s="1">
        <v>45384</v>
      </c>
      <c r="B311" t="s">
        <v>110</v>
      </c>
      <c r="C311">
        <v>-50</v>
      </c>
      <c r="D311">
        <v>34756.81</v>
      </c>
    </row>
    <row r="312" spans="1:4" x14ac:dyDescent="0.25">
      <c r="A312" s="1">
        <v>45384</v>
      </c>
      <c r="B312" t="s">
        <v>264</v>
      </c>
      <c r="C312">
        <v>-35.65</v>
      </c>
      <c r="D312">
        <v>34721.160000000003</v>
      </c>
    </row>
    <row r="313" spans="1:4" x14ac:dyDescent="0.25">
      <c r="A313" s="1">
        <v>45384</v>
      </c>
      <c r="B313" t="s">
        <v>265</v>
      </c>
      <c r="C313">
        <v>-1</v>
      </c>
      <c r="D313">
        <v>34720.160000000003</v>
      </c>
    </row>
    <row r="314" spans="1:4" x14ac:dyDescent="0.25">
      <c r="A314" s="1">
        <v>45386</v>
      </c>
      <c r="B314" t="s">
        <v>266</v>
      </c>
      <c r="C314">
        <v>-250.1</v>
      </c>
      <c r="D314">
        <v>34470.06</v>
      </c>
    </row>
    <row r="315" spans="1:4" x14ac:dyDescent="0.25">
      <c r="A315" s="1">
        <v>45386</v>
      </c>
      <c r="B315" t="s">
        <v>267</v>
      </c>
      <c r="C315">
        <v>-76.81</v>
      </c>
      <c r="D315">
        <v>34393.25</v>
      </c>
    </row>
    <row r="316" spans="1:4" x14ac:dyDescent="0.25">
      <c r="A316" s="1">
        <v>45387</v>
      </c>
      <c r="B316" t="s">
        <v>268</v>
      </c>
      <c r="C316">
        <v>-18562.080000000002</v>
      </c>
      <c r="D316">
        <v>15831.17</v>
      </c>
    </row>
    <row r="317" spans="1:4" x14ac:dyDescent="0.25">
      <c r="A317" s="1">
        <v>45387</v>
      </c>
      <c r="B317" t="s">
        <v>269</v>
      </c>
      <c r="C317">
        <v>-3671.32</v>
      </c>
      <c r="D317">
        <v>12159.85</v>
      </c>
    </row>
    <row r="318" spans="1:4" x14ac:dyDescent="0.25">
      <c r="A318" s="1">
        <v>45387</v>
      </c>
      <c r="B318" t="s">
        <v>270</v>
      </c>
      <c r="C318">
        <v>-75.510000000000005</v>
      </c>
      <c r="D318">
        <v>12084.34</v>
      </c>
    </row>
    <row r="319" spans="1:4" x14ac:dyDescent="0.25">
      <c r="A319" s="1">
        <v>45387</v>
      </c>
      <c r="B319" t="s">
        <v>271</v>
      </c>
      <c r="C319">
        <v>-14</v>
      </c>
      <c r="D319">
        <v>12070.34</v>
      </c>
    </row>
    <row r="320" spans="1:4" x14ac:dyDescent="0.25">
      <c r="A320" s="1">
        <v>45390</v>
      </c>
      <c r="B320" t="s">
        <v>272</v>
      </c>
      <c r="C320">
        <v>8044</v>
      </c>
      <c r="D320">
        <v>20114.34</v>
      </c>
    </row>
    <row r="321" spans="1:4" x14ac:dyDescent="0.25">
      <c r="A321" s="1">
        <v>45390</v>
      </c>
      <c r="B321" t="s">
        <v>273</v>
      </c>
      <c r="C321">
        <v>-126.56</v>
      </c>
      <c r="D321">
        <v>19987.78</v>
      </c>
    </row>
    <row r="322" spans="1:4" x14ac:dyDescent="0.25">
      <c r="A322" s="1">
        <v>45390</v>
      </c>
      <c r="B322" t="s">
        <v>274</v>
      </c>
      <c r="C322">
        <v>-85.08</v>
      </c>
      <c r="D322">
        <v>19902.7</v>
      </c>
    </row>
    <row r="323" spans="1:4" x14ac:dyDescent="0.25">
      <c r="A323" s="1">
        <v>45390</v>
      </c>
      <c r="B323" t="s">
        <v>275</v>
      </c>
      <c r="C323">
        <v>-55.86</v>
      </c>
      <c r="D323">
        <v>19846.84</v>
      </c>
    </row>
    <row r="324" spans="1:4" x14ac:dyDescent="0.25">
      <c r="A324" s="1">
        <v>45390</v>
      </c>
      <c r="B324" t="s">
        <v>44</v>
      </c>
      <c r="C324">
        <v>-126.43</v>
      </c>
      <c r="D324">
        <v>19720.41</v>
      </c>
    </row>
    <row r="325" spans="1:4" x14ac:dyDescent="0.25">
      <c r="A325" s="1">
        <v>45393</v>
      </c>
      <c r="B325" t="s">
        <v>276</v>
      </c>
      <c r="C325">
        <v>17000</v>
      </c>
      <c r="D325">
        <v>36720.410000000003</v>
      </c>
    </row>
    <row r="326" spans="1:4" x14ac:dyDescent="0.25">
      <c r="A326" s="1">
        <v>45393</v>
      </c>
      <c r="B326" t="s">
        <v>277</v>
      </c>
      <c r="C326">
        <v>-13.13</v>
      </c>
      <c r="D326">
        <v>36707.279999999999</v>
      </c>
    </row>
    <row r="327" spans="1:4" x14ac:dyDescent="0.25">
      <c r="A327" s="1">
        <v>45394</v>
      </c>
      <c r="B327" t="s">
        <v>278</v>
      </c>
      <c r="C327">
        <v>-336</v>
      </c>
      <c r="D327">
        <v>36371.279999999999</v>
      </c>
    </row>
    <row r="328" spans="1:4" x14ac:dyDescent="0.25">
      <c r="A328" s="1">
        <v>45397</v>
      </c>
      <c r="B328" t="s">
        <v>279</v>
      </c>
      <c r="C328">
        <v>12385</v>
      </c>
      <c r="D328">
        <v>48756.28</v>
      </c>
    </row>
    <row r="329" spans="1:4" x14ac:dyDescent="0.25">
      <c r="A329" s="1">
        <v>45397</v>
      </c>
      <c r="B329" t="s">
        <v>280</v>
      </c>
      <c r="C329">
        <v>-549.52</v>
      </c>
      <c r="D329">
        <v>48206.76</v>
      </c>
    </row>
    <row r="330" spans="1:4" x14ac:dyDescent="0.25">
      <c r="A330" s="1">
        <v>45397</v>
      </c>
      <c r="B330" t="s">
        <v>281</v>
      </c>
      <c r="C330">
        <v>-984</v>
      </c>
      <c r="D330">
        <v>47222.76</v>
      </c>
    </row>
    <row r="331" spans="1:4" x14ac:dyDescent="0.25">
      <c r="A331" s="1">
        <v>45398</v>
      </c>
      <c r="B331" t="s">
        <v>110</v>
      </c>
      <c r="C331">
        <v>-50</v>
      </c>
      <c r="D331">
        <v>47172.76</v>
      </c>
    </row>
    <row r="332" spans="1:4" x14ac:dyDescent="0.25">
      <c r="A332" s="1">
        <v>45399</v>
      </c>
      <c r="B332" t="s">
        <v>282</v>
      </c>
      <c r="C332">
        <v>-20000</v>
      </c>
      <c r="D332">
        <v>27172.76</v>
      </c>
    </row>
    <row r="333" spans="1:4" x14ac:dyDescent="0.25">
      <c r="A333" s="1">
        <v>45400</v>
      </c>
      <c r="B333" t="s">
        <v>283</v>
      </c>
      <c r="C333">
        <v>-44.68</v>
      </c>
      <c r="D333">
        <v>27128.080000000002</v>
      </c>
    </row>
    <row r="334" spans="1:4" x14ac:dyDescent="0.25">
      <c r="A334" s="1">
        <v>45400</v>
      </c>
      <c r="B334" t="s">
        <v>284</v>
      </c>
      <c r="C334">
        <v>-15.37</v>
      </c>
      <c r="D334">
        <v>27112.71</v>
      </c>
    </row>
    <row r="335" spans="1:4" x14ac:dyDescent="0.25">
      <c r="A335" s="1">
        <v>45400</v>
      </c>
      <c r="B335" t="s">
        <v>285</v>
      </c>
      <c r="C335">
        <v>-18207.28</v>
      </c>
      <c r="D335">
        <v>8905.43</v>
      </c>
    </row>
    <row r="336" spans="1:4" x14ac:dyDescent="0.25">
      <c r="A336" s="1">
        <v>45400</v>
      </c>
      <c r="B336" t="s">
        <v>286</v>
      </c>
      <c r="C336">
        <v>-3502.97</v>
      </c>
      <c r="D336">
        <v>5402.46</v>
      </c>
    </row>
    <row r="337" spans="1:4" x14ac:dyDescent="0.25">
      <c r="A337" s="1">
        <v>45400</v>
      </c>
      <c r="B337" t="s">
        <v>287</v>
      </c>
      <c r="C337">
        <v>-1076.3</v>
      </c>
      <c r="D337">
        <v>4326.16</v>
      </c>
    </row>
    <row r="338" spans="1:4" x14ac:dyDescent="0.25">
      <c r="A338" s="1">
        <v>45401</v>
      </c>
      <c r="B338" t="s">
        <v>288</v>
      </c>
      <c r="C338">
        <v>4700</v>
      </c>
      <c r="D338">
        <v>9026.16</v>
      </c>
    </row>
    <row r="339" spans="1:4" x14ac:dyDescent="0.25">
      <c r="A339" s="1">
        <v>45401</v>
      </c>
      <c r="B339" t="s">
        <v>22</v>
      </c>
      <c r="C339">
        <v>2662.03</v>
      </c>
      <c r="D339">
        <v>11688.19</v>
      </c>
    </row>
    <row r="340" spans="1:4" x14ac:dyDescent="0.25">
      <c r="A340" s="1">
        <v>45401</v>
      </c>
      <c r="B340" t="s">
        <v>289</v>
      </c>
      <c r="C340">
        <v>-3088</v>
      </c>
      <c r="D340">
        <v>8600.19</v>
      </c>
    </row>
    <row r="341" spans="1:4" x14ac:dyDescent="0.25">
      <c r="A341" s="1">
        <v>45401</v>
      </c>
      <c r="B341" t="s">
        <v>290</v>
      </c>
      <c r="C341">
        <v>-75.680000000000007</v>
      </c>
      <c r="D341">
        <v>8524.51</v>
      </c>
    </row>
    <row r="342" spans="1:4" x14ac:dyDescent="0.25">
      <c r="A342" s="1">
        <v>45404</v>
      </c>
      <c r="B342" t="s">
        <v>291</v>
      </c>
      <c r="C342">
        <v>5416</v>
      </c>
      <c r="D342">
        <v>13940.51</v>
      </c>
    </row>
    <row r="343" spans="1:4" x14ac:dyDescent="0.25">
      <c r="A343" s="1">
        <v>45404</v>
      </c>
      <c r="B343" t="s">
        <v>292</v>
      </c>
      <c r="C343">
        <v>-249.37</v>
      </c>
      <c r="D343">
        <v>13691.14</v>
      </c>
    </row>
    <row r="344" spans="1:4" x14ac:dyDescent="0.25">
      <c r="A344" s="1">
        <v>45404</v>
      </c>
      <c r="B344" t="s">
        <v>293</v>
      </c>
      <c r="C344">
        <v>-132.56</v>
      </c>
      <c r="D344">
        <v>13558.58</v>
      </c>
    </row>
    <row r="345" spans="1:4" x14ac:dyDescent="0.25">
      <c r="A345" s="1">
        <v>45404</v>
      </c>
      <c r="B345" t="s">
        <v>294</v>
      </c>
      <c r="C345">
        <v>-32.68</v>
      </c>
      <c r="D345">
        <v>13525.9</v>
      </c>
    </row>
    <row r="346" spans="1:4" x14ac:dyDescent="0.25">
      <c r="A346" s="1">
        <v>45405</v>
      </c>
      <c r="B346" t="s">
        <v>295</v>
      </c>
      <c r="C346">
        <v>-1317.99</v>
      </c>
      <c r="D346">
        <v>12207.91</v>
      </c>
    </row>
    <row r="347" spans="1:4" x14ac:dyDescent="0.25">
      <c r="A347" s="1">
        <v>45405</v>
      </c>
      <c r="B347" t="s">
        <v>296</v>
      </c>
      <c r="C347">
        <v>-14</v>
      </c>
      <c r="D347">
        <v>12193.91</v>
      </c>
    </row>
    <row r="348" spans="1:4" x14ac:dyDescent="0.25">
      <c r="A348" s="1">
        <v>45406</v>
      </c>
      <c r="B348" t="s">
        <v>297</v>
      </c>
      <c r="C348">
        <v>-55.86</v>
      </c>
      <c r="D348">
        <v>12138.05</v>
      </c>
    </row>
    <row r="349" spans="1:4" x14ac:dyDescent="0.25">
      <c r="A349" s="1">
        <v>45407</v>
      </c>
      <c r="B349" t="s">
        <v>298</v>
      </c>
      <c r="C349">
        <v>-333.36</v>
      </c>
      <c r="D349">
        <v>11804.69</v>
      </c>
    </row>
    <row r="350" spans="1:4" x14ac:dyDescent="0.25">
      <c r="A350" s="1">
        <v>45407</v>
      </c>
      <c r="B350" t="s">
        <v>299</v>
      </c>
      <c r="C350">
        <v>-5000</v>
      </c>
      <c r="D350">
        <v>6804.69</v>
      </c>
    </row>
    <row r="351" spans="1:4" x14ac:dyDescent="0.25">
      <c r="A351" s="1">
        <v>45408</v>
      </c>
      <c r="B351" t="s">
        <v>300</v>
      </c>
      <c r="C351">
        <v>-535.91</v>
      </c>
      <c r="D351">
        <v>6268.78</v>
      </c>
    </row>
    <row r="352" spans="1:4" x14ac:dyDescent="0.25">
      <c r="A352" s="1">
        <v>45411</v>
      </c>
      <c r="B352" t="s">
        <v>22</v>
      </c>
      <c r="C352">
        <v>12000</v>
      </c>
      <c r="D352">
        <v>18268.78</v>
      </c>
    </row>
    <row r="353" spans="1:4" x14ac:dyDescent="0.25">
      <c r="A353" s="1">
        <v>45411</v>
      </c>
      <c r="B353" t="s">
        <v>301</v>
      </c>
      <c r="C353">
        <v>3932</v>
      </c>
      <c r="D353">
        <v>22200.78</v>
      </c>
    </row>
    <row r="354" spans="1:4" x14ac:dyDescent="0.25">
      <c r="A354" s="1">
        <v>45411</v>
      </c>
      <c r="B354" t="s">
        <v>302</v>
      </c>
      <c r="C354">
        <v>-165.87</v>
      </c>
      <c r="D354">
        <v>22034.91</v>
      </c>
    </row>
    <row r="355" spans="1:4" x14ac:dyDescent="0.25">
      <c r="A355" s="1">
        <v>45411</v>
      </c>
      <c r="B355" t="s">
        <v>303</v>
      </c>
      <c r="C355">
        <v>-147.69</v>
      </c>
      <c r="D355">
        <v>21887.22</v>
      </c>
    </row>
    <row r="356" spans="1:4" x14ac:dyDescent="0.25">
      <c r="A356" s="1">
        <v>45411</v>
      </c>
      <c r="B356" t="s">
        <v>304</v>
      </c>
      <c r="C356">
        <v>-14.99</v>
      </c>
      <c r="D356">
        <v>21872.23</v>
      </c>
    </row>
    <row r="357" spans="1:4" x14ac:dyDescent="0.25">
      <c r="A357" s="1">
        <v>45411</v>
      </c>
      <c r="B357" t="s">
        <v>305</v>
      </c>
      <c r="C357">
        <v>-1248.1199999999999</v>
      </c>
      <c r="D357">
        <v>20624.11</v>
      </c>
    </row>
    <row r="358" spans="1:4" x14ac:dyDescent="0.25">
      <c r="A358" s="1">
        <v>45412</v>
      </c>
      <c r="B358" t="s">
        <v>306</v>
      </c>
      <c r="C358">
        <v>-31.8</v>
      </c>
      <c r="D358">
        <v>20592.310000000001</v>
      </c>
    </row>
    <row r="359" spans="1:4" x14ac:dyDescent="0.25">
      <c r="A359" s="1">
        <v>45412</v>
      </c>
      <c r="B359" t="s">
        <v>110</v>
      </c>
      <c r="C359">
        <v>-50</v>
      </c>
      <c r="D359">
        <v>20542.310000000001</v>
      </c>
    </row>
    <row r="360" spans="1:4" x14ac:dyDescent="0.25">
      <c r="A360" s="1">
        <v>45413</v>
      </c>
      <c r="B360" t="s">
        <v>307</v>
      </c>
      <c r="C360">
        <v>-4801</v>
      </c>
      <c r="D360">
        <v>15741.31</v>
      </c>
    </row>
    <row r="361" spans="1:4" x14ac:dyDescent="0.25">
      <c r="A361" s="1">
        <v>45413</v>
      </c>
      <c r="B361" t="s">
        <v>308</v>
      </c>
      <c r="C361">
        <v>-7.0000000000000007E-2</v>
      </c>
      <c r="D361">
        <v>15741.24</v>
      </c>
    </row>
    <row r="362" spans="1:4" x14ac:dyDescent="0.25">
      <c r="A362" s="1">
        <v>45414</v>
      </c>
      <c r="B362" t="s">
        <v>309</v>
      </c>
      <c r="C362">
        <v>7200</v>
      </c>
      <c r="D362">
        <v>22941.24</v>
      </c>
    </row>
    <row r="363" spans="1:4" x14ac:dyDescent="0.25">
      <c r="A363" s="1">
        <v>45414</v>
      </c>
      <c r="B363" t="s">
        <v>22</v>
      </c>
      <c r="C363">
        <v>4900</v>
      </c>
      <c r="D363">
        <v>27841.24</v>
      </c>
    </row>
    <row r="364" spans="1:4" x14ac:dyDescent="0.25">
      <c r="A364" s="1">
        <v>45414</v>
      </c>
      <c r="B364" t="s">
        <v>308</v>
      </c>
      <c r="C364">
        <v>32.01</v>
      </c>
      <c r="D364">
        <v>27873.25</v>
      </c>
    </row>
    <row r="365" spans="1:4" x14ac:dyDescent="0.25">
      <c r="A365" s="1">
        <v>45414</v>
      </c>
      <c r="B365" t="s">
        <v>310</v>
      </c>
      <c r="C365">
        <v>-204</v>
      </c>
      <c r="D365">
        <v>27669.25</v>
      </c>
    </row>
    <row r="366" spans="1:4" x14ac:dyDescent="0.25">
      <c r="A366" s="1">
        <v>45414</v>
      </c>
      <c r="B366" t="s">
        <v>311</v>
      </c>
      <c r="C366">
        <v>-251.75</v>
      </c>
      <c r="D366">
        <v>27417.5</v>
      </c>
    </row>
    <row r="367" spans="1:4" x14ac:dyDescent="0.25">
      <c r="A367" s="1">
        <v>45414</v>
      </c>
      <c r="B367" t="s">
        <v>312</v>
      </c>
      <c r="C367">
        <v>-123.29</v>
      </c>
      <c r="D367">
        <v>27294.21</v>
      </c>
    </row>
    <row r="368" spans="1:4" x14ac:dyDescent="0.25">
      <c r="A368" s="1">
        <v>45414</v>
      </c>
      <c r="B368" t="s">
        <v>313</v>
      </c>
      <c r="C368">
        <v>-22.95</v>
      </c>
      <c r="D368">
        <v>27271.26</v>
      </c>
    </row>
    <row r="369" spans="1:4" x14ac:dyDescent="0.25">
      <c r="A369" s="1">
        <v>45414</v>
      </c>
      <c r="B369" t="s">
        <v>314</v>
      </c>
      <c r="C369">
        <v>-35.9</v>
      </c>
      <c r="D369">
        <v>27235.360000000001</v>
      </c>
    </row>
    <row r="370" spans="1:4" x14ac:dyDescent="0.25">
      <c r="A370" s="1">
        <v>45414</v>
      </c>
      <c r="B370" t="s">
        <v>315</v>
      </c>
      <c r="C370">
        <v>-1</v>
      </c>
      <c r="D370">
        <v>27234.36</v>
      </c>
    </row>
    <row r="371" spans="1:4" x14ac:dyDescent="0.25">
      <c r="A371" s="1">
        <v>45415</v>
      </c>
      <c r="B371" t="s">
        <v>316</v>
      </c>
      <c r="C371">
        <v>-18575.29</v>
      </c>
      <c r="D371">
        <v>8659.07</v>
      </c>
    </row>
    <row r="372" spans="1:4" x14ac:dyDescent="0.25">
      <c r="A372" s="1">
        <v>45415</v>
      </c>
      <c r="B372" t="s">
        <v>317</v>
      </c>
      <c r="C372">
        <v>-3635.83</v>
      </c>
      <c r="D372">
        <v>5023.24</v>
      </c>
    </row>
    <row r="373" spans="1:4" x14ac:dyDescent="0.25">
      <c r="A373" s="1">
        <v>45415</v>
      </c>
      <c r="B373" t="s">
        <v>318</v>
      </c>
      <c r="C373">
        <v>-76.77</v>
      </c>
      <c r="D373">
        <v>4946.47</v>
      </c>
    </row>
    <row r="374" spans="1:4" x14ac:dyDescent="0.25">
      <c r="A374" s="1">
        <v>45418</v>
      </c>
      <c r="B374" t="s">
        <v>319</v>
      </c>
      <c r="C374">
        <v>5431</v>
      </c>
      <c r="D374">
        <v>10377.469999999999</v>
      </c>
    </row>
    <row r="375" spans="1:4" x14ac:dyDescent="0.25">
      <c r="A375" s="1">
        <v>45418</v>
      </c>
      <c r="B375" t="s">
        <v>320</v>
      </c>
      <c r="C375">
        <v>-250.1</v>
      </c>
      <c r="D375">
        <v>10127.370000000001</v>
      </c>
    </row>
    <row r="376" spans="1:4" x14ac:dyDescent="0.25">
      <c r="A376" s="1">
        <v>45418</v>
      </c>
      <c r="B376" t="s">
        <v>321</v>
      </c>
      <c r="C376">
        <v>-6.36</v>
      </c>
      <c r="D376">
        <v>10121.01</v>
      </c>
    </row>
    <row r="377" spans="1:4" x14ac:dyDescent="0.25">
      <c r="A377" s="1">
        <v>45418</v>
      </c>
      <c r="B377" t="s">
        <v>322</v>
      </c>
      <c r="C377">
        <v>-514.01</v>
      </c>
      <c r="D377">
        <v>9607</v>
      </c>
    </row>
    <row r="378" spans="1:4" x14ac:dyDescent="0.25">
      <c r="A378" s="1">
        <v>45418</v>
      </c>
      <c r="B378" t="s">
        <v>323</v>
      </c>
      <c r="C378">
        <v>-126.56</v>
      </c>
      <c r="D378">
        <v>9480.44</v>
      </c>
    </row>
    <row r="379" spans="1:4" x14ac:dyDescent="0.25">
      <c r="A379" s="1">
        <v>45418</v>
      </c>
      <c r="B379" t="s">
        <v>324</v>
      </c>
      <c r="C379">
        <v>-2000</v>
      </c>
      <c r="D379">
        <v>7480.44</v>
      </c>
    </row>
    <row r="380" spans="1:4" x14ac:dyDescent="0.25">
      <c r="A380" s="1">
        <v>45418</v>
      </c>
      <c r="B380" t="s">
        <v>325</v>
      </c>
      <c r="C380">
        <v>-52.96</v>
      </c>
      <c r="D380">
        <v>7427.48</v>
      </c>
    </row>
    <row r="381" spans="1:4" x14ac:dyDescent="0.25">
      <c r="A381" s="1">
        <v>45419</v>
      </c>
      <c r="B381" t="s">
        <v>326</v>
      </c>
      <c r="C381">
        <v>-14</v>
      </c>
      <c r="D381">
        <v>7413.48</v>
      </c>
    </row>
    <row r="382" spans="1:4" x14ac:dyDescent="0.25">
      <c r="A382" s="1">
        <v>45420</v>
      </c>
      <c r="B382" t="s">
        <v>327</v>
      </c>
      <c r="C382">
        <v>-55.86</v>
      </c>
      <c r="D382">
        <v>7357.62</v>
      </c>
    </row>
    <row r="383" spans="1:4" x14ac:dyDescent="0.25">
      <c r="A383" s="1">
        <v>45421</v>
      </c>
      <c r="B383" t="s">
        <v>328</v>
      </c>
      <c r="C383">
        <v>-80.150000000000006</v>
      </c>
      <c r="D383">
        <v>7277.47</v>
      </c>
    </row>
    <row r="384" spans="1:4" x14ac:dyDescent="0.25">
      <c r="A384" s="1">
        <v>45421</v>
      </c>
      <c r="B384" t="s">
        <v>44</v>
      </c>
      <c r="C384">
        <v>-126.43</v>
      </c>
      <c r="D384">
        <v>7151.04</v>
      </c>
    </row>
    <row r="385" spans="1:4" x14ac:dyDescent="0.25">
      <c r="A385" s="1">
        <v>45422</v>
      </c>
      <c r="B385" t="s">
        <v>329</v>
      </c>
      <c r="C385">
        <v>-172.37</v>
      </c>
      <c r="D385">
        <v>6978.67</v>
      </c>
    </row>
    <row r="386" spans="1:4" x14ac:dyDescent="0.25">
      <c r="A386" s="1">
        <v>45422</v>
      </c>
      <c r="B386" t="s">
        <v>330</v>
      </c>
      <c r="C386">
        <v>-336</v>
      </c>
      <c r="D386">
        <v>6642.67</v>
      </c>
    </row>
    <row r="387" spans="1:4" x14ac:dyDescent="0.25">
      <c r="A387" s="1">
        <v>45425</v>
      </c>
      <c r="B387" t="s">
        <v>331</v>
      </c>
      <c r="C387">
        <v>2195</v>
      </c>
      <c r="D387">
        <v>8837.67</v>
      </c>
    </row>
    <row r="388" spans="1:4" x14ac:dyDescent="0.25">
      <c r="A388" s="1">
        <v>45425</v>
      </c>
      <c r="B388" t="s">
        <v>332</v>
      </c>
      <c r="C388">
        <v>-112.6</v>
      </c>
      <c r="D388">
        <v>8725.07</v>
      </c>
    </row>
    <row r="389" spans="1:4" x14ac:dyDescent="0.25">
      <c r="A389" s="1">
        <v>45426</v>
      </c>
      <c r="B389" t="s">
        <v>110</v>
      </c>
      <c r="C389">
        <v>-50</v>
      </c>
      <c r="D389">
        <v>8675.07</v>
      </c>
    </row>
    <row r="390" spans="1:4" x14ac:dyDescent="0.25">
      <c r="A390" s="1">
        <v>45427</v>
      </c>
      <c r="B390" t="s">
        <v>333</v>
      </c>
      <c r="C390">
        <v>15000</v>
      </c>
      <c r="D390">
        <v>23675.07</v>
      </c>
    </row>
    <row r="391" spans="1:4" x14ac:dyDescent="0.25">
      <c r="A391" s="1">
        <v>45427</v>
      </c>
      <c r="B391" t="s">
        <v>334</v>
      </c>
      <c r="C391">
        <v>2000</v>
      </c>
      <c r="D391">
        <v>25675.07</v>
      </c>
    </row>
    <row r="392" spans="1:4" x14ac:dyDescent="0.25">
      <c r="A392" s="1">
        <v>45427</v>
      </c>
      <c r="B392" t="s">
        <v>335</v>
      </c>
      <c r="C392">
        <v>-108.43</v>
      </c>
      <c r="D392">
        <v>25566.639999999999</v>
      </c>
    </row>
    <row r="393" spans="1:4" x14ac:dyDescent="0.25">
      <c r="A393" s="1">
        <v>45429</v>
      </c>
      <c r="B393" t="s">
        <v>336</v>
      </c>
      <c r="C393">
        <v>4880</v>
      </c>
      <c r="D393">
        <v>30446.639999999999</v>
      </c>
    </row>
    <row r="394" spans="1:4" x14ac:dyDescent="0.25">
      <c r="A394" s="1">
        <v>45429</v>
      </c>
      <c r="B394" t="s">
        <v>337</v>
      </c>
      <c r="C394">
        <v>-26.1</v>
      </c>
      <c r="D394">
        <v>30420.54</v>
      </c>
    </row>
    <row r="395" spans="1:4" x14ac:dyDescent="0.25">
      <c r="A395" s="1">
        <v>45429</v>
      </c>
      <c r="B395" t="s">
        <v>338</v>
      </c>
      <c r="C395">
        <v>-17952.7</v>
      </c>
      <c r="D395">
        <v>12467.84</v>
      </c>
    </row>
    <row r="396" spans="1:4" x14ac:dyDescent="0.25">
      <c r="A396" s="1">
        <v>45429</v>
      </c>
      <c r="B396" t="s">
        <v>339</v>
      </c>
      <c r="C396">
        <v>-3280.27</v>
      </c>
      <c r="D396">
        <v>9187.57</v>
      </c>
    </row>
    <row r="397" spans="1:4" x14ac:dyDescent="0.25">
      <c r="A397" s="1">
        <v>45429</v>
      </c>
      <c r="B397" t="s">
        <v>340</v>
      </c>
      <c r="C397">
        <v>-1054.1300000000001</v>
      </c>
      <c r="D397">
        <v>8133.44</v>
      </c>
    </row>
    <row r="398" spans="1:4" x14ac:dyDescent="0.25">
      <c r="A398" s="1">
        <v>45429</v>
      </c>
      <c r="B398" t="s">
        <v>341</v>
      </c>
      <c r="C398">
        <v>-93.94</v>
      </c>
      <c r="D398">
        <v>8039.5</v>
      </c>
    </row>
    <row r="399" spans="1:4" x14ac:dyDescent="0.25">
      <c r="A399" s="1">
        <v>45432</v>
      </c>
      <c r="B399" t="s">
        <v>342</v>
      </c>
      <c r="C399">
        <v>10190</v>
      </c>
      <c r="D399">
        <v>18229.5</v>
      </c>
    </row>
    <row r="400" spans="1:4" x14ac:dyDescent="0.25">
      <c r="A400" s="1">
        <v>45432</v>
      </c>
      <c r="B400" t="s">
        <v>343</v>
      </c>
      <c r="C400">
        <v>-249.37</v>
      </c>
      <c r="D400">
        <v>17980.13</v>
      </c>
    </row>
    <row r="401" spans="1:4" x14ac:dyDescent="0.25">
      <c r="A401" s="1">
        <v>45432</v>
      </c>
      <c r="B401" t="s">
        <v>344</v>
      </c>
      <c r="C401">
        <v>-26</v>
      </c>
      <c r="D401">
        <v>17954.13</v>
      </c>
    </row>
    <row r="402" spans="1:4" x14ac:dyDescent="0.25">
      <c r="A402" s="1">
        <v>45434</v>
      </c>
      <c r="B402" t="s">
        <v>22</v>
      </c>
      <c r="C402">
        <v>617</v>
      </c>
      <c r="D402">
        <v>18571.13</v>
      </c>
    </row>
    <row r="403" spans="1:4" x14ac:dyDescent="0.25">
      <c r="A403" s="1">
        <v>45435</v>
      </c>
      <c r="B403" t="s">
        <v>345</v>
      </c>
      <c r="C403">
        <v>-64.52</v>
      </c>
      <c r="D403">
        <v>18506.61</v>
      </c>
    </row>
    <row r="404" spans="1:4" x14ac:dyDescent="0.25">
      <c r="A404" s="1">
        <v>45436</v>
      </c>
      <c r="B404" t="s">
        <v>346</v>
      </c>
      <c r="C404">
        <v>28.26</v>
      </c>
      <c r="D404">
        <v>18534.87</v>
      </c>
    </row>
    <row r="405" spans="1:4" x14ac:dyDescent="0.25">
      <c r="A405" s="1">
        <v>45436</v>
      </c>
      <c r="B405" t="s">
        <v>347</v>
      </c>
      <c r="C405">
        <v>-1280.52</v>
      </c>
      <c r="D405">
        <v>17254.349999999999</v>
      </c>
    </row>
    <row r="406" spans="1:4" x14ac:dyDescent="0.25">
      <c r="A406" s="1">
        <v>45440</v>
      </c>
      <c r="B406" t="s">
        <v>348</v>
      </c>
      <c r="C406">
        <v>10701</v>
      </c>
      <c r="D406">
        <v>27955.35</v>
      </c>
    </row>
    <row r="407" spans="1:4" x14ac:dyDescent="0.25">
      <c r="A407" s="1">
        <v>45440</v>
      </c>
      <c r="B407" t="s">
        <v>349</v>
      </c>
      <c r="C407">
        <v>-139.56</v>
      </c>
      <c r="D407">
        <v>27815.79</v>
      </c>
    </row>
    <row r="408" spans="1:4" x14ac:dyDescent="0.25">
      <c r="A408" s="1">
        <v>45440</v>
      </c>
      <c r="B408" t="s">
        <v>350</v>
      </c>
      <c r="C408">
        <v>-21.4</v>
      </c>
      <c r="D408">
        <v>27794.39</v>
      </c>
    </row>
    <row r="409" spans="1:4" x14ac:dyDescent="0.25">
      <c r="A409" s="1">
        <v>45440</v>
      </c>
      <c r="B409" t="s">
        <v>351</v>
      </c>
      <c r="C409">
        <v>-724.85</v>
      </c>
      <c r="D409">
        <v>27069.54</v>
      </c>
    </row>
    <row r="410" spans="1:4" x14ac:dyDescent="0.25">
      <c r="A410" s="1">
        <v>45440</v>
      </c>
      <c r="B410" t="s">
        <v>352</v>
      </c>
      <c r="C410">
        <v>-168.79</v>
      </c>
      <c r="D410">
        <v>26900.75</v>
      </c>
    </row>
    <row r="411" spans="1:4" x14ac:dyDescent="0.25">
      <c r="A411" s="1">
        <v>45440</v>
      </c>
      <c r="B411" t="s">
        <v>353</v>
      </c>
      <c r="C411">
        <v>-542.53</v>
      </c>
      <c r="D411">
        <v>26358.22</v>
      </c>
    </row>
    <row r="412" spans="1:4" x14ac:dyDescent="0.25">
      <c r="A412" s="1">
        <v>45440</v>
      </c>
      <c r="B412" t="s">
        <v>354</v>
      </c>
      <c r="C412">
        <v>-147.69</v>
      </c>
      <c r="D412">
        <v>26210.53</v>
      </c>
    </row>
    <row r="413" spans="1:4" x14ac:dyDescent="0.25">
      <c r="A413" s="1">
        <v>45440</v>
      </c>
      <c r="B413" t="s">
        <v>355</v>
      </c>
      <c r="C413">
        <v>-14.99</v>
      </c>
      <c r="D413">
        <v>26195.54</v>
      </c>
    </row>
    <row r="414" spans="1:4" x14ac:dyDescent="0.25">
      <c r="A414" s="1">
        <v>45440</v>
      </c>
      <c r="B414" t="s">
        <v>110</v>
      </c>
      <c r="C414">
        <v>-50</v>
      </c>
      <c r="D414">
        <v>26145.54</v>
      </c>
    </row>
    <row r="415" spans="1:4" x14ac:dyDescent="0.25">
      <c r="A415" s="1">
        <v>45441</v>
      </c>
      <c r="B415" t="s">
        <v>356</v>
      </c>
      <c r="C415">
        <v>-1428</v>
      </c>
      <c r="D415">
        <v>24717.54</v>
      </c>
    </row>
    <row r="416" spans="1:4" x14ac:dyDescent="0.25">
      <c r="A416" s="1">
        <v>45442</v>
      </c>
      <c r="B416" t="s">
        <v>357</v>
      </c>
      <c r="C416">
        <v>20000</v>
      </c>
      <c r="D416">
        <v>44717.54</v>
      </c>
    </row>
    <row r="417" spans="1:4" x14ac:dyDescent="0.25">
      <c r="A417" s="1">
        <v>45442</v>
      </c>
      <c r="B417" t="s">
        <v>22</v>
      </c>
      <c r="C417">
        <v>635.57000000000005</v>
      </c>
      <c r="D417">
        <v>45353.11</v>
      </c>
    </row>
    <row r="418" spans="1:4" x14ac:dyDescent="0.25">
      <c r="A418" s="1">
        <v>45443</v>
      </c>
      <c r="B418" t="s">
        <v>358</v>
      </c>
      <c r="C418">
        <v>-11588.83</v>
      </c>
      <c r="D418">
        <v>33764.28</v>
      </c>
    </row>
    <row r="419" spans="1:4" x14ac:dyDescent="0.25">
      <c r="A419" s="1">
        <v>45443</v>
      </c>
      <c r="B419" t="s">
        <v>359</v>
      </c>
      <c r="C419">
        <v>-18944.400000000001</v>
      </c>
      <c r="D419">
        <v>14819.88</v>
      </c>
    </row>
    <row r="420" spans="1:4" x14ac:dyDescent="0.25">
      <c r="A420" s="1">
        <v>45443</v>
      </c>
      <c r="B420" t="s">
        <v>360</v>
      </c>
      <c r="C420">
        <v>-3707.96</v>
      </c>
      <c r="D420">
        <v>11111.92</v>
      </c>
    </row>
    <row r="421" spans="1:4" x14ac:dyDescent="0.25">
      <c r="A421" s="1">
        <v>45443</v>
      </c>
      <c r="B421" t="s">
        <v>361</v>
      </c>
      <c r="C421">
        <v>-95.67</v>
      </c>
      <c r="D421">
        <v>11016.25</v>
      </c>
    </row>
    <row r="422" spans="1:4" x14ac:dyDescent="0.25">
      <c r="A422" s="1">
        <v>45446</v>
      </c>
      <c r="B422" t="s">
        <v>362</v>
      </c>
      <c r="C422">
        <v>-98.32</v>
      </c>
      <c r="D422">
        <v>10917.93</v>
      </c>
    </row>
    <row r="423" spans="1:4" x14ac:dyDescent="0.25">
      <c r="A423" s="1">
        <v>45446</v>
      </c>
      <c r="B423" t="s">
        <v>363</v>
      </c>
      <c r="C423">
        <v>-22.95</v>
      </c>
      <c r="D423">
        <v>10894.98</v>
      </c>
    </row>
    <row r="424" spans="1:4" x14ac:dyDescent="0.25">
      <c r="A424" s="1">
        <v>45446</v>
      </c>
      <c r="B424" t="s">
        <v>364</v>
      </c>
      <c r="C424">
        <v>-134.83000000000001</v>
      </c>
      <c r="D424">
        <v>10760.15</v>
      </c>
    </row>
    <row r="425" spans="1:4" x14ac:dyDescent="0.25">
      <c r="A425" s="1">
        <v>45446</v>
      </c>
      <c r="B425" t="s">
        <v>365</v>
      </c>
      <c r="C425">
        <v>-4801</v>
      </c>
      <c r="D425">
        <v>5959.15</v>
      </c>
    </row>
    <row r="426" spans="1:4" x14ac:dyDescent="0.25">
      <c r="A426" s="1">
        <v>45446</v>
      </c>
      <c r="B426" t="s">
        <v>308</v>
      </c>
      <c r="C426">
        <v>-26.61</v>
      </c>
      <c r="D426">
        <v>5932.54</v>
      </c>
    </row>
    <row r="427" spans="1:4" x14ac:dyDescent="0.25">
      <c r="A427" s="1">
        <v>45446</v>
      </c>
      <c r="B427" t="s">
        <v>366</v>
      </c>
      <c r="C427">
        <v>-14</v>
      </c>
      <c r="D427">
        <v>5918.54</v>
      </c>
    </row>
    <row r="428" spans="1:4" x14ac:dyDescent="0.25">
      <c r="A428" s="1">
        <v>45447</v>
      </c>
      <c r="B428" t="s">
        <v>22</v>
      </c>
      <c r="C428">
        <v>20000</v>
      </c>
      <c r="D428">
        <v>25918.54</v>
      </c>
    </row>
    <row r="429" spans="1:4" x14ac:dyDescent="0.25">
      <c r="A429" s="1">
        <v>45447</v>
      </c>
      <c r="B429" t="s">
        <v>308</v>
      </c>
      <c r="C429">
        <v>42.24</v>
      </c>
      <c r="D429">
        <v>25960.78</v>
      </c>
    </row>
    <row r="430" spans="1:4" x14ac:dyDescent="0.25">
      <c r="A430" s="1">
        <v>45447</v>
      </c>
      <c r="B430" t="s">
        <v>367</v>
      </c>
      <c r="C430">
        <v>-81.52</v>
      </c>
      <c r="D430">
        <v>25879.26</v>
      </c>
    </row>
    <row r="431" spans="1:4" x14ac:dyDescent="0.25">
      <c r="A431" s="1">
        <v>45447</v>
      </c>
      <c r="B431" t="s">
        <v>368</v>
      </c>
      <c r="C431">
        <v>-250.1</v>
      </c>
      <c r="D431">
        <v>25629.16</v>
      </c>
    </row>
    <row r="432" spans="1:4" x14ac:dyDescent="0.25">
      <c r="A432" s="1">
        <v>45447</v>
      </c>
      <c r="B432" t="s">
        <v>369</v>
      </c>
      <c r="C432">
        <v>-251.75</v>
      </c>
      <c r="D432">
        <v>25377.41</v>
      </c>
    </row>
    <row r="433" spans="1:4" x14ac:dyDescent="0.25">
      <c r="A433" s="1">
        <v>45447</v>
      </c>
      <c r="B433" t="s">
        <v>370</v>
      </c>
      <c r="C433">
        <v>-34.65</v>
      </c>
      <c r="D433">
        <v>25342.76</v>
      </c>
    </row>
    <row r="434" spans="1:4" x14ac:dyDescent="0.25">
      <c r="A434" s="1">
        <v>45447</v>
      </c>
      <c r="B434" t="s">
        <v>371</v>
      </c>
      <c r="C434">
        <v>-1</v>
      </c>
      <c r="D434">
        <v>25341.759999999998</v>
      </c>
    </row>
    <row r="435" spans="1:4" x14ac:dyDescent="0.25">
      <c r="A435" s="1">
        <v>45449</v>
      </c>
      <c r="B435" t="s">
        <v>372</v>
      </c>
      <c r="C435">
        <v>-6.36</v>
      </c>
      <c r="D435">
        <v>25335.4</v>
      </c>
    </row>
    <row r="436" spans="1:4" x14ac:dyDescent="0.25">
      <c r="A436" s="1">
        <v>45450</v>
      </c>
      <c r="B436" t="s">
        <v>308</v>
      </c>
      <c r="C436">
        <v>99</v>
      </c>
      <c r="D436">
        <v>25434.400000000001</v>
      </c>
    </row>
    <row r="437" spans="1:4" x14ac:dyDescent="0.25">
      <c r="A437" s="1">
        <v>45450</v>
      </c>
      <c r="B437" t="s">
        <v>373</v>
      </c>
      <c r="C437">
        <v>-126.56</v>
      </c>
      <c r="D437">
        <v>25307.84</v>
      </c>
    </row>
    <row r="438" spans="1:4" x14ac:dyDescent="0.25">
      <c r="A438" s="1">
        <v>45453</v>
      </c>
      <c r="B438" t="s">
        <v>374</v>
      </c>
      <c r="C438">
        <v>13535</v>
      </c>
      <c r="D438">
        <v>38842.839999999997</v>
      </c>
    </row>
    <row r="439" spans="1:4" x14ac:dyDescent="0.25">
      <c r="A439" s="1">
        <v>45453</v>
      </c>
      <c r="B439" t="s">
        <v>308</v>
      </c>
      <c r="C439">
        <v>596</v>
      </c>
      <c r="D439">
        <v>39438.839999999997</v>
      </c>
    </row>
    <row r="440" spans="1:4" x14ac:dyDescent="0.25">
      <c r="A440" s="1">
        <v>45453</v>
      </c>
      <c r="B440" t="s">
        <v>22</v>
      </c>
      <c r="C440">
        <v>327</v>
      </c>
      <c r="D440">
        <v>39765.839999999997</v>
      </c>
    </row>
    <row r="441" spans="1:4" x14ac:dyDescent="0.25">
      <c r="A441" s="1">
        <v>45453</v>
      </c>
      <c r="B441" t="s">
        <v>375</v>
      </c>
      <c r="C441">
        <v>-55.86</v>
      </c>
      <c r="D441">
        <v>39709.980000000003</v>
      </c>
    </row>
    <row r="442" spans="1:4" x14ac:dyDescent="0.25">
      <c r="A442" s="1">
        <v>45453</v>
      </c>
      <c r="B442" t="s">
        <v>376</v>
      </c>
      <c r="C442">
        <v>-44.17</v>
      </c>
      <c r="D442">
        <v>39665.81</v>
      </c>
    </row>
    <row r="443" spans="1:4" x14ac:dyDescent="0.25">
      <c r="A443" s="1">
        <v>45453</v>
      </c>
      <c r="B443" t="s">
        <v>44</v>
      </c>
      <c r="C443">
        <v>-126.43</v>
      </c>
      <c r="D443">
        <v>39539.379999999997</v>
      </c>
    </row>
    <row r="444" spans="1:4" x14ac:dyDescent="0.25">
      <c r="A444" s="1">
        <v>45454</v>
      </c>
      <c r="B444" t="s">
        <v>110</v>
      </c>
      <c r="C444">
        <v>-50</v>
      </c>
      <c r="D444">
        <v>39489.379999999997</v>
      </c>
    </row>
    <row r="445" spans="1:4" x14ac:dyDescent="0.25">
      <c r="A445" s="1">
        <v>45455</v>
      </c>
      <c r="B445" t="s">
        <v>308</v>
      </c>
      <c r="C445">
        <v>8140</v>
      </c>
      <c r="D445">
        <v>47629.38</v>
      </c>
    </row>
    <row r="446" spans="1:4" x14ac:dyDescent="0.25">
      <c r="A446" s="1">
        <v>45456</v>
      </c>
      <c r="B446" t="s">
        <v>377</v>
      </c>
      <c r="C446">
        <v>-27.08</v>
      </c>
      <c r="D446">
        <v>47602.3</v>
      </c>
    </row>
    <row r="447" spans="1:4" x14ac:dyDescent="0.25">
      <c r="A447" s="1">
        <v>45456</v>
      </c>
      <c r="B447" t="s">
        <v>378</v>
      </c>
      <c r="C447">
        <v>-2722.64</v>
      </c>
      <c r="D447">
        <v>44879.66</v>
      </c>
    </row>
    <row r="448" spans="1:4" x14ac:dyDescent="0.25">
      <c r="A448" s="1">
        <v>45456</v>
      </c>
      <c r="B448" t="s">
        <v>379</v>
      </c>
      <c r="C448">
        <v>-1484.4</v>
      </c>
      <c r="D448">
        <v>43395.26</v>
      </c>
    </row>
    <row r="449" spans="1:4" x14ac:dyDescent="0.25">
      <c r="A449" s="1">
        <v>45456</v>
      </c>
      <c r="B449" t="s">
        <v>380</v>
      </c>
      <c r="C449">
        <v>-18897.11</v>
      </c>
      <c r="D449">
        <v>24498.15</v>
      </c>
    </row>
    <row r="450" spans="1:4" x14ac:dyDescent="0.25">
      <c r="A450" s="1">
        <v>45456</v>
      </c>
      <c r="B450" t="s">
        <v>381</v>
      </c>
      <c r="C450">
        <v>-3748.21</v>
      </c>
      <c r="D450">
        <v>20749.939999999999</v>
      </c>
    </row>
    <row r="451" spans="1:4" x14ac:dyDescent="0.25">
      <c r="A451" s="1">
        <v>45457</v>
      </c>
      <c r="B451" t="s">
        <v>308</v>
      </c>
      <c r="C451">
        <v>300</v>
      </c>
      <c r="D451">
        <v>21049.94</v>
      </c>
    </row>
    <row r="452" spans="1:4" x14ac:dyDescent="0.25">
      <c r="A452" s="1">
        <v>45457</v>
      </c>
      <c r="B452" t="s">
        <v>382</v>
      </c>
      <c r="C452">
        <v>-753.4</v>
      </c>
      <c r="D452">
        <v>20296.54</v>
      </c>
    </row>
    <row r="453" spans="1:4" x14ac:dyDescent="0.25">
      <c r="A453" s="1">
        <v>45457</v>
      </c>
      <c r="B453" t="s">
        <v>383</v>
      </c>
      <c r="C453">
        <v>-342</v>
      </c>
      <c r="D453">
        <v>19954.54</v>
      </c>
    </row>
    <row r="454" spans="1:4" x14ac:dyDescent="0.25">
      <c r="A454" s="1">
        <v>45457</v>
      </c>
      <c r="B454" t="s">
        <v>384</v>
      </c>
      <c r="C454">
        <v>-98.99</v>
      </c>
      <c r="D454">
        <v>19855.55</v>
      </c>
    </row>
    <row r="455" spans="1:4" x14ac:dyDescent="0.25">
      <c r="A455" s="1">
        <v>45457</v>
      </c>
      <c r="B455" t="s">
        <v>385</v>
      </c>
      <c r="C455">
        <v>-14</v>
      </c>
      <c r="D455">
        <v>19841.55</v>
      </c>
    </row>
    <row r="456" spans="1:4" x14ac:dyDescent="0.25">
      <c r="A456" s="1">
        <v>45460</v>
      </c>
      <c r="B456" t="s">
        <v>386</v>
      </c>
      <c r="C456">
        <v>15156</v>
      </c>
      <c r="D456">
        <v>34997.550000000003</v>
      </c>
    </row>
    <row r="457" spans="1:4" x14ac:dyDescent="0.25">
      <c r="A457" s="1">
        <v>45460</v>
      </c>
      <c r="B457" t="s">
        <v>387</v>
      </c>
      <c r="C457">
        <v>-98.09</v>
      </c>
      <c r="D457">
        <v>34899.46</v>
      </c>
    </row>
    <row r="458" spans="1:4" x14ac:dyDescent="0.25">
      <c r="A458" s="1">
        <v>45460</v>
      </c>
      <c r="B458" t="s">
        <v>388</v>
      </c>
      <c r="C458">
        <v>-500</v>
      </c>
      <c r="D458">
        <v>34399.46</v>
      </c>
    </row>
    <row r="459" spans="1:4" x14ac:dyDescent="0.25">
      <c r="A459" s="1">
        <v>45460</v>
      </c>
      <c r="B459" t="s">
        <v>389</v>
      </c>
      <c r="C459">
        <v>-1261.74</v>
      </c>
      <c r="D459">
        <v>33137.72</v>
      </c>
    </row>
    <row r="460" spans="1:4" x14ac:dyDescent="0.25">
      <c r="A460" s="1">
        <v>45461</v>
      </c>
      <c r="B460" t="s">
        <v>308</v>
      </c>
      <c r="C460">
        <v>102.2</v>
      </c>
      <c r="D460">
        <v>33239.919999999998</v>
      </c>
    </row>
    <row r="461" spans="1:4" x14ac:dyDescent="0.25">
      <c r="A461" s="1">
        <v>45461</v>
      </c>
      <c r="B461" t="s">
        <v>390</v>
      </c>
      <c r="C461">
        <v>-544.13</v>
      </c>
      <c r="D461">
        <v>32695.79</v>
      </c>
    </row>
    <row r="462" spans="1:4" x14ac:dyDescent="0.25">
      <c r="A462" s="1">
        <v>45461</v>
      </c>
      <c r="B462" t="s">
        <v>391</v>
      </c>
      <c r="C462">
        <v>-52.96</v>
      </c>
      <c r="D462">
        <v>32642.83</v>
      </c>
    </row>
    <row r="463" spans="1:4" x14ac:dyDescent="0.25">
      <c r="A463" s="1">
        <v>45463</v>
      </c>
      <c r="B463" t="s">
        <v>392</v>
      </c>
      <c r="C463">
        <v>23500</v>
      </c>
      <c r="D463">
        <v>56142.83</v>
      </c>
    </row>
    <row r="464" spans="1:4" x14ac:dyDescent="0.25">
      <c r="A464" s="1">
        <v>45463</v>
      </c>
      <c r="B464" t="s">
        <v>393</v>
      </c>
      <c r="C464">
        <v>-249.37</v>
      </c>
      <c r="D464">
        <v>55893.46</v>
      </c>
    </row>
    <row r="465" spans="1:4" x14ac:dyDescent="0.25">
      <c r="A465" s="1">
        <v>45463</v>
      </c>
      <c r="B465" t="s">
        <v>394</v>
      </c>
      <c r="C465">
        <v>-67.86</v>
      </c>
      <c r="D465">
        <v>55825.599999999999</v>
      </c>
    </row>
    <row r="466" spans="1:4" x14ac:dyDescent="0.25">
      <c r="A466" s="1">
        <v>45463</v>
      </c>
      <c r="B466" t="s">
        <v>395</v>
      </c>
      <c r="C466">
        <v>-2700</v>
      </c>
      <c r="D466">
        <v>53125.599999999999</v>
      </c>
    </row>
    <row r="467" spans="1:4" x14ac:dyDescent="0.25">
      <c r="A467" s="1">
        <v>45467</v>
      </c>
      <c r="B467" t="s">
        <v>396</v>
      </c>
      <c r="C467">
        <v>12091</v>
      </c>
      <c r="D467">
        <v>65216.6</v>
      </c>
    </row>
    <row r="468" spans="1:4" x14ac:dyDescent="0.25">
      <c r="A468" s="1">
        <v>45467</v>
      </c>
      <c r="B468" t="s">
        <v>308</v>
      </c>
      <c r="C468">
        <v>10041.86</v>
      </c>
      <c r="D468">
        <v>75258.460000000006</v>
      </c>
    </row>
    <row r="469" spans="1:4" x14ac:dyDescent="0.25">
      <c r="A469" s="1">
        <v>45467</v>
      </c>
      <c r="B469" t="s">
        <v>397</v>
      </c>
      <c r="C469">
        <v>-500</v>
      </c>
      <c r="D469">
        <v>74758.460000000006</v>
      </c>
    </row>
    <row r="470" spans="1:4" x14ac:dyDescent="0.25">
      <c r="A470" s="1">
        <v>45468</v>
      </c>
      <c r="B470" t="s">
        <v>110</v>
      </c>
      <c r="C470">
        <v>-50</v>
      </c>
      <c r="D470">
        <v>74708.460000000006</v>
      </c>
    </row>
    <row r="471" spans="1:4" x14ac:dyDescent="0.25">
      <c r="A471" s="1">
        <v>45469</v>
      </c>
      <c r="B471" t="s">
        <v>308</v>
      </c>
      <c r="C471">
        <v>12146</v>
      </c>
      <c r="D471">
        <v>86854.46</v>
      </c>
    </row>
    <row r="472" spans="1:4" x14ac:dyDescent="0.25">
      <c r="A472" s="1">
        <v>45469</v>
      </c>
      <c r="B472" t="s">
        <v>398</v>
      </c>
      <c r="C472">
        <v>-542.44000000000005</v>
      </c>
      <c r="D472">
        <v>86312.02</v>
      </c>
    </row>
    <row r="473" spans="1:4" x14ac:dyDescent="0.25">
      <c r="A473" s="1">
        <v>45469</v>
      </c>
      <c r="B473" t="s">
        <v>399</v>
      </c>
      <c r="C473">
        <v>-509.35</v>
      </c>
      <c r="D473">
        <v>85802.67</v>
      </c>
    </row>
    <row r="474" spans="1:4" x14ac:dyDescent="0.25">
      <c r="A474" s="1">
        <v>45470</v>
      </c>
      <c r="B474" t="s">
        <v>400</v>
      </c>
      <c r="C474">
        <v>-5405.5</v>
      </c>
      <c r="D474">
        <v>80397.17</v>
      </c>
    </row>
    <row r="475" spans="1:4" x14ac:dyDescent="0.25">
      <c r="A475" s="1">
        <v>45470</v>
      </c>
      <c r="B475" t="s">
        <v>401</v>
      </c>
      <c r="C475">
        <v>-1478</v>
      </c>
      <c r="D475">
        <v>78919.17</v>
      </c>
    </row>
    <row r="476" spans="1:4" x14ac:dyDescent="0.25">
      <c r="A476" s="1">
        <v>45470</v>
      </c>
      <c r="B476" t="s">
        <v>402</v>
      </c>
      <c r="C476">
        <v>-495.82</v>
      </c>
      <c r="D476">
        <v>78423.350000000006</v>
      </c>
    </row>
    <row r="477" spans="1:4" x14ac:dyDescent="0.25">
      <c r="A477" s="1">
        <v>45470</v>
      </c>
      <c r="B477" t="s">
        <v>403</v>
      </c>
      <c r="C477">
        <v>-14.99</v>
      </c>
      <c r="D477">
        <v>78408.36</v>
      </c>
    </row>
    <row r="478" spans="1:4" x14ac:dyDescent="0.25">
      <c r="A478" s="1">
        <v>45470</v>
      </c>
      <c r="B478" t="s">
        <v>404</v>
      </c>
      <c r="C478">
        <v>-18358</v>
      </c>
      <c r="D478">
        <v>60050.36</v>
      </c>
    </row>
    <row r="479" spans="1:4" x14ac:dyDescent="0.25">
      <c r="A479" s="1">
        <v>45470</v>
      </c>
      <c r="B479" t="s">
        <v>405</v>
      </c>
      <c r="C479">
        <v>-3471.15</v>
      </c>
      <c r="D479">
        <v>56579.21</v>
      </c>
    </row>
    <row r="480" spans="1:4" x14ac:dyDescent="0.25">
      <c r="A480" s="1">
        <v>45470</v>
      </c>
      <c r="B480" t="s">
        <v>406</v>
      </c>
      <c r="C480">
        <v>-19</v>
      </c>
      <c r="D480">
        <v>56560.21</v>
      </c>
    </row>
    <row r="481" spans="1:4" x14ac:dyDescent="0.25">
      <c r="A481" s="1">
        <v>45471</v>
      </c>
      <c r="B481" t="s">
        <v>22</v>
      </c>
      <c r="C481">
        <v>10480.200000000001</v>
      </c>
      <c r="D481">
        <v>67040.41</v>
      </c>
    </row>
    <row r="482" spans="1:4" x14ac:dyDescent="0.25">
      <c r="A482" s="1">
        <v>45471</v>
      </c>
      <c r="B482" t="s">
        <v>407</v>
      </c>
      <c r="C482">
        <v>-186.62</v>
      </c>
      <c r="D482">
        <v>66853.789999999994</v>
      </c>
    </row>
    <row r="483" spans="1:4" x14ac:dyDescent="0.25">
      <c r="A483" s="1">
        <v>45471</v>
      </c>
      <c r="B483" t="s">
        <v>408</v>
      </c>
      <c r="C483">
        <v>-147.69</v>
      </c>
      <c r="D483">
        <v>66706.100000000006</v>
      </c>
    </row>
    <row r="484" spans="1:4" x14ac:dyDescent="0.25">
      <c r="A484" s="1">
        <v>45471</v>
      </c>
      <c r="B484" t="s">
        <v>409</v>
      </c>
      <c r="C484">
        <v>-1270.3900000000001</v>
      </c>
      <c r="D484">
        <v>65435.71</v>
      </c>
    </row>
    <row r="485" spans="1:4" x14ac:dyDescent="0.25">
      <c r="A485" s="1">
        <v>45471</v>
      </c>
      <c r="B485" t="s">
        <v>410</v>
      </c>
      <c r="C485">
        <v>-130.80000000000001</v>
      </c>
      <c r="D485">
        <v>65304.91</v>
      </c>
    </row>
    <row r="486" spans="1:4" x14ac:dyDescent="0.25">
      <c r="A486" s="1">
        <v>45471</v>
      </c>
      <c r="B486" t="s">
        <v>411</v>
      </c>
      <c r="C486">
        <v>-1948.66</v>
      </c>
      <c r="D486">
        <v>63356.25</v>
      </c>
    </row>
    <row r="487" spans="1:4" x14ac:dyDescent="0.25">
      <c r="A487" s="1">
        <v>45471</v>
      </c>
      <c r="B487" t="s">
        <v>412</v>
      </c>
      <c r="C487">
        <v>-91.46</v>
      </c>
      <c r="D487">
        <v>63264.79</v>
      </c>
    </row>
    <row r="488" spans="1:4" x14ac:dyDescent="0.25">
      <c r="A488" s="1">
        <v>45474</v>
      </c>
      <c r="B488" t="s">
        <v>413</v>
      </c>
      <c r="C488">
        <v>4505</v>
      </c>
      <c r="D488">
        <v>67769.789999999994</v>
      </c>
    </row>
    <row r="489" spans="1:4" x14ac:dyDescent="0.25">
      <c r="A489" s="1">
        <v>45474</v>
      </c>
      <c r="B489" t="s">
        <v>414</v>
      </c>
      <c r="C489">
        <v>-114.05</v>
      </c>
      <c r="D489">
        <v>67655.740000000005</v>
      </c>
    </row>
    <row r="490" spans="1:4" x14ac:dyDescent="0.25">
      <c r="A490" s="1">
        <v>45474</v>
      </c>
      <c r="B490" t="s">
        <v>415</v>
      </c>
      <c r="C490">
        <v>-31.19</v>
      </c>
      <c r="D490">
        <v>67624.55</v>
      </c>
    </row>
    <row r="491" spans="1:4" x14ac:dyDescent="0.25">
      <c r="A491" s="1">
        <v>45474</v>
      </c>
      <c r="B491" t="s">
        <v>416</v>
      </c>
      <c r="C491">
        <v>-4801</v>
      </c>
      <c r="D491">
        <v>62823.55</v>
      </c>
    </row>
    <row r="492" spans="1:4" x14ac:dyDescent="0.25">
      <c r="A492" s="1">
        <v>45474</v>
      </c>
      <c r="B492" t="s">
        <v>308</v>
      </c>
      <c r="C492">
        <v>-1151.3699999999999</v>
      </c>
      <c r="D492">
        <v>61672.18</v>
      </c>
    </row>
    <row r="493" spans="1:4" x14ac:dyDescent="0.25">
      <c r="A493" s="1">
        <v>45474</v>
      </c>
      <c r="B493" t="s">
        <v>417</v>
      </c>
      <c r="C493">
        <v>-683.04</v>
      </c>
      <c r="D493">
        <v>60989.14</v>
      </c>
    </row>
    <row r="494" spans="1:4" x14ac:dyDescent="0.25">
      <c r="A494" s="1">
        <v>45474</v>
      </c>
      <c r="B494" t="s">
        <v>418</v>
      </c>
      <c r="C494">
        <v>-11.02</v>
      </c>
      <c r="D494">
        <v>60978.12</v>
      </c>
    </row>
    <row r="495" spans="1:4" x14ac:dyDescent="0.25">
      <c r="A495" s="1">
        <v>45475</v>
      </c>
      <c r="B495" t="s">
        <v>22</v>
      </c>
      <c r="C495">
        <v>12000</v>
      </c>
      <c r="D495">
        <v>72978.12</v>
      </c>
    </row>
    <row r="496" spans="1:4" x14ac:dyDescent="0.25">
      <c r="A496" s="1">
        <v>45475</v>
      </c>
      <c r="B496" t="s">
        <v>419</v>
      </c>
      <c r="C496">
        <v>-129.36000000000001</v>
      </c>
      <c r="D496">
        <v>72848.759999999995</v>
      </c>
    </row>
    <row r="497" spans="1:4" x14ac:dyDescent="0.25">
      <c r="A497" s="1">
        <v>45475</v>
      </c>
      <c r="B497" t="s">
        <v>420</v>
      </c>
      <c r="C497">
        <v>-251.75</v>
      </c>
      <c r="D497">
        <v>72597.009999999995</v>
      </c>
    </row>
    <row r="498" spans="1:4" x14ac:dyDescent="0.25">
      <c r="A498" s="1">
        <v>45475</v>
      </c>
      <c r="B498" t="s">
        <v>421</v>
      </c>
      <c r="C498">
        <v>-22.95</v>
      </c>
      <c r="D498">
        <v>72574.06</v>
      </c>
    </row>
    <row r="499" spans="1:4" x14ac:dyDescent="0.25">
      <c r="A499" s="1">
        <v>45475</v>
      </c>
      <c r="B499" t="s">
        <v>422</v>
      </c>
      <c r="C499">
        <v>-498.8</v>
      </c>
      <c r="D499">
        <v>72075.259999999995</v>
      </c>
    </row>
    <row r="500" spans="1:4" x14ac:dyDescent="0.25">
      <c r="A500" s="1">
        <v>45475</v>
      </c>
      <c r="B500" t="s">
        <v>423</v>
      </c>
      <c r="C500">
        <v>-119</v>
      </c>
      <c r="D500">
        <v>71956.259999999995</v>
      </c>
    </row>
    <row r="501" spans="1:4" x14ac:dyDescent="0.25">
      <c r="A501" s="1">
        <v>45475</v>
      </c>
      <c r="B501" t="s">
        <v>424</v>
      </c>
      <c r="C501">
        <v>-33.299999999999997</v>
      </c>
      <c r="D501">
        <v>71922.960000000006</v>
      </c>
    </row>
    <row r="502" spans="1:4" x14ac:dyDescent="0.25">
      <c r="A502" s="1">
        <v>45475</v>
      </c>
      <c r="B502" t="s">
        <v>425</v>
      </c>
      <c r="C502">
        <v>-1</v>
      </c>
      <c r="D502">
        <v>71921.960000000006</v>
      </c>
    </row>
    <row r="503" spans="1:4" x14ac:dyDescent="0.25">
      <c r="A503" s="1">
        <v>45478</v>
      </c>
      <c r="B503" t="s">
        <v>426</v>
      </c>
      <c r="C503">
        <v>-250.6</v>
      </c>
      <c r="D503">
        <v>71671.360000000001</v>
      </c>
    </row>
    <row r="504" spans="1:4" x14ac:dyDescent="0.25">
      <c r="A504" s="1">
        <v>45478</v>
      </c>
      <c r="B504" t="s">
        <v>427</v>
      </c>
      <c r="C504">
        <v>-6.36</v>
      </c>
      <c r="D504">
        <v>71665</v>
      </c>
    </row>
    <row r="505" spans="1:4" x14ac:dyDescent="0.25">
      <c r="A505" s="1">
        <v>45478</v>
      </c>
      <c r="B505" t="s">
        <v>44</v>
      </c>
      <c r="C505">
        <v>-126.43</v>
      </c>
      <c r="D505">
        <v>71538.570000000007</v>
      </c>
    </row>
    <row r="506" spans="1:4" x14ac:dyDescent="0.25">
      <c r="A506" s="1">
        <v>45481</v>
      </c>
      <c r="B506" t="s">
        <v>428</v>
      </c>
      <c r="C506">
        <v>13296</v>
      </c>
      <c r="D506">
        <v>84834.57</v>
      </c>
    </row>
    <row r="507" spans="1:4" x14ac:dyDescent="0.25">
      <c r="A507" s="1">
        <v>45481</v>
      </c>
      <c r="B507" t="s">
        <v>429</v>
      </c>
      <c r="C507">
        <v>-1971.41</v>
      </c>
      <c r="D507">
        <v>82863.16</v>
      </c>
    </row>
    <row r="508" spans="1:4" x14ac:dyDescent="0.25">
      <c r="A508" s="1">
        <v>45481</v>
      </c>
      <c r="B508" t="s">
        <v>430</v>
      </c>
      <c r="C508">
        <v>-55.86</v>
      </c>
      <c r="D508">
        <v>82807.3</v>
      </c>
    </row>
    <row r="509" spans="1:4" x14ac:dyDescent="0.25">
      <c r="A509" s="1">
        <v>45482</v>
      </c>
      <c r="B509" t="s">
        <v>431</v>
      </c>
      <c r="C509">
        <v>-500</v>
      </c>
      <c r="D509">
        <v>82307.3</v>
      </c>
    </row>
    <row r="510" spans="1:4" x14ac:dyDescent="0.25">
      <c r="A510" s="1">
        <v>45482</v>
      </c>
      <c r="B510" t="s">
        <v>432</v>
      </c>
      <c r="C510">
        <v>-863.55</v>
      </c>
      <c r="D510">
        <v>81443.75</v>
      </c>
    </row>
    <row r="511" spans="1:4" x14ac:dyDescent="0.25">
      <c r="A511" s="1">
        <v>45482</v>
      </c>
      <c r="B511" t="s">
        <v>110</v>
      </c>
      <c r="C511">
        <v>-50</v>
      </c>
      <c r="D511">
        <v>81393.75</v>
      </c>
    </row>
    <row r="512" spans="1:4" x14ac:dyDescent="0.25">
      <c r="A512" s="1">
        <v>45483</v>
      </c>
      <c r="B512" t="s">
        <v>22</v>
      </c>
      <c r="C512">
        <v>210</v>
      </c>
      <c r="D512">
        <v>81603.75</v>
      </c>
    </row>
    <row r="513" spans="1:4" x14ac:dyDescent="0.25">
      <c r="A513" s="1">
        <v>45483</v>
      </c>
      <c r="B513" t="s">
        <v>433</v>
      </c>
      <c r="C513">
        <v>-126.56</v>
      </c>
      <c r="D513">
        <v>81477.19</v>
      </c>
    </row>
    <row r="514" spans="1:4" x14ac:dyDescent="0.25">
      <c r="A514" s="1">
        <v>45485</v>
      </c>
      <c r="B514" t="s">
        <v>434</v>
      </c>
      <c r="C514">
        <v>-18433.349999999999</v>
      </c>
      <c r="D514">
        <v>63043.839999999997</v>
      </c>
    </row>
    <row r="515" spans="1:4" x14ac:dyDescent="0.25">
      <c r="A515" s="1">
        <v>45485</v>
      </c>
      <c r="B515" t="s">
        <v>435</v>
      </c>
      <c r="C515">
        <v>-3761.56</v>
      </c>
      <c r="D515">
        <v>59282.28</v>
      </c>
    </row>
    <row r="516" spans="1:4" x14ac:dyDescent="0.25">
      <c r="A516" s="1">
        <v>45485</v>
      </c>
      <c r="B516" t="s">
        <v>436</v>
      </c>
      <c r="C516">
        <v>-342</v>
      </c>
      <c r="D516">
        <v>58940.28</v>
      </c>
    </row>
    <row r="517" spans="1:4" x14ac:dyDescent="0.25">
      <c r="A517" s="1">
        <v>45485</v>
      </c>
      <c r="B517" t="s">
        <v>437</v>
      </c>
      <c r="C517">
        <v>-122.65</v>
      </c>
      <c r="D517">
        <v>58817.63</v>
      </c>
    </row>
    <row r="518" spans="1:4" x14ac:dyDescent="0.25">
      <c r="A518" s="1">
        <v>45488</v>
      </c>
      <c r="B518" t="s">
        <v>438</v>
      </c>
      <c r="C518">
        <v>5439</v>
      </c>
      <c r="D518">
        <v>64256.63</v>
      </c>
    </row>
    <row r="519" spans="1:4" x14ac:dyDescent="0.25">
      <c r="A519" s="1">
        <v>45488</v>
      </c>
      <c r="B519" t="s">
        <v>439</v>
      </c>
      <c r="C519">
        <v>-500</v>
      </c>
      <c r="D519">
        <v>63756.63</v>
      </c>
    </row>
    <row r="520" spans="1:4" x14ac:dyDescent="0.25">
      <c r="A520" s="1">
        <v>45488</v>
      </c>
      <c r="B520" t="s">
        <v>440</v>
      </c>
      <c r="C520">
        <v>-202.94</v>
      </c>
      <c r="D520">
        <v>63553.69</v>
      </c>
    </row>
    <row r="521" spans="1:4" x14ac:dyDescent="0.25">
      <c r="A521" s="1">
        <v>45488</v>
      </c>
      <c r="B521" t="s">
        <v>441</v>
      </c>
      <c r="C521">
        <v>-20</v>
      </c>
      <c r="D521">
        <v>63533.69</v>
      </c>
    </row>
    <row r="522" spans="1:4" x14ac:dyDescent="0.25">
      <c r="A522" s="1">
        <v>45489</v>
      </c>
      <c r="B522" t="s">
        <v>442</v>
      </c>
      <c r="C522">
        <v>-10325.25</v>
      </c>
      <c r="D522">
        <v>53208.44</v>
      </c>
    </row>
    <row r="523" spans="1:4" x14ac:dyDescent="0.25">
      <c r="A523" s="1">
        <v>45489</v>
      </c>
      <c r="B523" t="s">
        <v>443</v>
      </c>
      <c r="C523">
        <v>-952.02</v>
      </c>
      <c r="D523">
        <v>52256.42</v>
      </c>
    </row>
    <row r="524" spans="1:4" x14ac:dyDescent="0.25">
      <c r="A524" s="1">
        <v>45489</v>
      </c>
      <c r="B524" t="s">
        <v>444</v>
      </c>
      <c r="C524">
        <v>-979.48</v>
      </c>
      <c r="D524">
        <v>51276.94</v>
      </c>
    </row>
    <row r="525" spans="1:4" x14ac:dyDescent="0.25">
      <c r="A525" s="1">
        <v>45489</v>
      </c>
      <c r="B525" t="s">
        <v>445</v>
      </c>
      <c r="C525">
        <v>-52.96</v>
      </c>
      <c r="D525">
        <v>51223.98</v>
      </c>
    </row>
    <row r="526" spans="1:4" x14ac:dyDescent="0.25">
      <c r="A526" s="1">
        <v>45491</v>
      </c>
      <c r="B526" t="s">
        <v>446</v>
      </c>
      <c r="C526">
        <v>-82.6</v>
      </c>
      <c r="D526">
        <v>51141.38</v>
      </c>
    </row>
    <row r="527" spans="1:4" x14ac:dyDescent="0.25">
      <c r="A527" s="1">
        <v>45491</v>
      </c>
      <c r="B527" t="s">
        <v>447</v>
      </c>
      <c r="C527">
        <v>-181.98</v>
      </c>
      <c r="D527">
        <v>50959.4</v>
      </c>
    </row>
    <row r="528" spans="1:4" x14ac:dyDescent="0.25">
      <c r="A528" s="1">
        <v>45491</v>
      </c>
      <c r="B528" t="s">
        <v>448</v>
      </c>
      <c r="C528">
        <v>-206.41</v>
      </c>
      <c r="D528">
        <v>50752.99</v>
      </c>
    </row>
    <row r="529" spans="1:4" x14ac:dyDescent="0.25">
      <c r="A529" s="1">
        <v>45492</v>
      </c>
      <c r="B529" t="s">
        <v>449</v>
      </c>
      <c r="C529">
        <v>-1640.36</v>
      </c>
      <c r="D529">
        <v>49112.63</v>
      </c>
    </row>
    <row r="530" spans="1:4" x14ac:dyDescent="0.25">
      <c r="A530" s="1">
        <v>45495</v>
      </c>
      <c r="B530" t="s">
        <v>450</v>
      </c>
      <c r="C530">
        <v>2979</v>
      </c>
      <c r="D530">
        <v>52091.63</v>
      </c>
    </row>
    <row r="531" spans="1:4" x14ac:dyDescent="0.25">
      <c r="A531" s="1">
        <v>45495</v>
      </c>
      <c r="B531" t="s">
        <v>451</v>
      </c>
      <c r="C531">
        <v>-249.37</v>
      </c>
      <c r="D531">
        <v>51842.26</v>
      </c>
    </row>
    <row r="532" spans="1:4" x14ac:dyDescent="0.25">
      <c r="A532" s="1">
        <v>45495</v>
      </c>
      <c r="B532" t="s">
        <v>452</v>
      </c>
      <c r="C532">
        <v>-58.78</v>
      </c>
      <c r="D532">
        <v>51783.48</v>
      </c>
    </row>
    <row r="533" spans="1:4" x14ac:dyDescent="0.25">
      <c r="A533" s="1">
        <v>45495</v>
      </c>
      <c r="B533" t="s">
        <v>453</v>
      </c>
      <c r="C533">
        <v>-1524.69</v>
      </c>
      <c r="D533">
        <v>50258.79</v>
      </c>
    </row>
    <row r="534" spans="1:4" x14ac:dyDescent="0.25">
      <c r="A534" s="1">
        <v>45495</v>
      </c>
      <c r="B534" t="s">
        <v>454</v>
      </c>
      <c r="C534">
        <v>-353.7</v>
      </c>
      <c r="D534">
        <v>49905.09</v>
      </c>
    </row>
    <row r="535" spans="1:4" x14ac:dyDescent="0.25">
      <c r="A535" s="1">
        <v>45496</v>
      </c>
      <c r="B535" t="s">
        <v>455</v>
      </c>
      <c r="C535">
        <v>-656.69</v>
      </c>
      <c r="D535">
        <v>49248.4</v>
      </c>
    </row>
    <row r="536" spans="1:4" x14ac:dyDescent="0.25">
      <c r="A536" s="1">
        <v>45496</v>
      </c>
      <c r="B536" t="s">
        <v>456</v>
      </c>
      <c r="C536">
        <v>-50.9</v>
      </c>
      <c r="D536">
        <v>49197.5</v>
      </c>
    </row>
    <row r="537" spans="1:4" x14ac:dyDescent="0.25">
      <c r="A537" s="1">
        <v>45496</v>
      </c>
      <c r="B537" t="s">
        <v>457</v>
      </c>
      <c r="C537">
        <v>-167</v>
      </c>
      <c r="D537">
        <v>49030.5</v>
      </c>
    </row>
    <row r="538" spans="1:4" x14ac:dyDescent="0.25">
      <c r="A538" s="1">
        <v>45496</v>
      </c>
      <c r="B538" t="s">
        <v>110</v>
      </c>
      <c r="C538">
        <v>-50</v>
      </c>
      <c r="D538">
        <v>48980.5</v>
      </c>
    </row>
    <row r="539" spans="1:4" x14ac:dyDescent="0.25">
      <c r="A539" s="1">
        <v>45497</v>
      </c>
      <c r="B539" t="s">
        <v>458</v>
      </c>
      <c r="C539">
        <v>-153.83000000000001</v>
      </c>
      <c r="D539">
        <v>48826.67</v>
      </c>
    </row>
    <row r="540" spans="1:4" x14ac:dyDescent="0.25">
      <c r="A540" s="1">
        <v>45498</v>
      </c>
      <c r="B540" t="s">
        <v>459</v>
      </c>
      <c r="C540">
        <v>-4106.3900000000003</v>
      </c>
      <c r="D540">
        <v>44720.28</v>
      </c>
    </row>
    <row r="541" spans="1:4" x14ac:dyDescent="0.25">
      <c r="A541" s="1">
        <v>45498</v>
      </c>
      <c r="B541" t="s">
        <v>460</v>
      </c>
      <c r="C541">
        <v>-53.35</v>
      </c>
      <c r="D541">
        <v>44666.93</v>
      </c>
    </row>
    <row r="542" spans="1:4" x14ac:dyDescent="0.25">
      <c r="A542" s="1">
        <v>45498</v>
      </c>
      <c r="B542" t="s">
        <v>461</v>
      </c>
      <c r="C542">
        <v>-19269.150000000001</v>
      </c>
      <c r="D542">
        <v>25397.78</v>
      </c>
    </row>
    <row r="543" spans="1:4" x14ac:dyDescent="0.25">
      <c r="A543" s="1">
        <v>45498</v>
      </c>
      <c r="B543" t="s">
        <v>462</v>
      </c>
      <c r="C543">
        <v>-3725.19</v>
      </c>
      <c r="D543">
        <v>21672.59</v>
      </c>
    </row>
    <row r="544" spans="1:4" x14ac:dyDescent="0.25">
      <c r="A544" s="1">
        <v>45499</v>
      </c>
      <c r="B544" t="s">
        <v>463</v>
      </c>
      <c r="C544">
        <v>-35</v>
      </c>
      <c r="D544">
        <v>21637.59</v>
      </c>
    </row>
    <row r="545" spans="1:4" x14ac:dyDescent="0.25">
      <c r="A545" s="1">
        <v>45499</v>
      </c>
      <c r="B545" t="s">
        <v>464</v>
      </c>
      <c r="C545">
        <v>-165.36</v>
      </c>
      <c r="D545">
        <v>21472.23</v>
      </c>
    </row>
    <row r="546" spans="1:4" x14ac:dyDescent="0.25">
      <c r="A546" s="1">
        <v>45499</v>
      </c>
      <c r="B546" t="s">
        <v>465</v>
      </c>
      <c r="C546">
        <v>-1479.22</v>
      </c>
      <c r="D546">
        <v>19993.009999999998</v>
      </c>
    </row>
    <row r="547" spans="1:4" x14ac:dyDescent="0.25">
      <c r="A547" s="1">
        <v>45499</v>
      </c>
      <c r="B547" t="s">
        <v>466</v>
      </c>
      <c r="C547">
        <v>-536.41999999999996</v>
      </c>
      <c r="D547">
        <v>19456.59</v>
      </c>
    </row>
    <row r="548" spans="1:4" x14ac:dyDescent="0.25">
      <c r="A548" s="1">
        <v>45499</v>
      </c>
      <c r="B548" t="s">
        <v>467</v>
      </c>
      <c r="C548">
        <v>-92.54</v>
      </c>
      <c r="D548">
        <v>19364.05</v>
      </c>
    </row>
    <row r="549" spans="1:4" x14ac:dyDescent="0.25">
      <c r="A549" s="1">
        <v>45499</v>
      </c>
      <c r="B549" t="s">
        <v>468</v>
      </c>
      <c r="C549">
        <v>-19</v>
      </c>
      <c r="D549">
        <v>19345.05</v>
      </c>
    </row>
    <row r="550" spans="1:4" x14ac:dyDescent="0.25">
      <c r="A550" s="1">
        <v>45502</v>
      </c>
      <c r="B550" t="s">
        <v>469</v>
      </c>
      <c r="C550">
        <v>11311</v>
      </c>
      <c r="D550">
        <v>30656.05</v>
      </c>
    </row>
    <row r="551" spans="1:4" x14ac:dyDescent="0.25">
      <c r="A551" s="1">
        <v>45502</v>
      </c>
      <c r="B551" t="s">
        <v>308</v>
      </c>
      <c r="C551">
        <v>130</v>
      </c>
      <c r="D551">
        <v>30786.05</v>
      </c>
    </row>
    <row r="552" spans="1:4" x14ac:dyDescent="0.25">
      <c r="A552" s="1">
        <v>45502</v>
      </c>
      <c r="B552" t="s">
        <v>470</v>
      </c>
      <c r="C552">
        <v>-147.69</v>
      </c>
      <c r="D552">
        <v>30638.36</v>
      </c>
    </row>
    <row r="553" spans="1:4" x14ac:dyDescent="0.25">
      <c r="A553" s="1">
        <v>45502</v>
      </c>
      <c r="B553" t="s">
        <v>471</v>
      </c>
      <c r="C553">
        <v>-14.99</v>
      </c>
      <c r="D553">
        <v>30623.37</v>
      </c>
    </row>
    <row r="554" spans="1:4" x14ac:dyDescent="0.25">
      <c r="A554" s="1">
        <v>45502</v>
      </c>
      <c r="B554" t="s">
        <v>472</v>
      </c>
      <c r="C554">
        <v>-78.680000000000007</v>
      </c>
      <c r="D554">
        <v>30544.69</v>
      </c>
    </row>
    <row r="555" spans="1:4" x14ac:dyDescent="0.25">
      <c r="A555" s="1">
        <v>45502</v>
      </c>
      <c r="B555" t="s">
        <v>473</v>
      </c>
      <c r="C555">
        <v>-18.05</v>
      </c>
      <c r="D555">
        <v>30526.639999999999</v>
      </c>
    </row>
    <row r="556" spans="1:4" x14ac:dyDescent="0.25">
      <c r="A556" s="1">
        <v>45502</v>
      </c>
      <c r="B556" t="s">
        <v>474</v>
      </c>
      <c r="C556">
        <v>-53.1</v>
      </c>
      <c r="D556">
        <v>30473.54</v>
      </c>
    </row>
    <row r="557" spans="1:4" x14ac:dyDescent="0.25">
      <c r="A557" s="1">
        <v>45502</v>
      </c>
      <c r="B557" t="s">
        <v>475</v>
      </c>
      <c r="C557">
        <v>-7.28</v>
      </c>
      <c r="D557">
        <v>30466.26</v>
      </c>
    </row>
    <row r="558" spans="1:4" x14ac:dyDescent="0.25">
      <c r="A558" s="1">
        <v>45503</v>
      </c>
      <c r="B558" t="s">
        <v>308</v>
      </c>
      <c r="C558">
        <v>1472</v>
      </c>
      <c r="D558">
        <v>31938.26</v>
      </c>
    </row>
    <row r="559" spans="1:4" x14ac:dyDescent="0.25">
      <c r="A559" s="1">
        <v>45503</v>
      </c>
      <c r="B559" t="s">
        <v>476</v>
      </c>
      <c r="C559">
        <v>-193.1</v>
      </c>
      <c r="D559">
        <v>31745.16</v>
      </c>
    </row>
    <row r="560" spans="1:4" x14ac:dyDescent="0.25">
      <c r="A560" s="1">
        <v>45503</v>
      </c>
      <c r="B560" t="s">
        <v>477</v>
      </c>
      <c r="C560">
        <v>-252.09</v>
      </c>
      <c r="D560">
        <v>31493.07</v>
      </c>
    </row>
    <row r="561" spans="1:4" x14ac:dyDescent="0.25">
      <c r="A561" s="1">
        <v>45504</v>
      </c>
      <c r="B561" t="s">
        <v>478</v>
      </c>
      <c r="C561">
        <v>-16.12</v>
      </c>
      <c r="D561">
        <v>31476.95</v>
      </c>
    </row>
    <row r="562" spans="1:4" x14ac:dyDescent="0.25">
      <c r="A562" s="1">
        <v>45504</v>
      </c>
      <c r="B562" t="s">
        <v>479</v>
      </c>
      <c r="C562">
        <v>-159.69999999999999</v>
      </c>
      <c r="D562">
        <v>31317.25</v>
      </c>
    </row>
    <row r="563" spans="1:4" x14ac:dyDescent="0.25">
      <c r="A563" s="1">
        <v>45505</v>
      </c>
      <c r="B563" t="s">
        <v>22</v>
      </c>
      <c r="C563">
        <v>9800</v>
      </c>
      <c r="D563">
        <v>41117.25</v>
      </c>
    </row>
    <row r="564" spans="1:4" x14ac:dyDescent="0.25">
      <c r="A564" s="1">
        <v>45505</v>
      </c>
      <c r="B564" t="s">
        <v>22</v>
      </c>
      <c r="C564">
        <v>5693</v>
      </c>
      <c r="D564">
        <v>46810.25</v>
      </c>
    </row>
    <row r="565" spans="1:4" x14ac:dyDescent="0.25">
      <c r="A565" s="1">
        <v>45505</v>
      </c>
      <c r="B565" t="s">
        <v>22</v>
      </c>
      <c r="C565">
        <v>520.16999999999996</v>
      </c>
      <c r="D565">
        <v>47330.42</v>
      </c>
    </row>
    <row r="566" spans="1:4" x14ac:dyDescent="0.25">
      <c r="A566" s="1">
        <v>45505</v>
      </c>
      <c r="B566" t="s">
        <v>22</v>
      </c>
      <c r="C566">
        <v>164.82</v>
      </c>
      <c r="D566">
        <v>47495.24</v>
      </c>
    </row>
    <row r="567" spans="1:4" x14ac:dyDescent="0.25">
      <c r="A567" s="1">
        <v>45505</v>
      </c>
      <c r="B567" t="s">
        <v>22</v>
      </c>
      <c r="C567">
        <v>164.1</v>
      </c>
      <c r="D567">
        <v>47659.34</v>
      </c>
    </row>
    <row r="568" spans="1:4" x14ac:dyDescent="0.25">
      <c r="A568" s="1">
        <v>45505</v>
      </c>
      <c r="B568" t="s">
        <v>22</v>
      </c>
      <c r="C568">
        <v>139</v>
      </c>
      <c r="D568">
        <v>47798.34</v>
      </c>
    </row>
    <row r="569" spans="1:4" x14ac:dyDescent="0.25">
      <c r="A569" s="1">
        <v>45505</v>
      </c>
      <c r="B569" t="s">
        <v>22</v>
      </c>
      <c r="C569">
        <v>79.66</v>
      </c>
      <c r="D569">
        <v>47878</v>
      </c>
    </row>
    <row r="570" spans="1:4" x14ac:dyDescent="0.25">
      <c r="A570" s="1">
        <v>45505</v>
      </c>
      <c r="B570" t="s">
        <v>22</v>
      </c>
      <c r="C570">
        <v>52.06</v>
      </c>
      <c r="D570">
        <v>47930.06</v>
      </c>
    </row>
    <row r="571" spans="1:4" x14ac:dyDescent="0.25">
      <c r="A571" s="1">
        <v>45505</v>
      </c>
      <c r="B571" t="s">
        <v>480</v>
      </c>
      <c r="C571">
        <v>-278.60000000000002</v>
      </c>
      <c r="D571">
        <v>47651.46</v>
      </c>
    </row>
    <row r="572" spans="1:4" x14ac:dyDescent="0.25">
      <c r="A572" s="1">
        <v>45505</v>
      </c>
      <c r="B572" t="s">
        <v>481</v>
      </c>
      <c r="C572">
        <v>-4801</v>
      </c>
      <c r="D572">
        <v>42850.46</v>
      </c>
    </row>
    <row r="573" spans="1:4" x14ac:dyDescent="0.25">
      <c r="A573" s="1">
        <v>45505</v>
      </c>
      <c r="B573" t="s">
        <v>308</v>
      </c>
      <c r="C573">
        <v>-550.58000000000004</v>
      </c>
      <c r="D573">
        <v>42299.88</v>
      </c>
    </row>
    <row r="574" spans="1:4" x14ac:dyDescent="0.25">
      <c r="A574" s="1">
        <v>45506</v>
      </c>
      <c r="B574" t="s">
        <v>188</v>
      </c>
      <c r="C574">
        <v>4182.8500000000004</v>
      </c>
      <c r="D574">
        <v>46482.73</v>
      </c>
    </row>
    <row r="575" spans="1:4" x14ac:dyDescent="0.25">
      <c r="A575" s="1">
        <v>45506</v>
      </c>
      <c r="B575" t="s">
        <v>482</v>
      </c>
      <c r="C575">
        <v>-251.75</v>
      </c>
      <c r="D575">
        <v>46230.98</v>
      </c>
    </row>
    <row r="576" spans="1:4" x14ac:dyDescent="0.25">
      <c r="A576" s="1">
        <v>45506</v>
      </c>
      <c r="B576" t="s">
        <v>483</v>
      </c>
      <c r="C576">
        <v>-301.27</v>
      </c>
      <c r="D576">
        <v>45929.71</v>
      </c>
    </row>
    <row r="577" spans="1:4" x14ac:dyDescent="0.25">
      <c r="A577" s="1">
        <v>45506</v>
      </c>
      <c r="B577" t="s">
        <v>484</v>
      </c>
      <c r="C577">
        <v>-22.95</v>
      </c>
      <c r="D577">
        <v>45906.76</v>
      </c>
    </row>
    <row r="578" spans="1:4" x14ac:dyDescent="0.25">
      <c r="A578" s="1">
        <v>45506</v>
      </c>
      <c r="B578" t="s">
        <v>485</v>
      </c>
      <c r="C578">
        <v>-159.38</v>
      </c>
      <c r="D578">
        <v>45747.38</v>
      </c>
    </row>
    <row r="579" spans="1:4" x14ac:dyDescent="0.25">
      <c r="A579" s="1">
        <v>45506</v>
      </c>
      <c r="B579" t="s">
        <v>486</v>
      </c>
      <c r="C579">
        <v>-61.23</v>
      </c>
      <c r="D579">
        <v>45686.15</v>
      </c>
    </row>
    <row r="580" spans="1:4" x14ac:dyDescent="0.25">
      <c r="A580" s="1">
        <v>45506</v>
      </c>
      <c r="B580" t="s">
        <v>487</v>
      </c>
      <c r="C580">
        <v>-1598</v>
      </c>
      <c r="D580">
        <v>44088.15</v>
      </c>
    </row>
    <row r="581" spans="1:4" x14ac:dyDescent="0.25">
      <c r="A581" s="1">
        <v>45506</v>
      </c>
      <c r="B581" t="s">
        <v>488</v>
      </c>
      <c r="C581">
        <v>-33</v>
      </c>
      <c r="D581">
        <v>44055.15</v>
      </c>
    </row>
    <row r="582" spans="1:4" x14ac:dyDescent="0.25">
      <c r="A582" s="1">
        <v>45506</v>
      </c>
      <c r="B582" t="s">
        <v>489</v>
      </c>
      <c r="C582">
        <v>-1</v>
      </c>
      <c r="D582">
        <v>44054.15</v>
      </c>
    </row>
    <row r="583" spans="1:4" x14ac:dyDescent="0.25">
      <c r="A583" s="1">
        <v>45509</v>
      </c>
      <c r="B583" t="s">
        <v>490</v>
      </c>
      <c r="C583">
        <v>5090</v>
      </c>
      <c r="D583">
        <v>49144.15</v>
      </c>
    </row>
    <row r="584" spans="1:4" x14ac:dyDescent="0.25">
      <c r="A584" s="1">
        <v>45509</v>
      </c>
      <c r="B584" t="s">
        <v>308</v>
      </c>
      <c r="C584">
        <v>125</v>
      </c>
      <c r="D584">
        <v>49269.15</v>
      </c>
    </row>
    <row r="585" spans="1:4" x14ac:dyDescent="0.25">
      <c r="A585" s="1">
        <v>45509</v>
      </c>
      <c r="B585" t="s">
        <v>491</v>
      </c>
      <c r="C585">
        <v>-31.86</v>
      </c>
      <c r="D585">
        <v>49237.29</v>
      </c>
    </row>
    <row r="586" spans="1:4" x14ac:dyDescent="0.25">
      <c r="A586" s="1">
        <v>45509</v>
      </c>
      <c r="B586" t="s">
        <v>492</v>
      </c>
      <c r="C586">
        <v>-6460.35</v>
      </c>
      <c r="D586">
        <v>42776.94</v>
      </c>
    </row>
    <row r="587" spans="1:4" x14ac:dyDescent="0.25">
      <c r="A587" s="1">
        <v>45509</v>
      </c>
      <c r="B587" t="s">
        <v>493</v>
      </c>
      <c r="C587">
        <v>-718.34</v>
      </c>
      <c r="D587">
        <v>42058.6</v>
      </c>
    </row>
    <row r="588" spans="1:4" x14ac:dyDescent="0.25">
      <c r="A588" s="1">
        <v>45509</v>
      </c>
      <c r="B588" t="s">
        <v>494</v>
      </c>
      <c r="C588">
        <v>-6.36</v>
      </c>
      <c r="D588">
        <v>42052.24</v>
      </c>
    </row>
    <row r="589" spans="1:4" x14ac:dyDescent="0.25">
      <c r="A589" s="1">
        <v>45509</v>
      </c>
      <c r="B589" t="s">
        <v>495</v>
      </c>
      <c r="C589">
        <v>-250.6</v>
      </c>
      <c r="D589">
        <v>41801.64</v>
      </c>
    </row>
    <row r="590" spans="1:4" x14ac:dyDescent="0.25">
      <c r="A590" s="1">
        <v>45510</v>
      </c>
      <c r="B590" t="s">
        <v>496</v>
      </c>
      <c r="C590">
        <v>-118.95</v>
      </c>
      <c r="D590">
        <v>41682.69</v>
      </c>
    </row>
    <row r="591" spans="1:4" x14ac:dyDescent="0.25">
      <c r="A591" s="1">
        <v>45510</v>
      </c>
      <c r="B591" t="s">
        <v>110</v>
      </c>
      <c r="C591">
        <v>-50</v>
      </c>
      <c r="D591">
        <v>41632.69</v>
      </c>
    </row>
    <row r="592" spans="1:4" x14ac:dyDescent="0.25">
      <c r="A592" s="1">
        <v>45511</v>
      </c>
      <c r="B592" t="s">
        <v>497</v>
      </c>
      <c r="C592">
        <v>-218.07</v>
      </c>
      <c r="D592">
        <v>41414.620000000003</v>
      </c>
    </row>
    <row r="593" spans="1:4" x14ac:dyDescent="0.25">
      <c r="A593" s="1">
        <v>45511</v>
      </c>
      <c r="B593" t="s">
        <v>498</v>
      </c>
      <c r="C593">
        <v>-126.56</v>
      </c>
      <c r="D593">
        <v>41288.06</v>
      </c>
    </row>
    <row r="594" spans="1:4" x14ac:dyDescent="0.25">
      <c r="A594" s="1">
        <v>45512</v>
      </c>
      <c r="B594" t="s">
        <v>499</v>
      </c>
      <c r="C594">
        <v>-42.05</v>
      </c>
      <c r="D594">
        <v>41246.01</v>
      </c>
    </row>
    <row r="595" spans="1:4" x14ac:dyDescent="0.25">
      <c r="A595" s="1">
        <v>45512</v>
      </c>
      <c r="B595" t="s">
        <v>500</v>
      </c>
      <c r="C595">
        <v>-25818.32</v>
      </c>
      <c r="D595">
        <v>15427.69</v>
      </c>
    </row>
    <row r="596" spans="1:4" x14ac:dyDescent="0.25">
      <c r="A596" s="1">
        <v>45512</v>
      </c>
      <c r="B596" t="s">
        <v>501</v>
      </c>
      <c r="C596">
        <v>-7496.54</v>
      </c>
      <c r="D596">
        <v>7931.15</v>
      </c>
    </row>
    <row r="597" spans="1:4" x14ac:dyDescent="0.25">
      <c r="A597" s="1">
        <v>45513</v>
      </c>
      <c r="B597" t="s">
        <v>502</v>
      </c>
      <c r="C597">
        <v>9000</v>
      </c>
      <c r="D597">
        <v>16931.150000000001</v>
      </c>
    </row>
    <row r="598" spans="1:4" x14ac:dyDescent="0.25">
      <c r="A598" s="1">
        <v>45513</v>
      </c>
      <c r="B598" t="s">
        <v>503</v>
      </c>
      <c r="C598">
        <v>-212.5</v>
      </c>
      <c r="D598">
        <v>16718.650000000001</v>
      </c>
    </row>
    <row r="599" spans="1:4" x14ac:dyDescent="0.25">
      <c r="A599" s="1">
        <v>45513</v>
      </c>
      <c r="B599" t="s">
        <v>504</v>
      </c>
      <c r="C599">
        <v>-166.49</v>
      </c>
      <c r="D599">
        <v>16552.16</v>
      </c>
    </row>
    <row r="600" spans="1:4" x14ac:dyDescent="0.25">
      <c r="A600" s="1">
        <v>45513</v>
      </c>
      <c r="B600" t="s">
        <v>505</v>
      </c>
      <c r="C600">
        <v>-20</v>
      </c>
      <c r="D600">
        <v>16532.16</v>
      </c>
    </row>
    <row r="601" spans="1:4" x14ac:dyDescent="0.25">
      <c r="A601" s="1">
        <v>45516</v>
      </c>
      <c r="B601" t="s">
        <v>506</v>
      </c>
      <c r="C601">
        <v>10336</v>
      </c>
      <c r="D601">
        <v>26868.16</v>
      </c>
    </row>
    <row r="602" spans="1:4" x14ac:dyDescent="0.25">
      <c r="A602" s="1">
        <v>45516</v>
      </c>
      <c r="B602" t="s">
        <v>308</v>
      </c>
      <c r="C602">
        <v>3111</v>
      </c>
      <c r="D602">
        <v>29979.16</v>
      </c>
    </row>
    <row r="603" spans="1:4" x14ac:dyDescent="0.25">
      <c r="A603" s="1">
        <v>45516</v>
      </c>
      <c r="B603" t="s">
        <v>308</v>
      </c>
      <c r="C603">
        <v>50</v>
      </c>
      <c r="D603">
        <v>30029.16</v>
      </c>
    </row>
    <row r="604" spans="1:4" x14ac:dyDescent="0.25">
      <c r="A604" s="1">
        <v>45516</v>
      </c>
      <c r="B604" t="s">
        <v>507</v>
      </c>
      <c r="C604">
        <v>-4106.3900000000003</v>
      </c>
      <c r="D604">
        <v>25922.77</v>
      </c>
    </row>
    <row r="605" spans="1:4" x14ac:dyDescent="0.25">
      <c r="A605" s="1">
        <v>45516</v>
      </c>
      <c r="B605" t="s">
        <v>44</v>
      </c>
      <c r="C605">
        <v>-126.43</v>
      </c>
      <c r="D605">
        <v>25796.34</v>
      </c>
    </row>
    <row r="606" spans="1:4" x14ac:dyDescent="0.25">
      <c r="A606" s="1">
        <v>45517</v>
      </c>
      <c r="B606" t="s">
        <v>508</v>
      </c>
      <c r="C606">
        <v>10000</v>
      </c>
      <c r="D606">
        <v>35796.339999999997</v>
      </c>
    </row>
    <row r="607" spans="1:4" x14ac:dyDescent="0.25">
      <c r="A607" s="1">
        <v>45517</v>
      </c>
      <c r="B607" t="s">
        <v>308</v>
      </c>
      <c r="C607">
        <v>5748</v>
      </c>
      <c r="D607">
        <v>41544.339999999997</v>
      </c>
    </row>
    <row r="608" spans="1:4" x14ac:dyDescent="0.25">
      <c r="A608" s="1">
        <v>45517</v>
      </c>
      <c r="B608" t="s">
        <v>509</v>
      </c>
      <c r="C608">
        <v>-94.92</v>
      </c>
      <c r="D608">
        <v>41449.42</v>
      </c>
    </row>
    <row r="609" spans="1:4" x14ac:dyDescent="0.25">
      <c r="A609" s="1">
        <v>45519</v>
      </c>
      <c r="B609" t="s">
        <v>510</v>
      </c>
      <c r="C609">
        <v>-376.47</v>
      </c>
      <c r="D609">
        <v>41072.949999999997</v>
      </c>
    </row>
    <row r="610" spans="1:4" x14ac:dyDescent="0.25">
      <c r="A610" s="1">
        <v>45520</v>
      </c>
      <c r="B610" t="s">
        <v>511</v>
      </c>
      <c r="C610">
        <v>15928.5</v>
      </c>
      <c r="D610">
        <v>57001.45</v>
      </c>
    </row>
    <row r="611" spans="1:4" x14ac:dyDescent="0.25">
      <c r="A611" s="1">
        <v>45520</v>
      </c>
      <c r="B611" t="s">
        <v>308</v>
      </c>
      <c r="C611">
        <v>2109</v>
      </c>
      <c r="D611">
        <v>59110.45</v>
      </c>
    </row>
    <row r="612" spans="1:4" x14ac:dyDescent="0.25">
      <c r="A612" s="1">
        <v>45520</v>
      </c>
      <c r="B612" t="s">
        <v>512</v>
      </c>
      <c r="C612">
        <v>-354</v>
      </c>
      <c r="D612">
        <v>58756.45</v>
      </c>
    </row>
    <row r="613" spans="1:4" x14ac:dyDescent="0.25">
      <c r="A613" s="1">
        <v>45520</v>
      </c>
      <c r="B613" t="s">
        <v>513</v>
      </c>
      <c r="C613">
        <v>-52.96</v>
      </c>
      <c r="D613">
        <v>58703.49</v>
      </c>
    </row>
    <row r="614" spans="1:4" x14ac:dyDescent="0.25">
      <c r="A614" s="1">
        <v>45523</v>
      </c>
      <c r="B614" t="s">
        <v>514</v>
      </c>
      <c r="C614">
        <v>11944</v>
      </c>
      <c r="D614">
        <v>70647.490000000005</v>
      </c>
    </row>
    <row r="615" spans="1:4" x14ac:dyDescent="0.25">
      <c r="A615" s="1">
        <v>45523</v>
      </c>
      <c r="B615" t="s">
        <v>308</v>
      </c>
      <c r="C615">
        <v>1275</v>
      </c>
      <c r="D615">
        <v>71922.490000000005</v>
      </c>
    </row>
    <row r="616" spans="1:4" x14ac:dyDescent="0.25">
      <c r="A616" s="1">
        <v>45523</v>
      </c>
      <c r="B616" t="s">
        <v>515</v>
      </c>
      <c r="C616">
        <v>-159.51</v>
      </c>
      <c r="D616">
        <v>71762.98</v>
      </c>
    </row>
    <row r="617" spans="1:4" x14ac:dyDescent="0.25">
      <c r="A617" s="1">
        <v>45523</v>
      </c>
      <c r="B617" t="s">
        <v>516</v>
      </c>
      <c r="C617">
        <v>-127.59</v>
      </c>
      <c r="D617">
        <v>71635.39</v>
      </c>
    </row>
    <row r="618" spans="1:4" x14ac:dyDescent="0.25">
      <c r="A618" s="1">
        <v>45523</v>
      </c>
      <c r="B618" t="s">
        <v>517</v>
      </c>
      <c r="C618">
        <v>-21.26</v>
      </c>
      <c r="D618">
        <v>71614.13</v>
      </c>
    </row>
    <row r="619" spans="1:4" x14ac:dyDescent="0.25">
      <c r="A619" s="1">
        <v>45523</v>
      </c>
      <c r="B619" t="s">
        <v>518</v>
      </c>
      <c r="C619">
        <v>-465.56</v>
      </c>
      <c r="D619">
        <v>71148.570000000007</v>
      </c>
    </row>
    <row r="620" spans="1:4" x14ac:dyDescent="0.25">
      <c r="A620" s="1">
        <v>45523</v>
      </c>
      <c r="B620" t="s">
        <v>519</v>
      </c>
      <c r="C620">
        <v>-249.37</v>
      </c>
      <c r="D620">
        <v>70899.199999999997</v>
      </c>
    </row>
    <row r="621" spans="1:4" x14ac:dyDescent="0.25">
      <c r="A621" s="1">
        <v>45523</v>
      </c>
      <c r="B621" t="s">
        <v>520</v>
      </c>
      <c r="C621">
        <v>-9000</v>
      </c>
      <c r="D621">
        <v>61899.199999999997</v>
      </c>
    </row>
    <row r="622" spans="1:4" x14ac:dyDescent="0.25">
      <c r="A622" s="1">
        <v>45523</v>
      </c>
      <c r="B622" t="s">
        <v>110</v>
      </c>
      <c r="C622">
        <v>-50</v>
      </c>
      <c r="D622">
        <v>61849.2</v>
      </c>
    </row>
    <row r="623" spans="1:4" x14ac:dyDescent="0.25">
      <c r="A623" s="1">
        <v>45524</v>
      </c>
      <c r="B623" t="s">
        <v>521</v>
      </c>
      <c r="C623">
        <v>-1512.13</v>
      </c>
      <c r="D623">
        <v>60337.07</v>
      </c>
    </row>
    <row r="624" spans="1:4" x14ac:dyDescent="0.25">
      <c r="A624" s="1">
        <v>45525</v>
      </c>
      <c r="B624" t="s">
        <v>22</v>
      </c>
      <c r="C624">
        <v>18127.96</v>
      </c>
      <c r="D624">
        <v>78465.03</v>
      </c>
    </row>
    <row r="625" spans="1:4" x14ac:dyDescent="0.25">
      <c r="A625" s="1">
        <v>45526</v>
      </c>
      <c r="B625" t="s">
        <v>522</v>
      </c>
      <c r="C625">
        <v>-165.88</v>
      </c>
      <c r="D625">
        <v>78299.149999999994</v>
      </c>
    </row>
    <row r="626" spans="1:4" x14ac:dyDescent="0.25">
      <c r="A626" s="1">
        <v>45526</v>
      </c>
      <c r="B626" t="s">
        <v>523</v>
      </c>
      <c r="C626">
        <v>-24000</v>
      </c>
      <c r="D626">
        <v>54299.15</v>
      </c>
    </row>
    <row r="627" spans="1:4" x14ac:dyDescent="0.25">
      <c r="A627" s="1">
        <v>45527</v>
      </c>
      <c r="B627" t="s">
        <v>308</v>
      </c>
      <c r="C627">
        <v>3110</v>
      </c>
      <c r="D627">
        <v>57409.15</v>
      </c>
    </row>
    <row r="628" spans="1:4" x14ac:dyDescent="0.25">
      <c r="A628" s="1">
        <v>45527</v>
      </c>
      <c r="B628" t="s">
        <v>524</v>
      </c>
      <c r="C628">
        <v>-743.95</v>
      </c>
      <c r="D628">
        <v>56665.2</v>
      </c>
    </row>
    <row r="629" spans="1:4" x14ac:dyDescent="0.25">
      <c r="A629" s="1">
        <v>45527</v>
      </c>
      <c r="B629" t="s">
        <v>525</v>
      </c>
      <c r="C629">
        <v>-1062.97</v>
      </c>
      <c r="D629">
        <v>55602.23</v>
      </c>
    </row>
    <row r="630" spans="1:4" x14ac:dyDescent="0.25">
      <c r="A630" s="1">
        <v>45527</v>
      </c>
      <c r="B630" t="s">
        <v>526</v>
      </c>
      <c r="C630">
        <v>-24937.71</v>
      </c>
      <c r="D630">
        <v>30664.52</v>
      </c>
    </row>
    <row r="631" spans="1:4" x14ac:dyDescent="0.25">
      <c r="A631" s="1">
        <v>45527</v>
      </c>
      <c r="B631" t="s">
        <v>527</v>
      </c>
      <c r="C631">
        <v>-6620.72</v>
      </c>
      <c r="D631">
        <v>24043.8</v>
      </c>
    </row>
    <row r="632" spans="1:4" x14ac:dyDescent="0.25">
      <c r="A632" s="1">
        <v>45527</v>
      </c>
      <c r="B632" t="s">
        <v>528</v>
      </c>
      <c r="C632">
        <v>-169.81</v>
      </c>
      <c r="D632">
        <v>23873.99</v>
      </c>
    </row>
    <row r="633" spans="1:4" x14ac:dyDescent="0.25">
      <c r="A633" s="1">
        <v>45530</v>
      </c>
      <c r="B633" t="s">
        <v>308</v>
      </c>
      <c r="C633">
        <v>13858.88</v>
      </c>
      <c r="D633">
        <v>37732.870000000003</v>
      </c>
    </row>
    <row r="634" spans="1:4" x14ac:dyDescent="0.25">
      <c r="A634" s="1">
        <v>45530</v>
      </c>
      <c r="B634" t="s">
        <v>529</v>
      </c>
      <c r="C634">
        <v>6178</v>
      </c>
      <c r="D634">
        <v>43910.87</v>
      </c>
    </row>
    <row r="635" spans="1:4" x14ac:dyDescent="0.25">
      <c r="A635" s="1">
        <v>45530</v>
      </c>
      <c r="B635" t="s">
        <v>530</v>
      </c>
      <c r="C635">
        <v>-2512</v>
      </c>
      <c r="D635">
        <v>41398.870000000003</v>
      </c>
    </row>
    <row r="636" spans="1:4" x14ac:dyDescent="0.25">
      <c r="A636" s="1">
        <v>45530</v>
      </c>
      <c r="B636" t="s">
        <v>531</v>
      </c>
      <c r="C636">
        <v>-4648.54</v>
      </c>
      <c r="D636">
        <v>36750.33</v>
      </c>
    </row>
    <row r="637" spans="1:4" x14ac:dyDescent="0.25">
      <c r="A637" s="1">
        <v>45530</v>
      </c>
      <c r="B637" t="s">
        <v>532</v>
      </c>
      <c r="C637">
        <v>-20</v>
      </c>
      <c r="D637">
        <v>36730.33</v>
      </c>
    </row>
    <row r="638" spans="1:4" x14ac:dyDescent="0.25">
      <c r="A638" s="1">
        <v>45531</v>
      </c>
      <c r="B638" t="s">
        <v>308</v>
      </c>
      <c r="C638">
        <v>128</v>
      </c>
      <c r="D638">
        <v>36858.33</v>
      </c>
    </row>
    <row r="639" spans="1:4" x14ac:dyDescent="0.25">
      <c r="A639" s="1">
        <v>45531</v>
      </c>
      <c r="B639" t="s">
        <v>533</v>
      </c>
      <c r="C639">
        <v>-535.49</v>
      </c>
      <c r="D639">
        <v>36322.839999999997</v>
      </c>
    </row>
    <row r="640" spans="1:4" x14ac:dyDescent="0.25">
      <c r="A640" s="1">
        <v>45531</v>
      </c>
      <c r="B640" t="s">
        <v>534</v>
      </c>
      <c r="C640">
        <v>-163.78</v>
      </c>
      <c r="D640">
        <v>36159.06</v>
      </c>
    </row>
    <row r="641" spans="1:4" x14ac:dyDescent="0.25">
      <c r="A641" s="1">
        <v>45531</v>
      </c>
      <c r="B641" t="s">
        <v>535</v>
      </c>
      <c r="C641">
        <v>-401.63</v>
      </c>
      <c r="D641">
        <v>35757.43</v>
      </c>
    </row>
    <row r="642" spans="1:4" x14ac:dyDescent="0.25">
      <c r="A642" s="1">
        <v>45531</v>
      </c>
      <c r="B642" t="s">
        <v>536</v>
      </c>
      <c r="C642">
        <v>-492.36</v>
      </c>
      <c r="D642">
        <v>35265.07</v>
      </c>
    </row>
    <row r="643" spans="1:4" x14ac:dyDescent="0.25">
      <c r="A643" s="1">
        <v>45531</v>
      </c>
      <c r="B643" t="s">
        <v>537</v>
      </c>
      <c r="C643">
        <v>-14.99</v>
      </c>
      <c r="D643">
        <v>35250.080000000002</v>
      </c>
    </row>
    <row r="644" spans="1:4" x14ac:dyDescent="0.25">
      <c r="A644" s="1">
        <v>45532</v>
      </c>
      <c r="B644" t="s">
        <v>538</v>
      </c>
      <c r="C644">
        <v>-147.69</v>
      </c>
      <c r="D644">
        <v>35102.39</v>
      </c>
    </row>
    <row r="645" spans="1:4" x14ac:dyDescent="0.25">
      <c r="A645" s="1">
        <v>45532</v>
      </c>
      <c r="B645" t="s">
        <v>539</v>
      </c>
      <c r="C645">
        <v>-1775.67</v>
      </c>
      <c r="D645">
        <v>33326.720000000001</v>
      </c>
    </row>
    <row r="646" spans="1:4" x14ac:dyDescent="0.25">
      <c r="A646" s="1">
        <v>45532</v>
      </c>
      <c r="B646" t="s">
        <v>540</v>
      </c>
      <c r="C646">
        <v>-20.16</v>
      </c>
      <c r="D646">
        <v>33306.559999999998</v>
      </c>
    </row>
    <row r="647" spans="1:4" x14ac:dyDescent="0.25">
      <c r="A647" s="1">
        <v>45532</v>
      </c>
      <c r="B647" t="s">
        <v>541</v>
      </c>
      <c r="C647">
        <v>-30.45</v>
      </c>
      <c r="D647">
        <v>33276.11</v>
      </c>
    </row>
    <row r="648" spans="1:4" x14ac:dyDescent="0.25">
      <c r="A648" s="1">
        <v>45533</v>
      </c>
      <c r="B648" t="s">
        <v>308</v>
      </c>
      <c r="C648">
        <v>11099</v>
      </c>
      <c r="D648">
        <v>44375.11</v>
      </c>
    </row>
    <row r="649" spans="1:4" x14ac:dyDescent="0.25">
      <c r="A649" s="1">
        <v>45533</v>
      </c>
      <c r="B649" t="s">
        <v>542</v>
      </c>
      <c r="C649">
        <v>-147.76</v>
      </c>
      <c r="D649">
        <v>44227.35</v>
      </c>
    </row>
    <row r="650" spans="1:4" x14ac:dyDescent="0.25">
      <c r="A650" s="1">
        <v>45533</v>
      </c>
      <c r="B650" t="s">
        <v>543</v>
      </c>
      <c r="C650">
        <v>-749.78</v>
      </c>
      <c r="D650">
        <v>43477.57</v>
      </c>
    </row>
    <row r="651" spans="1:4" x14ac:dyDescent="0.25">
      <c r="A651" s="1">
        <v>45533</v>
      </c>
      <c r="B651" t="s">
        <v>544</v>
      </c>
      <c r="C651">
        <v>-10780</v>
      </c>
      <c r="D651">
        <v>32697.57</v>
      </c>
    </row>
    <row r="652" spans="1:4" x14ac:dyDescent="0.25">
      <c r="A652" s="1">
        <v>45534</v>
      </c>
      <c r="B652" t="s">
        <v>545</v>
      </c>
      <c r="C652">
        <v>-1347.12</v>
      </c>
      <c r="D652">
        <v>31350.45</v>
      </c>
    </row>
    <row r="653" spans="1:4" x14ac:dyDescent="0.25">
      <c r="A653" s="1">
        <v>45538</v>
      </c>
      <c r="B653" t="s">
        <v>546</v>
      </c>
      <c r="C653">
        <v>40000</v>
      </c>
      <c r="D653">
        <v>71350.45</v>
      </c>
    </row>
    <row r="654" spans="1:4" x14ac:dyDescent="0.25">
      <c r="A654" s="1">
        <v>45538</v>
      </c>
      <c r="B654" t="s">
        <v>547</v>
      </c>
      <c r="C654">
        <v>5218.57</v>
      </c>
      <c r="D654">
        <v>76569.02</v>
      </c>
    </row>
    <row r="655" spans="1:4" x14ac:dyDescent="0.25">
      <c r="A655" s="1">
        <v>45538</v>
      </c>
      <c r="B655" t="s">
        <v>548</v>
      </c>
      <c r="C655">
        <v>249.52</v>
      </c>
      <c r="D655">
        <v>76818.539999999994</v>
      </c>
    </row>
    <row r="656" spans="1:4" x14ac:dyDescent="0.25">
      <c r="A656" s="1">
        <v>45538</v>
      </c>
      <c r="B656" t="s">
        <v>549</v>
      </c>
      <c r="C656">
        <v>-35.07</v>
      </c>
      <c r="D656">
        <v>76783.47</v>
      </c>
    </row>
    <row r="657" spans="1:4" x14ac:dyDescent="0.25">
      <c r="A657" s="1">
        <v>45538</v>
      </c>
      <c r="B657" t="s">
        <v>550</v>
      </c>
      <c r="C657">
        <v>-49.99</v>
      </c>
      <c r="D657">
        <v>76733.48</v>
      </c>
    </row>
    <row r="658" spans="1:4" x14ac:dyDescent="0.25">
      <c r="A658" s="1">
        <v>45538</v>
      </c>
      <c r="B658" t="s">
        <v>551</v>
      </c>
      <c r="C658">
        <v>-182.11</v>
      </c>
      <c r="D658">
        <v>76551.37</v>
      </c>
    </row>
    <row r="659" spans="1:4" x14ac:dyDescent="0.25">
      <c r="A659" s="1">
        <v>45538</v>
      </c>
      <c r="B659" t="s">
        <v>552</v>
      </c>
      <c r="C659">
        <v>-34.950000000000003</v>
      </c>
      <c r="D659">
        <v>76516.42</v>
      </c>
    </row>
    <row r="660" spans="1:4" x14ac:dyDescent="0.25">
      <c r="A660" s="1">
        <v>45538</v>
      </c>
      <c r="B660" t="s">
        <v>553</v>
      </c>
      <c r="C660">
        <v>-133.94</v>
      </c>
      <c r="D660">
        <v>76382.48</v>
      </c>
    </row>
    <row r="661" spans="1:4" x14ac:dyDescent="0.25">
      <c r="A661" s="1">
        <v>45538</v>
      </c>
      <c r="B661" t="s">
        <v>554</v>
      </c>
      <c r="C661">
        <v>-49.71</v>
      </c>
      <c r="D661">
        <v>76332.77</v>
      </c>
    </row>
    <row r="662" spans="1:4" x14ac:dyDescent="0.25">
      <c r="A662" s="1">
        <v>45538</v>
      </c>
      <c r="B662" t="s">
        <v>555</v>
      </c>
      <c r="C662">
        <v>-274.13</v>
      </c>
      <c r="D662">
        <v>76058.64</v>
      </c>
    </row>
    <row r="663" spans="1:4" x14ac:dyDescent="0.25">
      <c r="A663" s="1">
        <v>45538</v>
      </c>
      <c r="B663" t="s">
        <v>556</v>
      </c>
      <c r="C663">
        <v>-4801</v>
      </c>
      <c r="D663">
        <v>71257.64</v>
      </c>
    </row>
    <row r="664" spans="1:4" x14ac:dyDescent="0.25">
      <c r="A664" s="1">
        <v>45538</v>
      </c>
      <c r="B664" t="s">
        <v>557</v>
      </c>
      <c r="C664">
        <v>-105.29</v>
      </c>
      <c r="D664">
        <v>71152.350000000006</v>
      </c>
    </row>
    <row r="665" spans="1:4" x14ac:dyDescent="0.25">
      <c r="A665" s="1">
        <v>45538</v>
      </c>
      <c r="B665" t="s">
        <v>308</v>
      </c>
      <c r="C665">
        <v>-691.83</v>
      </c>
      <c r="D665">
        <v>70460.52</v>
      </c>
    </row>
    <row r="666" spans="1:4" x14ac:dyDescent="0.25">
      <c r="A666" s="1">
        <v>45538</v>
      </c>
      <c r="B666" t="s">
        <v>308</v>
      </c>
      <c r="C666">
        <v>-226.7</v>
      </c>
      <c r="D666">
        <v>70233.820000000007</v>
      </c>
    </row>
    <row r="667" spans="1:4" x14ac:dyDescent="0.25">
      <c r="A667" s="1">
        <v>45538</v>
      </c>
      <c r="B667" t="s">
        <v>558</v>
      </c>
      <c r="C667">
        <v>-33</v>
      </c>
      <c r="D667">
        <v>70200.820000000007</v>
      </c>
    </row>
    <row r="668" spans="1:4" x14ac:dyDescent="0.25">
      <c r="A668" s="1">
        <v>45538</v>
      </c>
      <c r="B668" t="s">
        <v>559</v>
      </c>
      <c r="C668">
        <v>-10</v>
      </c>
      <c r="D668">
        <v>70190.820000000007</v>
      </c>
    </row>
    <row r="669" spans="1:4" x14ac:dyDescent="0.25">
      <c r="A669" s="1">
        <v>45539</v>
      </c>
      <c r="B669" t="s">
        <v>308</v>
      </c>
      <c r="C669">
        <v>517</v>
      </c>
      <c r="D669">
        <v>70707.820000000007</v>
      </c>
    </row>
    <row r="670" spans="1:4" x14ac:dyDescent="0.25">
      <c r="A670" s="1">
        <v>45539</v>
      </c>
      <c r="B670" t="s">
        <v>560</v>
      </c>
      <c r="C670">
        <v>-27.55</v>
      </c>
      <c r="D670">
        <v>70680.27</v>
      </c>
    </row>
    <row r="671" spans="1:4" x14ac:dyDescent="0.25">
      <c r="A671" s="1">
        <v>45539</v>
      </c>
      <c r="B671" t="s">
        <v>561</v>
      </c>
      <c r="C671">
        <v>-250.6</v>
      </c>
      <c r="D671">
        <v>70429.67</v>
      </c>
    </row>
    <row r="672" spans="1:4" x14ac:dyDescent="0.25">
      <c r="A672" s="1">
        <v>45539</v>
      </c>
      <c r="B672" t="s">
        <v>562</v>
      </c>
      <c r="C672">
        <v>-251.75</v>
      </c>
      <c r="D672">
        <v>70177.919999999998</v>
      </c>
    </row>
    <row r="673" spans="1:4" x14ac:dyDescent="0.25">
      <c r="A673" s="1">
        <v>45539</v>
      </c>
      <c r="B673" t="s">
        <v>110</v>
      </c>
      <c r="C673">
        <v>-50</v>
      </c>
      <c r="D673">
        <v>70127.92</v>
      </c>
    </row>
    <row r="674" spans="1:4" x14ac:dyDescent="0.25">
      <c r="A674" s="1">
        <v>45539</v>
      </c>
      <c r="B674" t="s">
        <v>563</v>
      </c>
      <c r="C674">
        <v>-1</v>
      </c>
      <c r="D674">
        <v>70126.92</v>
      </c>
    </row>
    <row r="675" spans="1:4" x14ac:dyDescent="0.25">
      <c r="A675" s="1">
        <v>45540</v>
      </c>
      <c r="B675" t="s">
        <v>308</v>
      </c>
      <c r="C675">
        <v>12268</v>
      </c>
      <c r="D675">
        <v>82394.92</v>
      </c>
    </row>
    <row r="676" spans="1:4" x14ac:dyDescent="0.25">
      <c r="A676" s="1">
        <v>45540</v>
      </c>
      <c r="B676" t="s">
        <v>564</v>
      </c>
      <c r="C676">
        <v>-2115.81</v>
      </c>
      <c r="D676">
        <v>80279.11</v>
      </c>
    </row>
    <row r="677" spans="1:4" x14ac:dyDescent="0.25">
      <c r="A677" s="1">
        <v>45540</v>
      </c>
      <c r="B677" t="s">
        <v>565</v>
      </c>
      <c r="C677">
        <v>-100</v>
      </c>
      <c r="D677">
        <v>80179.11</v>
      </c>
    </row>
    <row r="678" spans="1:4" x14ac:dyDescent="0.25">
      <c r="A678" s="1">
        <v>45541</v>
      </c>
      <c r="B678" t="s">
        <v>308</v>
      </c>
      <c r="C678">
        <v>99</v>
      </c>
      <c r="D678">
        <v>80278.11</v>
      </c>
    </row>
    <row r="679" spans="1:4" x14ac:dyDescent="0.25">
      <c r="A679" s="1">
        <v>45541</v>
      </c>
      <c r="B679" t="s">
        <v>566</v>
      </c>
      <c r="C679">
        <v>-35.46</v>
      </c>
      <c r="D679">
        <v>80242.649999999994</v>
      </c>
    </row>
    <row r="680" spans="1:4" x14ac:dyDescent="0.25">
      <c r="A680" s="1">
        <v>45541</v>
      </c>
      <c r="B680" t="s">
        <v>567</v>
      </c>
      <c r="C680">
        <v>-126.56</v>
      </c>
      <c r="D680">
        <v>80116.09</v>
      </c>
    </row>
    <row r="681" spans="1:4" x14ac:dyDescent="0.25">
      <c r="A681" s="1">
        <v>45541</v>
      </c>
      <c r="B681" t="s">
        <v>568</v>
      </c>
      <c r="C681">
        <v>-119.14</v>
      </c>
      <c r="D681">
        <v>79996.95</v>
      </c>
    </row>
    <row r="682" spans="1:4" x14ac:dyDescent="0.25">
      <c r="A682" s="1">
        <v>45541</v>
      </c>
      <c r="B682" t="s">
        <v>569</v>
      </c>
      <c r="C682">
        <v>-1500</v>
      </c>
      <c r="D682">
        <v>78496.95</v>
      </c>
    </row>
    <row r="683" spans="1:4" x14ac:dyDescent="0.25">
      <c r="A683" s="1">
        <v>45541</v>
      </c>
      <c r="B683" t="s">
        <v>570</v>
      </c>
      <c r="C683">
        <v>-23601.119999999999</v>
      </c>
      <c r="D683">
        <v>54895.83</v>
      </c>
    </row>
    <row r="684" spans="1:4" x14ac:dyDescent="0.25">
      <c r="A684" s="1">
        <v>45541</v>
      </c>
      <c r="B684" t="s">
        <v>571</v>
      </c>
      <c r="C684">
        <v>-6068.24</v>
      </c>
      <c r="D684">
        <v>48827.59</v>
      </c>
    </row>
    <row r="685" spans="1:4" x14ac:dyDescent="0.25">
      <c r="A685" s="1">
        <v>45541</v>
      </c>
      <c r="B685" t="s">
        <v>572</v>
      </c>
      <c r="C685">
        <v>-124.78</v>
      </c>
      <c r="D685">
        <v>48702.81</v>
      </c>
    </row>
    <row r="686" spans="1:4" x14ac:dyDescent="0.25">
      <c r="A686" s="1">
        <v>45541</v>
      </c>
      <c r="B686" t="s">
        <v>573</v>
      </c>
      <c r="C686">
        <v>-16</v>
      </c>
      <c r="D686">
        <v>48686.81</v>
      </c>
    </row>
    <row r="687" spans="1:4" x14ac:dyDescent="0.25">
      <c r="A687" s="1">
        <v>45541</v>
      </c>
      <c r="B687" t="s">
        <v>574</v>
      </c>
      <c r="C687">
        <v>-1</v>
      </c>
      <c r="D687">
        <v>48685.81</v>
      </c>
    </row>
    <row r="688" spans="1:4" x14ac:dyDescent="0.25">
      <c r="A688" s="1">
        <v>45544</v>
      </c>
      <c r="B688" t="s">
        <v>575</v>
      </c>
      <c r="C688">
        <v>19333</v>
      </c>
      <c r="D688">
        <v>68018.81</v>
      </c>
    </row>
    <row r="689" spans="1:4" x14ac:dyDescent="0.25">
      <c r="A689" s="1">
        <v>45544</v>
      </c>
      <c r="B689" t="s">
        <v>576</v>
      </c>
      <c r="C689">
        <v>-12.57</v>
      </c>
      <c r="D689">
        <v>68006.240000000005</v>
      </c>
    </row>
    <row r="690" spans="1:4" x14ac:dyDescent="0.25">
      <c r="A690" s="1">
        <v>45544</v>
      </c>
      <c r="B690" t="s">
        <v>577</v>
      </c>
      <c r="C690">
        <v>-79</v>
      </c>
      <c r="D690">
        <v>67927.240000000005</v>
      </c>
    </row>
    <row r="691" spans="1:4" x14ac:dyDescent="0.25">
      <c r="A691" s="1">
        <v>45544</v>
      </c>
      <c r="B691" t="s">
        <v>578</v>
      </c>
      <c r="C691">
        <v>-42.05</v>
      </c>
      <c r="D691">
        <v>67885.19</v>
      </c>
    </row>
    <row r="692" spans="1:4" x14ac:dyDescent="0.25">
      <c r="A692" s="1">
        <v>45544</v>
      </c>
      <c r="B692" t="s">
        <v>579</v>
      </c>
      <c r="C692">
        <v>-48.39</v>
      </c>
      <c r="D692">
        <v>67836.800000000003</v>
      </c>
    </row>
    <row r="693" spans="1:4" x14ac:dyDescent="0.25">
      <c r="A693" s="1">
        <v>45544</v>
      </c>
      <c r="B693" t="s">
        <v>44</v>
      </c>
      <c r="C693">
        <v>-126.43</v>
      </c>
      <c r="D693">
        <v>67710.37</v>
      </c>
    </row>
    <row r="694" spans="1:4" x14ac:dyDescent="0.25">
      <c r="A694" s="1">
        <v>45545</v>
      </c>
      <c r="B694" t="s">
        <v>308</v>
      </c>
      <c r="C694">
        <v>180</v>
      </c>
      <c r="D694">
        <v>67890.37</v>
      </c>
    </row>
    <row r="695" spans="1:4" x14ac:dyDescent="0.25">
      <c r="A695" s="1">
        <v>45545</v>
      </c>
      <c r="B695" t="s">
        <v>580</v>
      </c>
      <c r="C695">
        <v>-383.41</v>
      </c>
      <c r="D695">
        <v>67506.960000000006</v>
      </c>
    </row>
    <row r="696" spans="1:4" x14ac:dyDescent="0.25">
      <c r="A696" s="1">
        <v>45546</v>
      </c>
      <c r="B696" t="s">
        <v>308</v>
      </c>
      <c r="C696">
        <v>132.06</v>
      </c>
      <c r="D696">
        <v>67639.02</v>
      </c>
    </row>
    <row r="697" spans="1:4" x14ac:dyDescent="0.25">
      <c r="A697" s="1">
        <v>45547</v>
      </c>
      <c r="B697" t="s">
        <v>308</v>
      </c>
      <c r="C697">
        <v>1973</v>
      </c>
      <c r="D697">
        <v>69612.02</v>
      </c>
    </row>
    <row r="698" spans="1:4" x14ac:dyDescent="0.25">
      <c r="A698" s="1">
        <v>45547</v>
      </c>
      <c r="B698" t="s">
        <v>581</v>
      </c>
      <c r="C698">
        <v>-2053.2199999999998</v>
      </c>
      <c r="D698">
        <v>67558.8</v>
      </c>
    </row>
    <row r="699" spans="1:4" x14ac:dyDescent="0.25">
      <c r="A699" s="1">
        <v>45547</v>
      </c>
      <c r="B699" t="s">
        <v>581</v>
      </c>
      <c r="C699">
        <v>-2053.17</v>
      </c>
      <c r="D699">
        <v>65505.63</v>
      </c>
    </row>
    <row r="700" spans="1:4" x14ac:dyDescent="0.25">
      <c r="A700" s="1">
        <v>45547</v>
      </c>
      <c r="B700" t="s">
        <v>582</v>
      </c>
      <c r="C700">
        <v>-397.91</v>
      </c>
      <c r="D700">
        <v>65107.72</v>
      </c>
    </row>
    <row r="701" spans="1:4" x14ac:dyDescent="0.25">
      <c r="A701" s="1">
        <v>45548</v>
      </c>
      <c r="B701" t="s">
        <v>308</v>
      </c>
      <c r="C701">
        <v>9746.6</v>
      </c>
      <c r="D701">
        <v>74854.320000000007</v>
      </c>
    </row>
    <row r="702" spans="1:4" x14ac:dyDescent="0.25">
      <c r="A702" s="1">
        <v>45548</v>
      </c>
      <c r="B702" t="s">
        <v>583</v>
      </c>
      <c r="C702">
        <v>-35.29</v>
      </c>
      <c r="D702">
        <v>74819.03</v>
      </c>
    </row>
    <row r="703" spans="1:4" x14ac:dyDescent="0.25">
      <c r="A703" s="1">
        <v>45548</v>
      </c>
      <c r="B703" t="s">
        <v>584</v>
      </c>
      <c r="C703">
        <v>-913.14</v>
      </c>
      <c r="D703">
        <v>73905.89</v>
      </c>
    </row>
    <row r="704" spans="1:4" x14ac:dyDescent="0.25">
      <c r="A704" s="1">
        <v>45548</v>
      </c>
      <c r="B704" t="s">
        <v>585</v>
      </c>
      <c r="C704">
        <v>-370</v>
      </c>
      <c r="D704">
        <v>73535.89</v>
      </c>
    </row>
    <row r="705" spans="1:4" x14ac:dyDescent="0.25">
      <c r="A705" s="1">
        <v>45551</v>
      </c>
      <c r="B705" t="s">
        <v>586</v>
      </c>
      <c r="C705">
        <v>13643</v>
      </c>
      <c r="D705">
        <v>87178.89</v>
      </c>
    </row>
    <row r="706" spans="1:4" x14ac:dyDescent="0.25">
      <c r="A706" s="1">
        <v>45551</v>
      </c>
      <c r="B706" t="s">
        <v>188</v>
      </c>
      <c r="C706">
        <v>1015.43</v>
      </c>
      <c r="D706">
        <v>88194.32</v>
      </c>
    </row>
    <row r="707" spans="1:4" x14ac:dyDescent="0.25">
      <c r="A707" s="1">
        <v>45551</v>
      </c>
      <c r="B707" t="s">
        <v>587</v>
      </c>
      <c r="C707">
        <v>-274.13</v>
      </c>
      <c r="D707">
        <v>87920.19</v>
      </c>
    </row>
    <row r="708" spans="1:4" x14ac:dyDescent="0.25">
      <c r="A708" s="1">
        <v>45551</v>
      </c>
      <c r="B708" t="s">
        <v>588</v>
      </c>
      <c r="C708">
        <v>-410.49</v>
      </c>
      <c r="D708">
        <v>87509.7</v>
      </c>
    </row>
    <row r="709" spans="1:4" x14ac:dyDescent="0.25">
      <c r="A709" s="1">
        <v>45551</v>
      </c>
      <c r="B709" t="s">
        <v>589</v>
      </c>
      <c r="C709">
        <v>-106.24</v>
      </c>
      <c r="D709">
        <v>87403.46</v>
      </c>
    </row>
    <row r="710" spans="1:4" x14ac:dyDescent="0.25">
      <c r="A710" s="1">
        <v>45551</v>
      </c>
      <c r="B710" t="s">
        <v>590</v>
      </c>
      <c r="C710">
        <v>-82.53</v>
      </c>
      <c r="D710">
        <v>87320.93</v>
      </c>
    </row>
    <row r="711" spans="1:4" x14ac:dyDescent="0.25">
      <c r="A711" s="1">
        <v>45551</v>
      </c>
      <c r="B711" t="s">
        <v>591</v>
      </c>
      <c r="C711">
        <v>-307.45</v>
      </c>
      <c r="D711">
        <v>87013.48</v>
      </c>
    </row>
    <row r="712" spans="1:4" x14ac:dyDescent="0.25">
      <c r="A712" s="1">
        <v>45552</v>
      </c>
      <c r="B712" t="s">
        <v>592</v>
      </c>
      <c r="C712">
        <v>-1200</v>
      </c>
      <c r="D712">
        <v>85813.48</v>
      </c>
    </row>
    <row r="713" spans="1:4" x14ac:dyDescent="0.25">
      <c r="A713" s="1">
        <v>45552</v>
      </c>
      <c r="B713" t="s">
        <v>593</v>
      </c>
      <c r="C713">
        <v>-52.93</v>
      </c>
      <c r="D713">
        <v>85760.55</v>
      </c>
    </row>
    <row r="714" spans="1:4" x14ac:dyDescent="0.25">
      <c r="A714" s="1">
        <v>45553</v>
      </c>
      <c r="B714" t="s">
        <v>594</v>
      </c>
      <c r="C714">
        <v>-230.29</v>
      </c>
      <c r="D714">
        <v>85530.26</v>
      </c>
    </row>
    <row r="715" spans="1:4" x14ac:dyDescent="0.25">
      <c r="A715" s="1">
        <v>45553</v>
      </c>
      <c r="B715" t="s">
        <v>595</v>
      </c>
      <c r="C715">
        <v>-57.1</v>
      </c>
      <c r="D715">
        <v>85473.16</v>
      </c>
    </row>
    <row r="716" spans="1:4" x14ac:dyDescent="0.25">
      <c r="A716" s="1">
        <v>45553</v>
      </c>
      <c r="B716" t="s">
        <v>596</v>
      </c>
      <c r="C716">
        <v>-1260.4100000000001</v>
      </c>
      <c r="D716">
        <v>84212.75</v>
      </c>
    </row>
    <row r="717" spans="1:4" x14ac:dyDescent="0.25">
      <c r="A717" s="1">
        <v>45553</v>
      </c>
      <c r="B717" t="s">
        <v>597</v>
      </c>
      <c r="C717">
        <v>-456</v>
      </c>
      <c r="D717">
        <v>83756.75</v>
      </c>
    </row>
    <row r="718" spans="1:4" x14ac:dyDescent="0.25">
      <c r="A718" s="1">
        <v>45554</v>
      </c>
      <c r="B718" t="s">
        <v>598</v>
      </c>
      <c r="C718">
        <v>3577.74</v>
      </c>
      <c r="D718">
        <v>87334.49</v>
      </c>
    </row>
    <row r="719" spans="1:4" x14ac:dyDescent="0.25">
      <c r="A719" s="1">
        <v>45554</v>
      </c>
      <c r="B719" t="s">
        <v>308</v>
      </c>
      <c r="C719">
        <v>2959.14</v>
      </c>
      <c r="D719">
        <v>90293.63</v>
      </c>
    </row>
    <row r="720" spans="1:4" x14ac:dyDescent="0.25">
      <c r="A720" s="1">
        <v>45554</v>
      </c>
      <c r="B720" t="s">
        <v>599</v>
      </c>
      <c r="C720">
        <v>-309.95</v>
      </c>
      <c r="D720">
        <v>89983.679999999993</v>
      </c>
    </row>
    <row r="721" spans="1:4" x14ac:dyDescent="0.25">
      <c r="A721" s="1">
        <v>45554</v>
      </c>
      <c r="B721" t="s">
        <v>600</v>
      </c>
      <c r="C721">
        <v>-249.37</v>
      </c>
      <c r="D721">
        <v>89734.31</v>
      </c>
    </row>
    <row r="722" spans="1:4" x14ac:dyDescent="0.25">
      <c r="A722" s="1">
        <v>45554</v>
      </c>
      <c r="B722" t="s">
        <v>601</v>
      </c>
      <c r="C722">
        <v>-7200</v>
      </c>
      <c r="D722">
        <v>82534.31</v>
      </c>
    </row>
    <row r="723" spans="1:4" x14ac:dyDescent="0.25">
      <c r="A723" s="1">
        <v>45555</v>
      </c>
      <c r="B723" t="s">
        <v>188</v>
      </c>
      <c r="C723">
        <v>540.6</v>
      </c>
      <c r="D723">
        <v>83074.91</v>
      </c>
    </row>
    <row r="724" spans="1:4" x14ac:dyDescent="0.25">
      <c r="A724" s="1">
        <v>45555</v>
      </c>
      <c r="B724" t="s">
        <v>602</v>
      </c>
      <c r="C724">
        <v>220.14</v>
      </c>
      <c r="D724">
        <v>83295.05</v>
      </c>
    </row>
    <row r="725" spans="1:4" x14ac:dyDescent="0.25">
      <c r="A725" s="1">
        <v>45555</v>
      </c>
      <c r="B725" t="s">
        <v>603</v>
      </c>
      <c r="C725">
        <v>-523.59</v>
      </c>
      <c r="D725">
        <v>82771.460000000006</v>
      </c>
    </row>
    <row r="726" spans="1:4" x14ac:dyDescent="0.25">
      <c r="A726" s="1">
        <v>45555</v>
      </c>
      <c r="B726" t="s">
        <v>604</v>
      </c>
      <c r="C726">
        <v>-21641.34</v>
      </c>
      <c r="D726">
        <v>61130.12</v>
      </c>
    </row>
    <row r="727" spans="1:4" x14ac:dyDescent="0.25">
      <c r="A727" s="1">
        <v>45555</v>
      </c>
      <c r="B727" t="s">
        <v>605</v>
      </c>
      <c r="C727">
        <v>-4526.33</v>
      </c>
      <c r="D727">
        <v>56603.79</v>
      </c>
    </row>
    <row r="728" spans="1:4" x14ac:dyDescent="0.25">
      <c r="A728" s="1">
        <v>45555</v>
      </c>
      <c r="B728" t="s">
        <v>606</v>
      </c>
      <c r="C728">
        <v>-91.57</v>
      </c>
      <c r="D728">
        <v>56512.22</v>
      </c>
    </row>
    <row r="729" spans="1:4" x14ac:dyDescent="0.25">
      <c r="A729" s="1">
        <v>45555</v>
      </c>
      <c r="B729" t="s">
        <v>607</v>
      </c>
      <c r="C729">
        <v>-18</v>
      </c>
      <c r="D729">
        <v>56494.22</v>
      </c>
    </row>
    <row r="730" spans="1:4" x14ac:dyDescent="0.25">
      <c r="A730" s="1">
        <v>45558</v>
      </c>
      <c r="B730" t="s">
        <v>608</v>
      </c>
      <c r="C730">
        <v>10254</v>
      </c>
      <c r="D730">
        <v>66748.22</v>
      </c>
    </row>
    <row r="731" spans="1:4" x14ac:dyDescent="0.25">
      <c r="A731" s="1">
        <v>45558</v>
      </c>
      <c r="B731" t="s">
        <v>609</v>
      </c>
      <c r="C731">
        <v>-37.18</v>
      </c>
      <c r="D731">
        <v>66711.039999999994</v>
      </c>
    </row>
    <row r="732" spans="1:4" x14ac:dyDescent="0.25">
      <c r="A732" s="1">
        <v>45558</v>
      </c>
      <c r="B732" t="s">
        <v>610</v>
      </c>
      <c r="C732">
        <v>-162.56</v>
      </c>
      <c r="D732">
        <v>66548.479999999996</v>
      </c>
    </row>
    <row r="733" spans="1:4" x14ac:dyDescent="0.25">
      <c r="A733" s="1">
        <v>45559</v>
      </c>
      <c r="B733" t="s">
        <v>308</v>
      </c>
      <c r="C733">
        <v>79.849999999999994</v>
      </c>
      <c r="D733">
        <v>66628.33</v>
      </c>
    </row>
    <row r="734" spans="1:4" x14ac:dyDescent="0.25">
      <c r="A734" s="1">
        <v>45559</v>
      </c>
      <c r="B734" t="s">
        <v>611</v>
      </c>
      <c r="C734">
        <v>-515.87</v>
      </c>
      <c r="D734">
        <v>66112.460000000006</v>
      </c>
    </row>
    <row r="735" spans="1:4" x14ac:dyDescent="0.25">
      <c r="A735" s="1">
        <v>45559</v>
      </c>
      <c r="B735" t="s">
        <v>110</v>
      </c>
      <c r="C735">
        <v>-50</v>
      </c>
      <c r="D735">
        <v>66062.460000000006</v>
      </c>
    </row>
    <row r="736" spans="1:4" x14ac:dyDescent="0.25">
      <c r="A736" s="1">
        <v>45560</v>
      </c>
      <c r="B736" t="s">
        <v>308</v>
      </c>
      <c r="C736">
        <v>322.02</v>
      </c>
      <c r="D736">
        <v>66384.479999999996</v>
      </c>
    </row>
    <row r="737" spans="1:4" x14ac:dyDescent="0.25">
      <c r="A737" s="1">
        <v>45560</v>
      </c>
      <c r="B737" t="s">
        <v>612</v>
      </c>
      <c r="C737">
        <v>-31.2</v>
      </c>
      <c r="D737">
        <v>66353.279999999999</v>
      </c>
    </row>
    <row r="738" spans="1:4" x14ac:dyDescent="0.25">
      <c r="A738" s="1">
        <v>45561</v>
      </c>
      <c r="B738" t="s">
        <v>308</v>
      </c>
      <c r="C738">
        <v>16825</v>
      </c>
      <c r="D738">
        <v>83178.28</v>
      </c>
    </row>
    <row r="739" spans="1:4" x14ac:dyDescent="0.25">
      <c r="A739" s="1">
        <v>45561</v>
      </c>
      <c r="B739" t="s">
        <v>613</v>
      </c>
      <c r="C739">
        <v>-202.73</v>
      </c>
      <c r="D739">
        <v>82975.55</v>
      </c>
    </row>
    <row r="740" spans="1:4" x14ac:dyDescent="0.25">
      <c r="A740" s="1">
        <v>45561</v>
      </c>
      <c r="B740" t="s">
        <v>614</v>
      </c>
      <c r="C740">
        <v>-1445</v>
      </c>
      <c r="D740">
        <v>81530.55</v>
      </c>
    </row>
    <row r="741" spans="1:4" x14ac:dyDescent="0.25">
      <c r="A741" s="1">
        <v>45561</v>
      </c>
      <c r="B741" t="s">
        <v>615</v>
      </c>
      <c r="C741">
        <v>-424.2</v>
      </c>
      <c r="D741">
        <v>81106.350000000006</v>
      </c>
    </row>
    <row r="742" spans="1:4" x14ac:dyDescent="0.25">
      <c r="A742" s="1">
        <v>45562</v>
      </c>
      <c r="B742" t="s">
        <v>22</v>
      </c>
      <c r="C742">
        <v>2558.79</v>
      </c>
      <c r="D742">
        <v>83665.14</v>
      </c>
    </row>
    <row r="743" spans="1:4" x14ac:dyDescent="0.25">
      <c r="A743" s="1">
        <v>45562</v>
      </c>
      <c r="B743" t="s">
        <v>616</v>
      </c>
      <c r="C743">
        <v>-531.32000000000005</v>
      </c>
      <c r="D743">
        <v>83133.820000000007</v>
      </c>
    </row>
    <row r="744" spans="1:4" x14ac:dyDescent="0.25">
      <c r="A744" s="1">
        <v>45562</v>
      </c>
      <c r="B744" t="s">
        <v>617</v>
      </c>
      <c r="C744">
        <v>-354.57</v>
      </c>
      <c r="D744">
        <v>82779.25</v>
      </c>
    </row>
    <row r="745" spans="1:4" x14ac:dyDescent="0.25">
      <c r="A745" s="1">
        <v>45562</v>
      </c>
      <c r="B745" t="s">
        <v>618</v>
      </c>
      <c r="C745">
        <v>-5114.5</v>
      </c>
      <c r="D745">
        <v>77664.75</v>
      </c>
    </row>
    <row r="746" spans="1:4" x14ac:dyDescent="0.25">
      <c r="A746" s="1">
        <v>45562</v>
      </c>
      <c r="B746" t="s">
        <v>619</v>
      </c>
      <c r="C746">
        <v>-14.99</v>
      </c>
      <c r="D746">
        <v>77649.759999999995</v>
      </c>
    </row>
    <row r="747" spans="1:4" x14ac:dyDescent="0.25">
      <c r="A747" s="1">
        <v>45562</v>
      </c>
      <c r="B747" t="s">
        <v>620</v>
      </c>
      <c r="C747">
        <v>-982.16</v>
      </c>
      <c r="D747">
        <v>76667.600000000006</v>
      </c>
    </row>
    <row r="748" spans="1:4" x14ac:dyDescent="0.25">
      <c r="A748" s="1">
        <v>45562</v>
      </c>
      <c r="B748" t="s">
        <v>621</v>
      </c>
      <c r="C748">
        <v>-126</v>
      </c>
      <c r="D748">
        <v>76541.600000000006</v>
      </c>
    </row>
    <row r="749" spans="1:4" x14ac:dyDescent="0.25">
      <c r="A749" s="1">
        <v>45565</v>
      </c>
      <c r="B749" t="s">
        <v>622</v>
      </c>
      <c r="C749">
        <v>18404</v>
      </c>
      <c r="D749">
        <v>94945.600000000006</v>
      </c>
    </row>
    <row r="750" spans="1:4" x14ac:dyDescent="0.25">
      <c r="A750" s="1">
        <v>45565</v>
      </c>
      <c r="B750" t="s">
        <v>308</v>
      </c>
      <c r="C750">
        <v>1223.5</v>
      </c>
      <c r="D750">
        <v>96169.1</v>
      </c>
    </row>
    <row r="751" spans="1:4" x14ac:dyDescent="0.25">
      <c r="A751" s="1">
        <v>45565</v>
      </c>
      <c r="B751" t="s">
        <v>188</v>
      </c>
      <c r="C751">
        <v>97.12</v>
      </c>
      <c r="D751">
        <v>96266.22</v>
      </c>
    </row>
    <row r="752" spans="1:4" x14ac:dyDescent="0.25">
      <c r="A752" s="1">
        <v>45565</v>
      </c>
      <c r="B752" t="s">
        <v>623</v>
      </c>
      <c r="C752">
        <v>-147.69</v>
      </c>
      <c r="D752">
        <v>96118.53</v>
      </c>
    </row>
    <row r="753" spans="1:4" x14ac:dyDescent="0.25">
      <c r="A753" s="1">
        <v>45565</v>
      </c>
      <c r="B753" t="s">
        <v>624</v>
      </c>
      <c r="C753">
        <v>-44.61</v>
      </c>
      <c r="D753">
        <v>96073.919999999998</v>
      </c>
    </row>
    <row r="754" spans="1:4" x14ac:dyDescent="0.25">
      <c r="A754" s="1">
        <v>45565</v>
      </c>
      <c r="B754" t="s">
        <v>625</v>
      </c>
      <c r="C754">
        <v>-20.53</v>
      </c>
      <c r="D754">
        <v>96053.39</v>
      </c>
    </row>
    <row r="755" spans="1:4" x14ac:dyDescent="0.25">
      <c r="A755" s="1">
        <v>45565</v>
      </c>
      <c r="B755" t="s">
        <v>626</v>
      </c>
      <c r="C755">
        <v>-976</v>
      </c>
      <c r="D755">
        <v>95077.39</v>
      </c>
    </row>
    <row r="756" spans="1:4" x14ac:dyDescent="0.25">
      <c r="A756" s="1">
        <v>45565</v>
      </c>
      <c r="B756" t="s">
        <v>627</v>
      </c>
      <c r="C756">
        <v>-849</v>
      </c>
      <c r="D756">
        <v>94228.39</v>
      </c>
    </row>
    <row r="757" spans="1:4" x14ac:dyDescent="0.25">
      <c r="A757" s="1">
        <v>45565</v>
      </c>
      <c r="B757" t="s">
        <v>628</v>
      </c>
      <c r="C757">
        <v>-91.44</v>
      </c>
      <c r="D757">
        <v>94136.95</v>
      </c>
    </row>
    <row r="758" spans="1:4" x14ac:dyDescent="0.25">
      <c r="A758" s="1">
        <v>45565</v>
      </c>
      <c r="B758" t="s">
        <v>629</v>
      </c>
      <c r="C758">
        <v>-28.19</v>
      </c>
      <c r="D758">
        <v>94108.76</v>
      </c>
    </row>
    <row r="759" spans="1:4" x14ac:dyDescent="0.25">
      <c r="A759" s="1">
        <v>45566</v>
      </c>
      <c r="B759" t="s">
        <v>308</v>
      </c>
      <c r="C759">
        <v>99</v>
      </c>
      <c r="D759">
        <v>94207.76</v>
      </c>
    </row>
    <row r="760" spans="1:4" x14ac:dyDescent="0.25">
      <c r="A760" s="1">
        <v>45566</v>
      </c>
      <c r="B760" t="s">
        <v>630</v>
      </c>
      <c r="C760">
        <v>-258.04000000000002</v>
      </c>
      <c r="D760">
        <v>93949.72</v>
      </c>
    </row>
    <row r="761" spans="1:4" x14ac:dyDescent="0.25">
      <c r="A761" s="1">
        <v>45566</v>
      </c>
      <c r="B761" t="s">
        <v>631</v>
      </c>
      <c r="C761">
        <v>-4801</v>
      </c>
      <c r="D761">
        <v>89148.72</v>
      </c>
    </row>
    <row r="762" spans="1:4" x14ac:dyDescent="0.25">
      <c r="A762" s="1">
        <v>45566</v>
      </c>
      <c r="B762" t="s">
        <v>308</v>
      </c>
      <c r="C762">
        <v>-1573.87</v>
      </c>
      <c r="D762">
        <v>87574.85</v>
      </c>
    </row>
    <row r="763" spans="1:4" x14ac:dyDescent="0.25">
      <c r="A763" s="1">
        <v>45567</v>
      </c>
      <c r="B763" t="s">
        <v>188</v>
      </c>
      <c r="C763">
        <v>127.53</v>
      </c>
      <c r="D763">
        <v>87702.38</v>
      </c>
    </row>
    <row r="764" spans="1:4" x14ac:dyDescent="0.25">
      <c r="A764" s="1">
        <v>45567</v>
      </c>
      <c r="B764" t="s">
        <v>632</v>
      </c>
      <c r="C764">
        <v>-22.95</v>
      </c>
      <c r="D764">
        <v>87679.43</v>
      </c>
    </row>
    <row r="765" spans="1:4" x14ac:dyDescent="0.25">
      <c r="A765" s="1">
        <v>45567</v>
      </c>
      <c r="B765" t="s">
        <v>633</v>
      </c>
      <c r="C765">
        <v>-455.02</v>
      </c>
      <c r="D765">
        <v>87224.41</v>
      </c>
    </row>
    <row r="766" spans="1:4" x14ac:dyDescent="0.25">
      <c r="A766" s="1">
        <v>45567</v>
      </c>
      <c r="B766" t="s">
        <v>634</v>
      </c>
      <c r="C766">
        <v>-8010</v>
      </c>
      <c r="D766">
        <v>79214.41</v>
      </c>
    </row>
    <row r="767" spans="1:4" x14ac:dyDescent="0.25">
      <c r="A767" s="1">
        <v>45567</v>
      </c>
      <c r="B767" t="s">
        <v>635</v>
      </c>
      <c r="C767">
        <v>-1200</v>
      </c>
      <c r="D767">
        <v>78014.41</v>
      </c>
    </row>
    <row r="768" spans="1:4" x14ac:dyDescent="0.25">
      <c r="A768" s="1">
        <v>45567</v>
      </c>
      <c r="B768" t="s">
        <v>636</v>
      </c>
      <c r="C768">
        <v>-433.73</v>
      </c>
      <c r="D768">
        <v>77580.679999999993</v>
      </c>
    </row>
    <row r="769" spans="1:4" x14ac:dyDescent="0.25">
      <c r="A769" s="1">
        <v>45567</v>
      </c>
      <c r="B769" t="s">
        <v>637</v>
      </c>
      <c r="C769">
        <v>-33</v>
      </c>
      <c r="D769">
        <v>77547.679999999993</v>
      </c>
    </row>
    <row r="770" spans="1:4" x14ac:dyDescent="0.25">
      <c r="A770" s="1">
        <v>45567</v>
      </c>
      <c r="B770" t="s">
        <v>638</v>
      </c>
      <c r="C770">
        <v>-1</v>
      </c>
      <c r="D770">
        <v>77546.679999999993</v>
      </c>
    </row>
    <row r="771" spans="1:4" x14ac:dyDescent="0.25">
      <c r="A771" s="1">
        <v>45568</v>
      </c>
      <c r="B771" t="s">
        <v>639</v>
      </c>
      <c r="C771">
        <v>6167</v>
      </c>
      <c r="D771">
        <v>83713.679999999993</v>
      </c>
    </row>
    <row r="772" spans="1:4" x14ac:dyDescent="0.25">
      <c r="A772" s="1">
        <v>45568</v>
      </c>
      <c r="B772" t="s">
        <v>640</v>
      </c>
      <c r="C772">
        <v>4405</v>
      </c>
      <c r="D772">
        <v>88118.68</v>
      </c>
    </row>
    <row r="773" spans="1:4" x14ac:dyDescent="0.25">
      <c r="A773" s="1">
        <v>45568</v>
      </c>
      <c r="B773" t="s">
        <v>308</v>
      </c>
      <c r="C773">
        <v>1244.3599999999999</v>
      </c>
      <c r="D773">
        <v>89363.04</v>
      </c>
    </row>
    <row r="774" spans="1:4" x14ac:dyDescent="0.25">
      <c r="A774" s="1">
        <v>45568</v>
      </c>
      <c r="B774" t="s">
        <v>641</v>
      </c>
      <c r="C774">
        <v>-250</v>
      </c>
      <c r="D774">
        <v>89113.04</v>
      </c>
    </row>
    <row r="775" spans="1:4" x14ac:dyDescent="0.25">
      <c r="A775" s="1">
        <v>45568</v>
      </c>
      <c r="B775" t="s">
        <v>642</v>
      </c>
      <c r="C775">
        <v>-35</v>
      </c>
      <c r="D775">
        <v>89078.04</v>
      </c>
    </row>
    <row r="776" spans="1:4" x14ac:dyDescent="0.25">
      <c r="A776" s="1">
        <v>45568</v>
      </c>
      <c r="B776" t="s">
        <v>642</v>
      </c>
      <c r="C776">
        <v>-766.8</v>
      </c>
      <c r="D776">
        <v>88311.24</v>
      </c>
    </row>
    <row r="777" spans="1:4" x14ac:dyDescent="0.25">
      <c r="A777" s="1">
        <v>45568</v>
      </c>
      <c r="B777" t="s">
        <v>643</v>
      </c>
      <c r="C777">
        <v>-95.42</v>
      </c>
      <c r="D777">
        <v>88215.82</v>
      </c>
    </row>
    <row r="778" spans="1:4" x14ac:dyDescent="0.25">
      <c r="A778" s="1">
        <v>45569</v>
      </c>
      <c r="B778" t="s">
        <v>644</v>
      </c>
      <c r="C778">
        <v>-34.25</v>
      </c>
      <c r="D778">
        <v>88181.57</v>
      </c>
    </row>
    <row r="779" spans="1:4" x14ac:dyDescent="0.25">
      <c r="A779" s="1">
        <v>45569</v>
      </c>
      <c r="B779" t="s">
        <v>645</v>
      </c>
      <c r="C779">
        <v>-148.41</v>
      </c>
      <c r="D779">
        <v>88033.16</v>
      </c>
    </row>
    <row r="780" spans="1:4" x14ac:dyDescent="0.25">
      <c r="A780" s="1">
        <v>45569</v>
      </c>
      <c r="B780" t="s">
        <v>646</v>
      </c>
      <c r="C780">
        <v>-274.13</v>
      </c>
      <c r="D780">
        <v>87759.03</v>
      </c>
    </row>
    <row r="781" spans="1:4" x14ac:dyDescent="0.25">
      <c r="A781" s="1">
        <v>45569</v>
      </c>
      <c r="B781" t="s">
        <v>647</v>
      </c>
      <c r="C781">
        <v>-250.86</v>
      </c>
      <c r="D781">
        <v>87508.17</v>
      </c>
    </row>
    <row r="782" spans="1:4" x14ac:dyDescent="0.25">
      <c r="A782" s="1">
        <v>45569</v>
      </c>
      <c r="B782" t="s">
        <v>648</v>
      </c>
      <c r="C782">
        <v>-37537.53</v>
      </c>
      <c r="D782">
        <v>49970.64</v>
      </c>
    </row>
    <row r="783" spans="1:4" x14ac:dyDescent="0.25">
      <c r="A783" s="1">
        <v>45569</v>
      </c>
      <c r="B783" t="s">
        <v>649</v>
      </c>
      <c r="C783">
        <v>-7809.87</v>
      </c>
      <c r="D783">
        <v>42160.77</v>
      </c>
    </row>
    <row r="784" spans="1:4" x14ac:dyDescent="0.25">
      <c r="A784" s="1">
        <v>45569</v>
      </c>
      <c r="B784" t="s">
        <v>650</v>
      </c>
      <c r="C784">
        <v>-189</v>
      </c>
      <c r="D784">
        <v>41971.77</v>
      </c>
    </row>
    <row r="785" spans="1:4" x14ac:dyDescent="0.25">
      <c r="A785" s="1">
        <v>45569</v>
      </c>
      <c r="B785" t="s">
        <v>651</v>
      </c>
      <c r="C785">
        <v>-18</v>
      </c>
      <c r="D785">
        <v>41953.77</v>
      </c>
    </row>
    <row r="786" spans="1:4" x14ac:dyDescent="0.25">
      <c r="A786" s="1">
        <v>45572</v>
      </c>
      <c r="B786" t="s">
        <v>308</v>
      </c>
      <c r="C786">
        <v>23705.26</v>
      </c>
      <c r="D786">
        <v>65659.03</v>
      </c>
    </row>
    <row r="787" spans="1:4" x14ac:dyDescent="0.25">
      <c r="A787" s="1">
        <v>45572</v>
      </c>
      <c r="B787" t="s">
        <v>652</v>
      </c>
      <c r="C787">
        <v>4397.3</v>
      </c>
      <c r="D787">
        <v>70056.33</v>
      </c>
    </row>
    <row r="788" spans="1:4" x14ac:dyDescent="0.25">
      <c r="A788" s="1">
        <v>45572</v>
      </c>
      <c r="B788" t="s">
        <v>653</v>
      </c>
      <c r="C788">
        <v>-171.22</v>
      </c>
      <c r="D788">
        <v>69885.11</v>
      </c>
    </row>
    <row r="789" spans="1:4" x14ac:dyDescent="0.25">
      <c r="A789" s="1">
        <v>45572</v>
      </c>
      <c r="B789" t="s">
        <v>44</v>
      </c>
      <c r="C789">
        <v>-126.43</v>
      </c>
      <c r="D789">
        <v>69758.679999999993</v>
      </c>
    </row>
    <row r="790" spans="1:4" x14ac:dyDescent="0.25">
      <c r="A790" s="1">
        <v>45573</v>
      </c>
      <c r="B790" t="s">
        <v>654</v>
      </c>
      <c r="C790">
        <v>-15.03</v>
      </c>
      <c r="D790">
        <v>69743.649999999994</v>
      </c>
    </row>
    <row r="791" spans="1:4" x14ac:dyDescent="0.25">
      <c r="A791" s="1">
        <v>45573</v>
      </c>
      <c r="B791" t="s">
        <v>655</v>
      </c>
      <c r="C791">
        <v>-42.05</v>
      </c>
      <c r="D791">
        <v>69701.600000000006</v>
      </c>
    </row>
    <row r="792" spans="1:4" x14ac:dyDescent="0.25">
      <c r="A792" s="1">
        <v>45573</v>
      </c>
      <c r="B792" t="s">
        <v>656</v>
      </c>
      <c r="C792">
        <v>-279.60000000000002</v>
      </c>
      <c r="D792">
        <v>69422</v>
      </c>
    </row>
    <row r="793" spans="1:4" x14ac:dyDescent="0.25">
      <c r="A793" s="1">
        <v>45574</v>
      </c>
      <c r="B793" t="s">
        <v>657</v>
      </c>
      <c r="C793">
        <v>89.99</v>
      </c>
      <c r="D793">
        <v>69511.990000000005</v>
      </c>
    </row>
    <row r="794" spans="1:4" x14ac:dyDescent="0.25">
      <c r="A794" s="1">
        <v>45574</v>
      </c>
      <c r="B794" t="s">
        <v>658</v>
      </c>
      <c r="C794">
        <v>3.33</v>
      </c>
      <c r="D794">
        <v>69515.320000000007</v>
      </c>
    </row>
    <row r="795" spans="1:4" x14ac:dyDescent="0.25">
      <c r="A795" s="1">
        <v>45574</v>
      </c>
      <c r="B795" t="s">
        <v>658</v>
      </c>
      <c r="C795">
        <v>2.02</v>
      </c>
      <c r="D795">
        <v>69517.34</v>
      </c>
    </row>
    <row r="796" spans="1:4" x14ac:dyDescent="0.25">
      <c r="A796" s="1">
        <v>45574</v>
      </c>
      <c r="B796" t="s">
        <v>658</v>
      </c>
      <c r="C796">
        <v>1.64</v>
      </c>
      <c r="D796">
        <v>69518.98</v>
      </c>
    </row>
    <row r="797" spans="1:4" x14ac:dyDescent="0.25">
      <c r="A797" s="1">
        <v>45574</v>
      </c>
      <c r="B797" t="s">
        <v>659</v>
      </c>
      <c r="C797">
        <v>-271.82</v>
      </c>
      <c r="D797">
        <v>69247.16</v>
      </c>
    </row>
    <row r="798" spans="1:4" x14ac:dyDescent="0.25">
      <c r="A798" s="1">
        <v>45574</v>
      </c>
      <c r="B798" t="s">
        <v>660</v>
      </c>
      <c r="C798">
        <v>-2476.88</v>
      </c>
      <c r="D798">
        <v>66770.28</v>
      </c>
    </row>
    <row r="799" spans="1:4" x14ac:dyDescent="0.25">
      <c r="A799" s="1">
        <v>45574</v>
      </c>
      <c r="B799" t="s">
        <v>661</v>
      </c>
      <c r="C799">
        <v>-73.64</v>
      </c>
      <c r="D799">
        <v>66696.639999999999</v>
      </c>
    </row>
    <row r="800" spans="1:4" x14ac:dyDescent="0.25">
      <c r="A800" s="1">
        <v>45574</v>
      </c>
      <c r="B800" t="s">
        <v>662</v>
      </c>
      <c r="C800">
        <v>-26.55</v>
      </c>
      <c r="D800">
        <v>66670.09</v>
      </c>
    </row>
    <row r="801" spans="1:5" x14ac:dyDescent="0.25">
      <c r="A801" s="1">
        <v>45575</v>
      </c>
      <c r="B801" t="s">
        <v>663</v>
      </c>
      <c r="C801">
        <v>-161.03</v>
      </c>
      <c r="D801">
        <v>66509.06</v>
      </c>
    </row>
    <row r="802" spans="1:5" x14ac:dyDescent="0.25">
      <c r="A802" s="1">
        <v>45576</v>
      </c>
      <c r="B802" t="s">
        <v>308</v>
      </c>
      <c r="C802">
        <v>1458</v>
      </c>
      <c r="D802">
        <v>67967.06</v>
      </c>
    </row>
    <row r="803" spans="1:5" x14ac:dyDescent="0.25">
      <c r="A803" s="1">
        <v>45576</v>
      </c>
      <c r="B803" t="s">
        <v>664</v>
      </c>
      <c r="C803">
        <v>-47.35</v>
      </c>
      <c r="D803">
        <v>67919.710000000006</v>
      </c>
    </row>
    <row r="804" spans="1:5" x14ac:dyDescent="0.25">
      <c r="A804" s="1">
        <v>45576</v>
      </c>
      <c r="B804" t="s">
        <v>665</v>
      </c>
      <c r="C804">
        <v>-380</v>
      </c>
      <c r="D804">
        <v>67539.710000000006</v>
      </c>
    </row>
    <row r="805" spans="1:5" x14ac:dyDescent="0.25">
      <c r="A805" s="1">
        <v>45580</v>
      </c>
      <c r="B805" t="s">
        <v>22</v>
      </c>
      <c r="C805">
        <v>25000</v>
      </c>
      <c r="D805">
        <v>92539.71</v>
      </c>
    </row>
    <row r="806" spans="1:5" x14ac:dyDescent="0.25">
      <c r="A806" s="1">
        <v>45580</v>
      </c>
      <c r="B806" t="s">
        <v>666</v>
      </c>
      <c r="C806">
        <v>10606</v>
      </c>
      <c r="D806">
        <v>103145.71</v>
      </c>
    </row>
    <row r="807" spans="1:5" x14ac:dyDescent="0.25">
      <c r="A807" s="1">
        <v>45580</v>
      </c>
      <c r="B807" t="s">
        <v>308</v>
      </c>
      <c r="C807">
        <v>1336</v>
      </c>
      <c r="D807">
        <v>104481.71</v>
      </c>
    </row>
    <row r="808" spans="1:5" x14ac:dyDescent="0.25">
      <c r="A808" s="1">
        <v>45580</v>
      </c>
      <c r="B808" t="s">
        <v>667</v>
      </c>
      <c r="C808">
        <v>-513.33000000000004</v>
      </c>
      <c r="D808">
        <v>103968.38</v>
      </c>
    </row>
    <row r="809" spans="1:5" x14ac:dyDescent="0.25">
      <c r="A809" s="1">
        <v>45580</v>
      </c>
      <c r="B809" t="s">
        <v>667</v>
      </c>
      <c r="C809">
        <v>-2566.5</v>
      </c>
      <c r="D809">
        <v>101401.88</v>
      </c>
    </row>
    <row r="810" spans="1:5" x14ac:dyDescent="0.25">
      <c r="A810" s="1">
        <v>45580</v>
      </c>
      <c r="B810" t="s">
        <v>667</v>
      </c>
      <c r="C810">
        <v>-1026.56</v>
      </c>
      <c r="D810">
        <v>100375.32</v>
      </c>
    </row>
    <row r="811" spans="1:5" x14ac:dyDescent="0.25">
      <c r="A811" s="1">
        <v>45580</v>
      </c>
      <c r="B811" t="s">
        <v>668</v>
      </c>
      <c r="C811">
        <v>-382.8</v>
      </c>
      <c r="D811">
        <v>99992.52</v>
      </c>
    </row>
    <row r="812" spans="1:5" x14ac:dyDescent="0.25">
      <c r="A812" s="1">
        <v>45580</v>
      </c>
      <c r="B812" t="s">
        <v>669</v>
      </c>
      <c r="C812">
        <v>-100</v>
      </c>
      <c r="D812">
        <v>99892.52</v>
      </c>
    </row>
    <row r="813" spans="1:5" x14ac:dyDescent="0.25">
      <c r="A813" s="1">
        <v>45580</v>
      </c>
      <c r="B813" t="s">
        <v>670</v>
      </c>
      <c r="C813" t="s">
        <v>671</v>
      </c>
      <c r="D813">
        <v>-1543.76</v>
      </c>
      <c r="E813">
        <v>98348.76</v>
      </c>
    </row>
    <row r="814" spans="1:5" x14ac:dyDescent="0.25">
      <c r="A814" s="1">
        <v>45580</v>
      </c>
      <c r="B814" t="s">
        <v>672</v>
      </c>
      <c r="C814">
        <v>-100</v>
      </c>
      <c r="D814">
        <v>98248.76</v>
      </c>
    </row>
    <row r="815" spans="1:5" x14ac:dyDescent="0.25">
      <c r="A815" s="1">
        <v>45580</v>
      </c>
      <c r="B815" t="s">
        <v>673</v>
      </c>
      <c r="C815">
        <v>-21.26</v>
      </c>
      <c r="D815">
        <v>98227.5</v>
      </c>
    </row>
    <row r="816" spans="1:5" x14ac:dyDescent="0.25">
      <c r="A816" s="1">
        <v>45581</v>
      </c>
      <c r="B816" t="s">
        <v>674</v>
      </c>
      <c r="C816">
        <v>-174.7</v>
      </c>
      <c r="D816">
        <v>98052.800000000003</v>
      </c>
    </row>
    <row r="817" spans="1:4" x14ac:dyDescent="0.25">
      <c r="A817" s="1">
        <v>45581</v>
      </c>
      <c r="B817" t="s">
        <v>675</v>
      </c>
      <c r="C817">
        <v>-1200</v>
      </c>
      <c r="D817">
        <v>96852.800000000003</v>
      </c>
    </row>
    <row r="818" spans="1:4" x14ac:dyDescent="0.25">
      <c r="A818" s="1">
        <v>45581</v>
      </c>
      <c r="B818" t="s">
        <v>676</v>
      </c>
      <c r="C818">
        <v>-52.92</v>
      </c>
      <c r="D818">
        <v>96799.88</v>
      </c>
    </row>
    <row r="819" spans="1:4" x14ac:dyDescent="0.25">
      <c r="A819" s="1">
        <v>45581</v>
      </c>
      <c r="B819" t="s">
        <v>110</v>
      </c>
      <c r="C819">
        <v>-50</v>
      </c>
      <c r="D819">
        <v>96749.88</v>
      </c>
    </row>
    <row r="820" spans="1:4" x14ac:dyDescent="0.25">
      <c r="A820" s="1">
        <v>45583</v>
      </c>
      <c r="B820" t="s">
        <v>677</v>
      </c>
      <c r="C820">
        <v>-217</v>
      </c>
      <c r="D820">
        <v>96532.88</v>
      </c>
    </row>
    <row r="821" spans="1:4" x14ac:dyDescent="0.25">
      <c r="A821" s="1">
        <v>45583</v>
      </c>
      <c r="B821" t="s">
        <v>678</v>
      </c>
      <c r="C821">
        <v>-85.05</v>
      </c>
      <c r="D821">
        <v>96447.83</v>
      </c>
    </row>
    <row r="822" spans="1:4" x14ac:dyDescent="0.25">
      <c r="A822" s="1">
        <v>45583</v>
      </c>
      <c r="B822" t="s">
        <v>679</v>
      </c>
      <c r="C822">
        <v>-14.19</v>
      </c>
      <c r="D822">
        <v>96433.64</v>
      </c>
    </row>
    <row r="823" spans="1:4" x14ac:dyDescent="0.25">
      <c r="A823" s="1">
        <v>45583</v>
      </c>
      <c r="B823" t="s">
        <v>680</v>
      </c>
      <c r="C823">
        <v>-25446.04</v>
      </c>
      <c r="D823">
        <v>70987.600000000006</v>
      </c>
    </row>
    <row r="824" spans="1:4" x14ac:dyDescent="0.25">
      <c r="A824" s="1">
        <v>45583</v>
      </c>
      <c r="B824" t="s">
        <v>681</v>
      </c>
      <c r="C824">
        <v>-6651.6</v>
      </c>
      <c r="D824">
        <v>64336</v>
      </c>
    </row>
    <row r="825" spans="1:4" x14ac:dyDescent="0.25">
      <c r="A825" s="1">
        <v>45583</v>
      </c>
      <c r="B825" t="s">
        <v>682</v>
      </c>
      <c r="C825">
        <v>-1095.83</v>
      </c>
      <c r="D825">
        <v>63240.17</v>
      </c>
    </row>
    <row r="826" spans="1:4" x14ac:dyDescent="0.25">
      <c r="A826" s="1">
        <v>45583</v>
      </c>
      <c r="B826" t="s">
        <v>683</v>
      </c>
      <c r="C826">
        <v>-182.54</v>
      </c>
      <c r="D826">
        <v>63057.63</v>
      </c>
    </row>
    <row r="827" spans="1:4" x14ac:dyDescent="0.25">
      <c r="A827" s="1">
        <v>45583</v>
      </c>
      <c r="B827" t="s">
        <v>110</v>
      </c>
      <c r="C827">
        <v>-50</v>
      </c>
      <c r="D827">
        <v>63007.63</v>
      </c>
    </row>
    <row r="828" spans="1:4" x14ac:dyDescent="0.25">
      <c r="A828" s="1">
        <v>45586</v>
      </c>
      <c r="B828" t="s">
        <v>684</v>
      </c>
      <c r="C828">
        <v>8767</v>
      </c>
      <c r="D828">
        <v>71774.63</v>
      </c>
    </row>
    <row r="829" spans="1:4" x14ac:dyDescent="0.25">
      <c r="A829" s="1">
        <v>45586</v>
      </c>
      <c r="B829" t="s">
        <v>308</v>
      </c>
      <c r="C829">
        <v>1023</v>
      </c>
      <c r="D829">
        <v>72797.63</v>
      </c>
    </row>
    <row r="830" spans="1:4" x14ac:dyDescent="0.25">
      <c r="A830" s="1">
        <v>45586</v>
      </c>
      <c r="B830" t="s">
        <v>52</v>
      </c>
      <c r="C830">
        <v>-249.37</v>
      </c>
      <c r="D830">
        <v>72548.259999999995</v>
      </c>
    </row>
    <row r="831" spans="1:4" x14ac:dyDescent="0.25">
      <c r="A831" s="1">
        <v>45586</v>
      </c>
      <c r="B831" t="s">
        <v>685</v>
      </c>
      <c r="C831">
        <v>-63.22</v>
      </c>
      <c r="D831">
        <v>72485.039999999994</v>
      </c>
    </row>
    <row r="832" spans="1:4" x14ac:dyDescent="0.25">
      <c r="A832" s="1">
        <v>45586</v>
      </c>
      <c r="B832" t="s">
        <v>686</v>
      </c>
      <c r="C832">
        <v>-23.15</v>
      </c>
      <c r="D832">
        <v>72461.89</v>
      </c>
    </row>
    <row r="833" spans="1:4" x14ac:dyDescent="0.25">
      <c r="A833" s="1">
        <v>45586</v>
      </c>
      <c r="B833" t="s">
        <v>687</v>
      </c>
      <c r="C833">
        <v>-31.16</v>
      </c>
      <c r="D833">
        <v>72430.73</v>
      </c>
    </row>
    <row r="834" spans="1:4" x14ac:dyDescent="0.25">
      <c r="A834" s="1">
        <v>45586</v>
      </c>
      <c r="B834" t="s">
        <v>688</v>
      </c>
      <c r="C834">
        <v>-18</v>
      </c>
      <c r="D834">
        <v>72412.73</v>
      </c>
    </row>
    <row r="835" spans="1:4" x14ac:dyDescent="0.25">
      <c r="A835" s="1">
        <v>45588</v>
      </c>
      <c r="B835" t="s">
        <v>689</v>
      </c>
      <c r="C835">
        <v>-139.99</v>
      </c>
      <c r="D835">
        <v>72272.740000000005</v>
      </c>
    </row>
    <row r="836" spans="1:4" x14ac:dyDescent="0.25">
      <c r="A836" s="1">
        <v>45589</v>
      </c>
      <c r="B836" t="s">
        <v>690</v>
      </c>
      <c r="C836">
        <v>-548.94000000000005</v>
      </c>
      <c r="D836">
        <v>71723.8</v>
      </c>
    </row>
    <row r="837" spans="1:4" x14ac:dyDescent="0.25">
      <c r="A837" s="1">
        <v>45593</v>
      </c>
      <c r="B837" t="s">
        <v>691</v>
      </c>
      <c r="C837">
        <v>3188</v>
      </c>
      <c r="D837">
        <v>74911.8</v>
      </c>
    </row>
    <row r="838" spans="1:4" x14ac:dyDescent="0.25">
      <c r="A838" s="1">
        <v>45593</v>
      </c>
      <c r="B838" t="s">
        <v>692</v>
      </c>
      <c r="C838">
        <v>-147.69</v>
      </c>
      <c r="D838">
        <v>74764.11</v>
      </c>
    </row>
    <row r="839" spans="1:4" x14ac:dyDescent="0.25">
      <c r="A839" s="1">
        <v>45593</v>
      </c>
      <c r="B839" t="s">
        <v>693</v>
      </c>
      <c r="C839">
        <v>-14.99</v>
      </c>
      <c r="D839">
        <v>74749.119999999995</v>
      </c>
    </row>
    <row r="840" spans="1:4" x14ac:dyDescent="0.25">
      <c r="A840" s="1">
        <v>45593</v>
      </c>
      <c r="B840" t="s">
        <v>694</v>
      </c>
      <c r="C840">
        <v>-42.36</v>
      </c>
      <c r="D840">
        <v>74706.759999999995</v>
      </c>
    </row>
    <row r="841" spans="1:4" x14ac:dyDescent="0.25">
      <c r="A841" s="1">
        <v>45594</v>
      </c>
      <c r="B841" t="s">
        <v>308</v>
      </c>
      <c r="C841">
        <v>131</v>
      </c>
      <c r="D841">
        <v>74837.759999999995</v>
      </c>
    </row>
    <row r="842" spans="1:4" x14ac:dyDescent="0.25">
      <c r="A842" s="1">
        <v>45594</v>
      </c>
      <c r="B842" t="s">
        <v>695</v>
      </c>
      <c r="C842">
        <v>-5.83</v>
      </c>
      <c r="D842">
        <v>74831.929999999993</v>
      </c>
    </row>
    <row r="843" spans="1:4" x14ac:dyDescent="0.25">
      <c r="A843" s="1">
        <v>45595</v>
      </c>
      <c r="B843" t="s">
        <v>22</v>
      </c>
      <c r="C843">
        <v>2800</v>
      </c>
      <c r="D843">
        <v>77631.929999999993</v>
      </c>
    </row>
    <row r="844" spans="1:4" x14ac:dyDescent="0.25">
      <c r="A844" s="1">
        <v>45595</v>
      </c>
      <c r="B844" t="s">
        <v>696</v>
      </c>
      <c r="C844">
        <v>-35.659999999999997</v>
      </c>
      <c r="D844">
        <v>77596.27</v>
      </c>
    </row>
    <row r="845" spans="1:4" x14ac:dyDescent="0.25">
      <c r="A845" s="1">
        <v>45595</v>
      </c>
      <c r="B845" t="s">
        <v>697</v>
      </c>
      <c r="C845">
        <v>-74.36</v>
      </c>
      <c r="D845">
        <v>77521.91</v>
      </c>
    </row>
    <row r="846" spans="1:4" x14ac:dyDescent="0.25">
      <c r="A846" s="1">
        <v>45595</v>
      </c>
      <c r="B846" t="s">
        <v>698</v>
      </c>
      <c r="C846">
        <v>-2313.0500000000002</v>
      </c>
      <c r="D846">
        <v>75208.86</v>
      </c>
    </row>
    <row r="847" spans="1:4" x14ac:dyDescent="0.25">
      <c r="A847" s="1">
        <v>45595</v>
      </c>
      <c r="B847" t="s">
        <v>699</v>
      </c>
      <c r="C847">
        <v>-1200</v>
      </c>
      <c r="D847">
        <v>74008.86</v>
      </c>
    </row>
    <row r="848" spans="1:4" x14ac:dyDescent="0.25">
      <c r="A848" s="1">
        <v>45595</v>
      </c>
      <c r="B848" t="s">
        <v>700</v>
      </c>
      <c r="C848">
        <v>-2000</v>
      </c>
      <c r="D848">
        <v>72008.86</v>
      </c>
    </row>
    <row r="849" spans="1:4" x14ac:dyDescent="0.25">
      <c r="A849" s="1">
        <v>45595</v>
      </c>
      <c r="B849" t="s">
        <v>110</v>
      </c>
      <c r="C849">
        <v>-50</v>
      </c>
      <c r="D849">
        <v>71958.86</v>
      </c>
    </row>
    <row r="850" spans="1:4" x14ac:dyDescent="0.25">
      <c r="A850" s="1">
        <v>45596</v>
      </c>
      <c r="B850" t="s">
        <v>22</v>
      </c>
      <c r="C850">
        <v>4677.1400000000003</v>
      </c>
      <c r="D850">
        <v>76636</v>
      </c>
    </row>
    <row r="851" spans="1:4" x14ac:dyDescent="0.25">
      <c r="A851" s="1">
        <v>45596</v>
      </c>
      <c r="B851" t="s">
        <v>701</v>
      </c>
      <c r="C851">
        <v>-237.99</v>
      </c>
      <c r="D851">
        <v>76398.009999999995</v>
      </c>
    </row>
    <row r="852" spans="1:4" x14ac:dyDescent="0.25">
      <c r="A852" s="1">
        <v>45596</v>
      </c>
      <c r="B852" t="s">
        <v>702</v>
      </c>
      <c r="C852">
        <v>-42.49</v>
      </c>
      <c r="D852">
        <v>76355.520000000004</v>
      </c>
    </row>
    <row r="853" spans="1:4" x14ac:dyDescent="0.25">
      <c r="A853" s="1">
        <v>45596</v>
      </c>
      <c r="B853" t="s">
        <v>703</v>
      </c>
      <c r="C853">
        <v>-689.43</v>
      </c>
      <c r="D853">
        <v>75666.09</v>
      </c>
    </row>
    <row r="854" spans="1:4" x14ac:dyDescent="0.25">
      <c r="A854" s="1">
        <v>45596</v>
      </c>
      <c r="B854" t="s">
        <v>704</v>
      </c>
      <c r="C854">
        <v>-105.19</v>
      </c>
      <c r="D854">
        <v>75560.899999999994</v>
      </c>
    </row>
    <row r="855" spans="1:4" x14ac:dyDescent="0.25">
      <c r="A855" s="1">
        <v>45596</v>
      </c>
      <c r="B855" t="s">
        <v>704</v>
      </c>
      <c r="C855">
        <v>-126.56</v>
      </c>
      <c r="D855">
        <v>75434.34</v>
      </c>
    </row>
    <row r="856" spans="1:4" x14ac:dyDescent="0.25">
      <c r="A856" s="1">
        <v>45596</v>
      </c>
      <c r="B856" t="s">
        <v>704</v>
      </c>
      <c r="C856">
        <v>-225.51</v>
      </c>
      <c r="D856">
        <v>75208.83</v>
      </c>
    </row>
    <row r="857" spans="1:4" x14ac:dyDescent="0.25">
      <c r="A857" s="1">
        <v>45596</v>
      </c>
      <c r="B857" t="s">
        <v>705</v>
      </c>
      <c r="C857">
        <v>-2865.03</v>
      </c>
      <c r="D857">
        <v>72343.8</v>
      </c>
    </row>
    <row r="858" spans="1:4" x14ac:dyDescent="0.25">
      <c r="A858" s="1">
        <v>45596</v>
      </c>
      <c r="B858" t="s">
        <v>706</v>
      </c>
      <c r="C858">
        <v>-144.49</v>
      </c>
      <c r="D858">
        <v>72199.31</v>
      </c>
    </row>
    <row r="859" spans="1:4" x14ac:dyDescent="0.25">
      <c r="A859" s="1">
        <v>45596</v>
      </c>
      <c r="B859" t="s">
        <v>707</v>
      </c>
      <c r="C859">
        <v>-212.68</v>
      </c>
      <c r="D859">
        <v>71986.63</v>
      </c>
    </row>
    <row r="860" spans="1:4" x14ac:dyDescent="0.25">
      <c r="A860" s="1">
        <v>45596</v>
      </c>
      <c r="B860" t="s">
        <v>708</v>
      </c>
      <c r="C860">
        <v>-5000</v>
      </c>
      <c r="D860">
        <v>66986.63</v>
      </c>
    </row>
    <row r="861" spans="1:4" x14ac:dyDescent="0.25">
      <c r="A861" s="1">
        <v>45597</v>
      </c>
      <c r="B861" t="s">
        <v>188</v>
      </c>
      <c r="C861">
        <v>185.41</v>
      </c>
      <c r="D861">
        <v>67172.039999999994</v>
      </c>
    </row>
    <row r="862" spans="1:4" x14ac:dyDescent="0.25">
      <c r="A862" s="1">
        <v>45597</v>
      </c>
      <c r="B862" t="s">
        <v>709</v>
      </c>
      <c r="C862">
        <v>-258.04000000000002</v>
      </c>
      <c r="D862">
        <v>66914</v>
      </c>
    </row>
    <row r="863" spans="1:4" x14ac:dyDescent="0.25">
      <c r="A863" s="1">
        <v>45597</v>
      </c>
      <c r="B863" t="s">
        <v>710</v>
      </c>
      <c r="C863">
        <v>-4801</v>
      </c>
      <c r="D863">
        <v>62113</v>
      </c>
    </row>
    <row r="864" spans="1:4" x14ac:dyDescent="0.25">
      <c r="A864" s="1">
        <v>45597</v>
      </c>
      <c r="B864" t="s">
        <v>711</v>
      </c>
      <c r="C864">
        <v>-25735.39</v>
      </c>
      <c r="D864">
        <v>36377.61</v>
      </c>
    </row>
    <row r="865" spans="1:4" x14ac:dyDescent="0.25">
      <c r="A865" s="1">
        <v>45597</v>
      </c>
      <c r="B865" t="s">
        <v>712</v>
      </c>
      <c r="C865">
        <v>-4714.6499999999996</v>
      </c>
      <c r="D865">
        <v>31662.959999999999</v>
      </c>
    </row>
    <row r="866" spans="1:4" x14ac:dyDescent="0.25">
      <c r="A866" s="1">
        <v>45597</v>
      </c>
      <c r="B866" t="s">
        <v>308</v>
      </c>
      <c r="C866">
        <v>-1355.56</v>
      </c>
      <c r="D866">
        <v>30307.4</v>
      </c>
    </row>
    <row r="867" spans="1:4" x14ac:dyDescent="0.25">
      <c r="A867" s="1">
        <v>45597</v>
      </c>
      <c r="B867" t="s">
        <v>713</v>
      </c>
      <c r="C867">
        <v>-135.28</v>
      </c>
      <c r="D867">
        <v>30172.12</v>
      </c>
    </row>
    <row r="868" spans="1:4" x14ac:dyDescent="0.25">
      <c r="A868" s="1">
        <v>45600</v>
      </c>
      <c r="B868" t="s">
        <v>714</v>
      </c>
      <c r="C868">
        <v>12121</v>
      </c>
      <c r="D868">
        <v>42293.120000000003</v>
      </c>
    </row>
    <row r="869" spans="1:4" x14ac:dyDescent="0.25">
      <c r="A869" s="1">
        <v>45600</v>
      </c>
      <c r="B869" t="s">
        <v>715</v>
      </c>
      <c r="C869">
        <v>-250</v>
      </c>
      <c r="D869">
        <v>42043.12</v>
      </c>
    </row>
    <row r="870" spans="1:4" x14ac:dyDescent="0.25">
      <c r="A870" s="1">
        <v>45600</v>
      </c>
      <c r="B870" t="s">
        <v>716</v>
      </c>
      <c r="C870">
        <v>-22.95</v>
      </c>
      <c r="D870">
        <v>42020.17</v>
      </c>
    </row>
    <row r="871" spans="1:4" x14ac:dyDescent="0.25">
      <c r="A871" s="1">
        <v>45600</v>
      </c>
      <c r="B871" t="s">
        <v>717</v>
      </c>
      <c r="C871">
        <v>-147.69</v>
      </c>
      <c r="D871">
        <v>41872.480000000003</v>
      </c>
    </row>
    <row r="872" spans="1:4" x14ac:dyDescent="0.25">
      <c r="A872" s="1">
        <v>45600</v>
      </c>
      <c r="B872" t="s">
        <v>718</v>
      </c>
      <c r="C872">
        <v>-173.23</v>
      </c>
      <c r="D872">
        <v>41699.25</v>
      </c>
    </row>
    <row r="873" spans="1:4" x14ac:dyDescent="0.25">
      <c r="A873" s="1">
        <v>45600</v>
      </c>
      <c r="B873" t="s">
        <v>719</v>
      </c>
      <c r="C873">
        <v>-274.13</v>
      </c>
      <c r="D873">
        <v>41425.120000000003</v>
      </c>
    </row>
    <row r="874" spans="1:4" x14ac:dyDescent="0.25">
      <c r="A874" s="1">
        <v>45600</v>
      </c>
      <c r="B874" t="s">
        <v>65</v>
      </c>
      <c r="C874">
        <v>-250.86</v>
      </c>
      <c r="D874">
        <v>41174.26</v>
      </c>
    </row>
    <row r="875" spans="1:4" x14ac:dyDescent="0.25">
      <c r="A875" s="1">
        <v>45600</v>
      </c>
      <c r="B875" t="s">
        <v>720</v>
      </c>
      <c r="C875">
        <v>-382</v>
      </c>
      <c r="D875">
        <v>40792.26</v>
      </c>
    </row>
    <row r="876" spans="1:4" x14ac:dyDescent="0.25">
      <c r="A876" s="1">
        <v>45600</v>
      </c>
      <c r="B876" t="s">
        <v>721</v>
      </c>
      <c r="C876">
        <v>-33</v>
      </c>
      <c r="D876">
        <v>40759.26</v>
      </c>
    </row>
    <row r="877" spans="1:4" x14ac:dyDescent="0.25">
      <c r="A877" s="1">
        <v>45600</v>
      </c>
      <c r="B877" t="s">
        <v>722</v>
      </c>
      <c r="C877">
        <v>-18</v>
      </c>
      <c r="D877">
        <v>40741.26</v>
      </c>
    </row>
    <row r="878" spans="1:4" x14ac:dyDescent="0.25">
      <c r="A878" s="1">
        <v>45600</v>
      </c>
      <c r="B878" t="s">
        <v>723</v>
      </c>
      <c r="C878">
        <v>-1</v>
      </c>
      <c r="D878">
        <v>40740.26</v>
      </c>
    </row>
    <row r="879" spans="1:4" x14ac:dyDescent="0.25">
      <c r="A879" s="1">
        <v>45601</v>
      </c>
      <c r="B879" t="s">
        <v>724</v>
      </c>
      <c r="C879">
        <v>-66.930000000000007</v>
      </c>
      <c r="D879">
        <v>40673.33</v>
      </c>
    </row>
    <row r="880" spans="1:4" x14ac:dyDescent="0.25">
      <c r="A880" s="1">
        <v>45602</v>
      </c>
      <c r="B880" t="s">
        <v>725</v>
      </c>
      <c r="C880">
        <v>-130.72</v>
      </c>
      <c r="D880">
        <v>40542.61</v>
      </c>
    </row>
    <row r="881" spans="1:4" x14ac:dyDescent="0.25">
      <c r="A881" s="1">
        <v>45604</v>
      </c>
      <c r="B881" t="s">
        <v>726</v>
      </c>
      <c r="C881">
        <v>-42.05</v>
      </c>
      <c r="D881">
        <v>40500.559999999998</v>
      </c>
    </row>
    <row r="882" spans="1:4" x14ac:dyDescent="0.25">
      <c r="A882" s="1">
        <v>45604</v>
      </c>
      <c r="B882" t="s">
        <v>727</v>
      </c>
      <c r="C882">
        <v>-139.99</v>
      </c>
      <c r="D882">
        <v>40360.57</v>
      </c>
    </row>
    <row r="883" spans="1:4" x14ac:dyDescent="0.25">
      <c r="A883" s="1">
        <v>45604</v>
      </c>
      <c r="B883" t="s">
        <v>44</v>
      </c>
      <c r="C883">
        <v>-126.43</v>
      </c>
      <c r="D883">
        <v>40234.14</v>
      </c>
    </row>
    <row r="884" spans="1:4" x14ac:dyDescent="0.25">
      <c r="A884" s="1">
        <v>45608</v>
      </c>
      <c r="B884" t="s">
        <v>728</v>
      </c>
      <c r="C884">
        <v>10377</v>
      </c>
      <c r="D884">
        <v>50611.14</v>
      </c>
    </row>
    <row r="885" spans="1:4" x14ac:dyDescent="0.25">
      <c r="A885" s="1">
        <v>45608</v>
      </c>
      <c r="B885" t="s">
        <v>729</v>
      </c>
      <c r="C885">
        <v>-153.09</v>
      </c>
      <c r="D885">
        <v>50458.05</v>
      </c>
    </row>
    <row r="886" spans="1:4" x14ac:dyDescent="0.25">
      <c r="A886" s="1">
        <v>45608</v>
      </c>
      <c r="B886" t="s">
        <v>730</v>
      </c>
      <c r="C886">
        <v>-217.5</v>
      </c>
      <c r="D886">
        <v>50240.55</v>
      </c>
    </row>
    <row r="887" spans="1:4" x14ac:dyDescent="0.25">
      <c r="A887" s="1">
        <v>45608</v>
      </c>
      <c r="B887" t="s">
        <v>731</v>
      </c>
      <c r="C887">
        <v>-20.37</v>
      </c>
      <c r="D887">
        <v>50220.18</v>
      </c>
    </row>
    <row r="888" spans="1:4" x14ac:dyDescent="0.25">
      <c r="A888" s="1">
        <v>45608</v>
      </c>
      <c r="B888" t="s">
        <v>732</v>
      </c>
      <c r="C888">
        <v>-82.3</v>
      </c>
      <c r="D888">
        <v>50137.88</v>
      </c>
    </row>
    <row r="889" spans="1:4" x14ac:dyDescent="0.25">
      <c r="A889" s="1">
        <v>45608</v>
      </c>
      <c r="B889" t="s">
        <v>733</v>
      </c>
      <c r="C889">
        <v>-381.26</v>
      </c>
      <c r="D889">
        <v>49756.62</v>
      </c>
    </row>
    <row r="890" spans="1:4" x14ac:dyDescent="0.25">
      <c r="A890" s="1">
        <v>45608</v>
      </c>
      <c r="B890" t="s">
        <v>734</v>
      </c>
      <c r="C890">
        <v>-17048.75</v>
      </c>
      <c r="D890">
        <v>32707.87</v>
      </c>
    </row>
    <row r="891" spans="1:4" x14ac:dyDescent="0.25">
      <c r="A891" s="1">
        <v>45609</v>
      </c>
      <c r="B891" t="s">
        <v>735</v>
      </c>
      <c r="C891">
        <v>-2566.44</v>
      </c>
      <c r="D891">
        <v>30141.43</v>
      </c>
    </row>
    <row r="892" spans="1:4" x14ac:dyDescent="0.25">
      <c r="A892" s="1">
        <v>45609</v>
      </c>
      <c r="B892" t="s">
        <v>735</v>
      </c>
      <c r="C892">
        <v>-1539.94</v>
      </c>
      <c r="D892">
        <v>28601.49</v>
      </c>
    </row>
    <row r="893" spans="1:4" x14ac:dyDescent="0.25">
      <c r="A893" s="1">
        <v>45609</v>
      </c>
      <c r="B893" t="s">
        <v>735</v>
      </c>
      <c r="C893">
        <v>-4519.68</v>
      </c>
      <c r="D893">
        <v>24081.81</v>
      </c>
    </row>
    <row r="894" spans="1:4" x14ac:dyDescent="0.25">
      <c r="A894" s="1">
        <v>45609</v>
      </c>
      <c r="B894" t="s">
        <v>736</v>
      </c>
      <c r="C894">
        <v>-42.5</v>
      </c>
      <c r="D894">
        <v>24039.31</v>
      </c>
    </row>
    <row r="895" spans="1:4" x14ac:dyDescent="0.25">
      <c r="A895" s="1">
        <v>45609</v>
      </c>
      <c r="B895" t="s">
        <v>736</v>
      </c>
      <c r="C895">
        <v>-126.56</v>
      </c>
      <c r="D895">
        <v>23912.75</v>
      </c>
    </row>
    <row r="896" spans="1:4" x14ac:dyDescent="0.25">
      <c r="A896" s="1">
        <v>45609</v>
      </c>
      <c r="B896" t="s">
        <v>110</v>
      </c>
      <c r="C896">
        <v>-50</v>
      </c>
      <c r="D896">
        <v>23862.75</v>
      </c>
    </row>
    <row r="897" spans="1:4" x14ac:dyDescent="0.25">
      <c r="A897" s="1">
        <v>45610</v>
      </c>
      <c r="B897" t="s">
        <v>737</v>
      </c>
      <c r="C897">
        <v>-150.93</v>
      </c>
      <c r="D897">
        <v>23711.82</v>
      </c>
    </row>
    <row r="898" spans="1:4" x14ac:dyDescent="0.25">
      <c r="A898" s="1">
        <v>45611</v>
      </c>
      <c r="B898" t="s">
        <v>738</v>
      </c>
      <c r="C898">
        <v>9000</v>
      </c>
      <c r="D898">
        <v>32711.82</v>
      </c>
    </row>
    <row r="899" spans="1:4" x14ac:dyDescent="0.25">
      <c r="A899" s="1">
        <v>45611</v>
      </c>
      <c r="B899" t="s">
        <v>188</v>
      </c>
      <c r="C899">
        <v>564.03</v>
      </c>
      <c r="D899">
        <v>33275.85</v>
      </c>
    </row>
    <row r="900" spans="1:4" x14ac:dyDescent="0.25">
      <c r="A900" s="1">
        <v>45611</v>
      </c>
      <c r="B900" t="s">
        <v>739</v>
      </c>
      <c r="C900">
        <v>-466.84</v>
      </c>
      <c r="D900">
        <v>32809.01</v>
      </c>
    </row>
    <row r="901" spans="1:4" x14ac:dyDescent="0.25">
      <c r="A901" s="1">
        <v>45611</v>
      </c>
      <c r="B901" t="s">
        <v>740</v>
      </c>
      <c r="C901">
        <v>-21640.71</v>
      </c>
      <c r="D901">
        <v>11168.3</v>
      </c>
    </row>
    <row r="902" spans="1:4" x14ac:dyDescent="0.25">
      <c r="A902" s="1">
        <v>45611</v>
      </c>
      <c r="B902" t="s">
        <v>741</v>
      </c>
      <c r="C902">
        <v>-4592.8500000000004</v>
      </c>
      <c r="D902">
        <v>6575.45</v>
      </c>
    </row>
    <row r="903" spans="1:4" x14ac:dyDescent="0.25">
      <c r="A903" s="1">
        <v>45611</v>
      </c>
      <c r="B903" t="s">
        <v>742</v>
      </c>
      <c r="C903">
        <v>-961.91</v>
      </c>
      <c r="D903">
        <v>5613.54</v>
      </c>
    </row>
    <row r="904" spans="1:4" x14ac:dyDescent="0.25">
      <c r="A904" s="1">
        <v>45611</v>
      </c>
      <c r="B904" t="s">
        <v>743</v>
      </c>
      <c r="C904">
        <v>-390</v>
      </c>
      <c r="D904">
        <v>5223.54</v>
      </c>
    </row>
    <row r="905" spans="1:4" x14ac:dyDescent="0.25">
      <c r="A905" s="1">
        <v>45611</v>
      </c>
      <c r="B905" t="s">
        <v>744</v>
      </c>
      <c r="C905">
        <v>-133.37</v>
      </c>
      <c r="D905">
        <v>5090.17</v>
      </c>
    </row>
    <row r="906" spans="1:4" x14ac:dyDescent="0.25">
      <c r="A906" s="1">
        <v>45614</v>
      </c>
      <c r="B906" t="s">
        <v>745</v>
      </c>
      <c r="C906">
        <v>1417</v>
      </c>
      <c r="D906">
        <v>6507.17</v>
      </c>
    </row>
    <row r="907" spans="1:4" x14ac:dyDescent="0.25">
      <c r="A907" s="1">
        <v>45614</v>
      </c>
      <c r="B907" t="s">
        <v>746</v>
      </c>
      <c r="C907">
        <v>-219.27</v>
      </c>
      <c r="D907">
        <v>6287.9</v>
      </c>
    </row>
    <row r="908" spans="1:4" x14ac:dyDescent="0.25">
      <c r="A908" s="1">
        <v>45614</v>
      </c>
      <c r="B908" t="s">
        <v>747</v>
      </c>
      <c r="C908">
        <v>-53.13</v>
      </c>
      <c r="D908">
        <v>6234.77</v>
      </c>
    </row>
    <row r="909" spans="1:4" x14ac:dyDescent="0.25">
      <c r="A909" s="1">
        <v>45614</v>
      </c>
      <c r="B909" t="s">
        <v>748</v>
      </c>
      <c r="C909">
        <v>-1601.1</v>
      </c>
      <c r="D909">
        <v>4633.67</v>
      </c>
    </row>
    <row r="910" spans="1:4" x14ac:dyDescent="0.25">
      <c r="A910" s="1">
        <v>45614</v>
      </c>
      <c r="B910" t="s">
        <v>749</v>
      </c>
      <c r="C910">
        <v>-18</v>
      </c>
      <c r="D910">
        <v>4615.67</v>
      </c>
    </row>
    <row r="911" spans="1:4" x14ac:dyDescent="0.25">
      <c r="A911" s="1">
        <v>45615</v>
      </c>
      <c r="B911" t="s">
        <v>750</v>
      </c>
      <c r="C911">
        <v>-44.58</v>
      </c>
      <c r="D911">
        <v>4571.09</v>
      </c>
    </row>
    <row r="912" spans="1:4" x14ac:dyDescent="0.25">
      <c r="A912" s="1">
        <v>45615</v>
      </c>
      <c r="B912" t="s">
        <v>77</v>
      </c>
      <c r="C912">
        <v>-249.37</v>
      </c>
      <c r="D912">
        <v>4321.72</v>
      </c>
    </row>
    <row r="913" spans="1:4" x14ac:dyDescent="0.25">
      <c r="A913" s="1">
        <v>45616</v>
      </c>
      <c r="B913" t="s">
        <v>751</v>
      </c>
      <c r="C913">
        <v>-533.13</v>
      </c>
      <c r="D913">
        <v>3788.59</v>
      </c>
    </row>
    <row r="914" spans="1:4" x14ac:dyDescent="0.25">
      <c r="A914" s="1">
        <v>45618</v>
      </c>
      <c r="B914" t="s">
        <v>22</v>
      </c>
      <c r="C914">
        <v>1426.64</v>
      </c>
      <c r="D914">
        <v>5215.2299999999996</v>
      </c>
    </row>
    <row r="915" spans="1:4" x14ac:dyDescent="0.25">
      <c r="A915" s="1">
        <v>45618</v>
      </c>
      <c r="B915" t="s">
        <v>752</v>
      </c>
      <c r="C915">
        <v>-106.24</v>
      </c>
      <c r="D915">
        <v>5108.99</v>
      </c>
    </row>
    <row r="916" spans="1:4" x14ac:dyDescent="0.25">
      <c r="A916" s="1">
        <v>45618</v>
      </c>
      <c r="B916" t="s">
        <v>753</v>
      </c>
      <c r="C916">
        <v>-85.06</v>
      </c>
      <c r="D916">
        <v>5023.93</v>
      </c>
    </row>
    <row r="917" spans="1:4" x14ac:dyDescent="0.25">
      <c r="A917" s="1">
        <v>45618</v>
      </c>
      <c r="B917" t="s">
        <v>754</v>
      </c>
      <c r="C917">
        <v>-382.5</v>
      </c>
      <c r="D917">
        <v>4641.43</v>
      </c>
    </row>
    <row r="918" spans="1:4" x14ac:dyDescent="0.25">
      <c r="A918" s="1">
        <v>45621</v>
      </c>
      <c r="B918" t="s">
        <v>755</v>
      </c>
      <c r="C918">
        <v>4530</v>
      </c>
      <c r="D918">
        <v>9171.43</v>
      </c>
    </row>
    <row r="919" spans="1:4" x14ac:dyDescent="0.25">
      <c r="A919" s="1">
        <v>45621</v>
      </c>
      <c r="B919" t="s">
        <v>756</v>
      </c>
      <c r="C919">
        <v>2900</v>
      </c>
      <c r="D919">
        <v>12071.43</v>
      </c>
    </row>
    <row r="920" spans="1:4" x14ac:dyDescent="0.25">
      <c r="A920" s="1">
        <v>45621</v>
      </c>
      <c r="B920" t="s">
        <v>757</v>
      </c>
      <c r="C920">
        <v>-106.93</v>
      </c>
      <c r="D920">
        <v>11964.5</v>
      </c>
    </row>
    <row r="921" spans="1:4" x14ac:dyDescent="0.25">
      <c r="A921" s="1">
        <v>45622</v>
      </c>
      <c r="B921" t="s">
        <v>758</v>
      </c>
      <c r="C921">
        <v>9000</v>
      </c>
      <c r="D921">
        <v>20964.5</v>
      </c>
    </row>
    <row r="922" spans="1:4" x14ac:dyDescent="0.25">
      <c r="A922" s="1">
        <v>45623</v>
      </c>
      <c r="B922" t="s">
        <v>759</v>
      </c>
      <c r="C922">
        <v>-562.20000000000005</v>
      </c>
      <c r="D922">
        <v>20402.3</v>
      </c>
    </row>
    <row r="923" spans="1:4" x14ac:dyDescent="0.25">
      <c r="A923" s="1">
        <v>45623</v>
      </c>
      <c r="B923" t="s">
        <v>759</v>
      </c>
      <c r="C923">
        <v>-540.64</v>
      </c>
      <c r="D923">
        <v>19861.66</v>
      </c>
    </row>
    <row r="924" spans="1:4" x14ac:dyDescent="0.25">
      <c r="A924" s="1">
        <v>45623</v>
      </c>
      <c r="B924" t="s">
        <v>760</v>
      </c>
      <c r="C924">
        <v>-14.99</v>
      </c>
      <c r="D924">
        <v>19846.669999999998</v>
      </c>
    </row>
    <row r="925" spans="1:4" x14ac:dyDescent="0.25">
      <c r="A925" s="1">
        <v>45625</v>
      </c>
      <c r="B925" t="s">
        <v>761</v>
      </c>
      <c r="C925">
        <v>-147.69</v>
      </c>
      <c r="D925">
        <v>19698.98</v>
      </c>
    </row>
    <row r="926" spans="1:4" x14ac:dyDescent="0.25">
      <c r="A926" s="1">
        <v>45625</v>
      </c>
      <c r="B926" t="s">
        <v>762</v>
      </c>
      <c r="C926">
        <v>-107.4</v>
      </c>
      <c r="D926">
        <v>19591.580000000002</v>
      </c>
    </row>
    <row r="927" spans="1:4" x14ac:dyDescent="0.25">
      <c r="A927" s="1">
        <v>45625</v>
      </c>
      <c r="B927" t="s">
        <v>763</v>
      </c>
      <c r="C927">
        <v>-13244.44</v>
      </c>
      <c r="D927">
        <v>6347.14</v>
      </c>
    </row>
    <row r="928" spans="1:4" x14ac:dyDescent="0.25">
      <c r="A928" s="1">
        <v>45625</v>
      </c>
      <c r="B928" t="s">
        <v>764</v>
      </c>
      <c r="C928">
        <v>-4934.7700000000004</v>
      </c>
      <c r="D928">
        <v>1412.37</v>
      </c>
    </row>
    <row r="929" spans="1:4" x14ac:dyDescent="0.25">
      <c r="A929" s="1">
        <v>45625</v>
      </c>
      <c r="B929" t="s">
        <v>765</v>
      </c>
      <c r="C929">
        <v>-152.16999999999999</v>
      </c>
      <c r="D929">
        <v>1260.2</v>
      </c>
    </row>
    <row r="930" spans="1:4" x14ac:dyDescent="0.25">
      <c r="A930" s="1">
        <v>45625</v>
      </c>
      <c r="B930" t="s">
        <v>110</v>
      </c>
      <c r="C930">
        <v>-50</v>
      </c>
      <c r="D930">
        <v>1210.2</v>
      </c>
    </row>
    <row r="931" spans="1:4" x14ac:dyDescent="0.25">
      <c r="A931" s="1">
        <v>45628</v>
      </c>
      <c r="B931" t="s">
        <v>766</v>
      </c>
      <c r="C931">
        <v>3189</v>
      </c>
      <c r="D931">
        <v>4399.2</v>
      </c>
    </row>
    <row r="932" spans="1:4" x14ac:dyDescent="0.25">
      <c r="A932" s="1">
        <v>45628</v>
      </c>
      <c r="B932" t="s">
        <v>767</v>
      </c>
      <c r="C932">
        <v>-8.51</v>
      </c>
      <c r="D932">
        <v>4390.6899999999996</v>
      </c>
    </row>
    <row r="933" spans="1:4" x14ac:dyDescent="0.25">
      <c r="A933" s="1">
        <v>45628</v>
      </c>
      <c r="B933" t="s">
        <v>768</v>
      </c>
      <c r="C933">
        <v>-145.86000000000001</v>
      </c>
      <c r="D933">
        <v>4244.83</v>
      </c>
    </row>
    <row r="934" spans="1:4" x14ac:dyDescent="0.25">
      <c r="A934" s="1">
        <v>45628</v>
      </c>
      <c r="B934" t="s">
        <v>769</v>
      </c>
      <c r="C934">
        <v>-22.95</v>
      </c>
      <c r="D934">
        <v>4221.88</v>
      </c>
    </row>
    <row r="935" spans="1:4" x14ac:dyDescent="0.25">
      <c r="A935" s="1">
        <v>45628</v>
      </c>
      <c r="B935" t="s">
        <v>770</v>
      </c>
      <c r="C935">
        <v>-258.04000000000002</v>
      </c>
      <c r="D935">
        <v>3963.84</v>
      </c>
    </row>
    <row r="936" spans="1:4" x14ac:dyDescent="0.25">
      <c r="A936" s="1">
        <v>45628</v>
      </c>
      <c r="B936" t="s">
        <v>308</v>
      </c>
      <c r="C936">
        <v>-150</v>
      </c>
      <c r="D936">
        <v>3813.84</v>
      </c>
    </row>
    <row r="937" spans="1:4" x14ac:dyDescent="0.25">
      <c r="A937" s="1">
        <v>45629</v>
      </c>
      <c r="B937" t="s">
        <v>771</v>
      </c>
      <c r="C937">
        <v>-250</v>
      </c>
      <c r="D937">
        <v>3563.84</v>
      </c>
    </row>
    <row r="938" spans="1:4" x14ac:dyDescent="0.25">
      <c r="A938" s="1">
        <v>45629</v>
      </c>
      <c r="B938" t="s">
        <v>772</v>
      </c>
      <c r="C938">
        <v>-147.69</v>
      </c>
      <c r="D938">
        <v>3416.15</v>
      </c>
    </row>
    <row r="939" spans="1:4" x14ac:dyDescent="0.25">
      <c r="A939" s="1">
        <v>45629</v>
      </c>
      <c r="B939" t="s">
        <v>773</v>
      </c>
      <c r="C939">
        <v>-50.25</v>
      </c>
      <c r="D939">
        <v>3365.9</v>
      </c>
    </row>
    <row r="940" spans="1:4" x14ac:dyDescent="0.25">
      <c r="A940" s="1">
        <v>45629</v>
      </c>
      <c r="B940" t="s">
        <v>773</v>
      </c>
      <c r="C940">
        <v>-160.63</v>
      </c>
      <c r="D940">
        <v>3205.27</v>
      </c>
    </row>
    <row r="941" spans="1:4" x14ac:dyDescent="0.25">
      <c r="A941" s="1">
        <v>45629</v>
      </c>
      <c r="B941" t="s">
        <v>774</v>
      </c>
      <c r="C941">
        <v>-33</v>
      </c>
      <c r="D941">
        <v>3172.27</v>
      </c>
    </row>
    <row r="942" spans="1:4" x14ac:dyDescent="0.25">
      <c r="A942" s="1">
        <v>45629</v>
      </c>
      <c r="B942" t="s">
        <v>775</v>
      </c>
      <c r="C942">
        <v>-16</v>
      </c>
      <c r="D942">
        <v>3156.27</v>
      </c>
    </row>
    <row r="943" spans="1:4" x14ac:dyDescent="0.25">
      <c r="A943" s="1">
        <v>45630</v>
      </c>
      <c r="B943" t="s">
        <v>776</v>
      </c>
      <c r="C943">
        <v>-274.13</v>
      </c>
      <c r="D943">
        <v>2882.14</v>
      </c>
    </row>
    <row r="944" spans="1:4" x14ac:dyDescent="0.25">
      <c r="A944" s="1">
        <v>45630</v>
      </c>
      <c r="B944" t="s">
        <v>87</v>
      </c>
      <c r="C944">
        <v>-250.86</v>
      </c>
      <c r="D944">
        <v>2631.28</v>
      </c>
    </row>
    <row r="945" spans="1:4" x14ac:dyDescent="0.25">
      <c r="A945" s="1">
        <v>45630</v>
      </c>
      <c r="B945" t="s">
        <v>777</v>
      </c>
      <c r="C945">
        <v>-574.55999999999995</v>
      </c>
      <c r="D945">
        <v>2056.7199999999998</v>
      </c>
    </row>
    <row r="946" spans="1:4" x14ac:dyDescent="0.25">
      <c r="A946" s="1">
        <v>45631</v>
      </c>
      <c r="B946" t="s">
        <v>778</v>
      </c>
      <c r="C946">
        <v>-7.53</v>
      </c>
      <c r="D946">
        <v>2049.19</v>
      </c>
    </row>
    <row r="947" spans="1:4" x14ac:dyDescent="0.25">
      <c r="A947" s="1">
        <v>45635</v>
      </c>
      <c r="B947" t="s">
        <v>779</v>
      </c>
      <c r="C947">
        <v>5430</v>
      </c>
      <c r="D947">
        <v>7479.19</v>
      </c>
    </row>
    <row r="948" spans="1:4" x14ac:dyDescent="0.25">
      <c r="A948" s="1">
        <v>45635</v>
      </c>
      <c r="B948" t="s">
        <v>44</v>
      </c>
      <c r="C948">
        <v>-126.43</v>
      </c>
      <c r="D948">
        <v>7352.76</v>
      </c>
    </row>
    <row r="949" spans="1:4" x14ac:dyDescent="0.25">
      <c r="A949" s="1">
        <v>45636</v>
      </c>
      <c r="B949" t="s">
        <v>780</v>
      </c>
      <c r="C949">
        <v>2000</v>
      </c>
      <c r="D949">
        <v>9352.76</v>
      </c>
    </row>
    <row r="950" spans="1:4" x14ac:dyDescent="0.25">
      <c r="A950" s="1">
        <v>45636</v>
      </c>
      <c r="B950" t="s">
        <v>22</v>
      </c>
      <c r="C950">
        <v>1571.99</v>
      </c>
      <c r="D950">
        <v>10924.75</v>
      </c>
    </row>
    <row r="951" spans="1:4" x14ac:dyDescent="0.25">
      <c r="A951" s="1">
        <v>45636</v>
      </c>
      <c r="B951" t="s">
        <v>110</v>
      </c>
      <c r="C951">
        <v>-50</v>
      </c>
      <c r="D951">
        <v>10874.75</v>
      </c>
    </row>
    <row r="952" spans="1:4" x14ac:dyDescent="0.25">
      <c r="A952" s="1">
        <v>45637</v>
      </c>
      <c r="B952" t="s">
        <v>781</v>
      </c>
      <c r="C952">
        <v>3522.91</v>
      </c>
      <c r="D952">
        <v>14397.66</v>
      </c>
    </row>
    <row r="953" spans="1:4" x14ac:dyDescent="0.25">
      <c r="A953" s="1">
        <v>45638</v>
      </c>
      <c r="B953" t="s">
        <v>782</v>
      </c>
      <c r="C953">
        <v>12000</v>
      </c>
      <c r="D953">
        <v>26397.66</v>
      </c>
    </row>
    <row r="954" spans="1:4" x14ac:dyDescent="0.25">
      <c r="A954" s="1">
        <v>45638</v>
      </c>
      <c r="B954" t="s">
        <v>783</v>
      </c>
      <c r="C954">
        <v>-3522.91</v>
      </c>
      <c r="D954">
        <v>22874.75</v>
      </c>
    </row>
    <row r="955" spans="1:4" x14ac:dyDescent="0.25">
      <c r="A955" s="1">
        <v>45639</v>
      </c>
      <c r="B955" t="s">
        <v>784</v>
      </c>
      <c r="C955">
        <v>2000</v>
      </c>
      <c r="D955">
        <v>24874.75</v>
      </c>
    </row>
    <row r="956" spans="1:4" x14ac:dyDescent="0.25">
      <c r="A956" s="1">
        <v>45639</v>
      </c>
      <c r="B956" t="s">
        <v>785</v>
      </c>
      <c r="C956">
        <v>99</v>
      </c>
      <c r="D956">
        <v>24973.75</v>
      </c>
    </row>
    <row r="957" spans="1:4" x14ac:dyDescent="0.25">
      <c r="A957" s="1">
        <v>45639</v>
      </c>
      <c r="B957" t="s">
        <v>786</v>
      </c>
      <c r="C957">
        <v>-18514.95</v>
      </c>
      <c r="D957">
        <v>6458.8</v>
      </c>
    </row>
    <row r="958" spans="1:4" x14ac:dyDescent="0.25">
      <c r="A958" s="1">
        <v>45639</v>
      </c>
      <c r="B958" t="s">
        <v>787</v>
      </c>
      <c r="C958">
        <v>-4964.04</v>
      </c>
      <c r="D958">
        <v>1494.76</v>
      </c>
    </row>
    <row r="959" spans="1:4" x14ac:dyDescent="0.25">
      <c r="A959" s="1">
        <v>45639</v>
      </c>
      <c r="B959" t="s">
        <v>788</v>
      </c>
      <c r="C959">
        <v>-390</v>
      </c>
      <c r="D959">
        <v>1104.76</v>
      </c>
    </row>
    <row r="960" spans="1:4" x14ac:dyDescent="0.25">
      <c r="A960" s="1">
        <v>45639</v>
      </c>
      <c r="B960" t="s">
        <v>789</v>
      </c>
      <c r="C960">
        <v>-147.91999999999999</v>
      </c>
      <c r="D960">
        <v>956.84</v>
      </c>
    </row>
    <row r="961" spans="1:4" x14ac:dyDescent="0.25">
      <c r="A961" s="1">
        <v>45642</v>
      </c>
      <c r="B961" t="s">
        <v>790</v>
      </c>
      <c r="C961">
        <v>54992.73</v>
      </c>
      <c r="D961">
        <v>55949.57</v>
      </c>
    </row>
    <row r="962" spans="1:4" x14ac:dyDescent="0.25">
      <c r="A962" s="1">
        <v>45642</v>
      </c>
      <c r="B962" t="s">
        <v>791</v>
      </c>
      <c r="C962">
        <v>14296</v>
      </c>
      <c r="D962">
        <v>70245.570000000007</v>
      </c>
    </row>
    <row r="963" spans="1:4" x14ac:dyDescent="0.25">
      <c r="A963" s="1">
        <v>45642</v>
      </c>
      <c r="B963" t="s">
        <v>785</v>
      </c>
      <c r="C963">
        <v>413</v>
      </c>
      <c r="D963">
        <v>70658.570000000007</v>
      </c>
    </row>
    <row r="964" spans="1:4" x14ac:dyDescent="0.25">
      <c r="A964" s="1">
        <v>45642</v>
      </c>
      <c r="B964" t="s">
        <v>785</v>
      </c>
      <c r="C964">
        <v>205</v>
      </c>
      <c r="D964">
        <v>70863.570000000007</v>
      </c>
    </row>
    <row r="965" spans="1:4" x14ac:dyDescent="0.25">
      <c r="A965" s="1">
        <v>45642</v>
      </c>
      <c r="B965" t="s">
        <v>792</v>
      </c>
      <c r="C965">
        <v>-30177.42</v>
      </c>
      <c r="D965">
        <v>40686.15</v>
      </c>
    </row>
    <row r="966" spans="1:4" x14ac:dyDescent="0.25">
      <c r="A966" s="1">
        <v>45643</v>
      </c>
      <c r="B966" t="s">
        <v>793</v>
      </c>
      <c r="C966">
        <v>-893.23</v>
      </c>
      <c r="D966">
        <v>39792.92</v>
      </c>
    </row>
    <row r="967" spans="1:4" x14ac:dyDescent="0.25">
      <c r="A967" s="1">
        <v>45643</v>
      </c>
      <c r="B967" t="s">
        <v>794</v>
      </c>
      <c r="C967">
        <v>-25</v>
      </c>
      <c r="D967">
        <v>39767.919999999998</v>
      </c>
    </row>
    <row r="968" spans="1:4" x14ac:dyDescent="0.25">
      <c r="A968" s="1">
        <v>45644</v>
      </c>
      <c r="B968" t="s">
        <v>785</v>
      </c>
      <c r="C968">
        <v>50</v>
      </c>
      <c r="D968">
        <v>39817.919999999998</v>
      </c>
    </row>
    <row r="969" spans="1:4" x14ac:dyDescent="0.25">
      <c r="A969" s="1">
        <v>45645</v>
      </c>
      <c r="B969" t="s">
        <v>785</v>
      </c>
      <c r="C969">
        <v>105.84</v>
      </c>
      <c r="D969">
        <v>39923.760000000002</v>
      </c>
    </row>
    <row r="970" spans="1:4" x14ac:dyDescent="0.25">
      <c r="A970" s="1">
        <v>45646</v>
      </c>
      <c r="B970" t="s">
        <v>785</v>
      </c>
      <c r="C970">
        <v>2353.25</v>
      </c>
      <c r="D970">
        <v>42277.01</v>
      </c>
    </row>
    <row r="971" spans="1:4" x14ac:dyDescent="0.25">
      <c r="A971" s="1">
        <v>45646</v>
      </c>
      <c r="B971" t="s">
        <v>795</v>
      </c>
      <c r="C971">
        <v>548.94000000000005</v>
      </c>
      <c r="D971">
        <v>42825.95</v>
      </c>
    </row>
    <row r="972" spans="1:4" x14ac:dyDescent="0.25">
      <c r="A972" s="1">
        <v>45646</v>
      </c>
      <c r="B972" t="s">
        <v>795</v>
      </c>
      <c r="C972">
        <v>540.64</v>
      </c>
      <c r="D972">
        <v>43366.59</v>
      </c>
    </row>
    <row r="973" spans="1:4" x14ac:dyDescent="0.25">
      <c r="A973" s="1">
        <v>45646</v>
      </c>
      <c r="B973" t="s">
        <v>795</v>
      </c>
      <c r="C973">
        <v>531.32000000000005</v>
      </c>
      <c r="D973">
        <v>43897.91</v>
      </c>
    </row>
    <row r="974" spans="1:4" x14ac:dyDescent="0.25">
      <c r="A974" s="1">
        <v>45646</v>
      </c>
      <c r="B974" t="s">
        <v>795</v>
      </c>
      <c r="C974">
        <v>173.23</v>
      </c>
      <c r="D974">
        <v>44071.14</v>
      </c>
    </row>
    <row r="975" spans="1:4" x14ac:dyDescent="0.25">
      <c r="A975" s="1">
        <v>45646</v>
      </c>
      <c r="B975" t="s">
        <v>795</v>
      </c>
      <c r="C975">
        <v>160.63</v>
      </c>
      <c r="D975">
        <v>44231.77</v>
      </c>
    </row>
    <row r="976" spans="1:4" x14ac:dyDescent="0.25">
      <c r="A976" s="1">
        <v>45646</v>
      </c>
      <c r="B976" t="s">
        <v>795</v>
      </c>
      <c r="C976">
        <v>45.2</v>
      </c>
      <c r="D976">
        <v>44276.97</v>
      </c>
    </row>
    <row r="977" spans="1:4" x14ac:dyDescent="0.25">
      <c r="A977" s="1">
        <v>45646</v>
      </c>
      <c r="B977" t="s">
        <v>795</v>
      </c>
      <c r="C977">
        <v>0.04</v>
      </c>
      <c r="D977">
        <v>44277.01</v>
      </c>
    </row>
    <row r="978" spans="1:4" x14ac:dyDescent="0.25">
      <c r="A978" s="1">
        <v>45649</v>
      </c>
      <c r="B978" t="s">
        <v>796</v>
      </c>
      <c r="C978">
        <v>16882</v>
      </c>
      <c r="D978">
        <v>61159.01</v>
      </c>
    </row>
    <row r="979" spans="1:4" x14ac:dyDescent="0.25">
      <c r="A979" s="1">
        <v>45649</v>
      </c>
      <c r="B979" t="s">
        <v>785</v>
      </c>
      <c r="C979">
        <v>1442.4</v>
      </c>
      <c r="D979">
        <v>62601.41</v>
      </c>
    </row>
    <row r="980" spans="1:4" x14ac:dyDescent="0.25">
      <c r="A980" s="1">
        <v>45649</v>
      </c>
      <c r="B980" t="s">
        <v>785</v>
      </c>
      <c r="C980">
        <v>701.6</v>
      </c>
      <c r="D980">
        <v>63303.01</v>
      </c>
    </row>
    <row r="981" spans="1:4" x14ac:dyDescent="0.25">
      <c r="A981" s="1">
        <v>45650</v>
      </c>
      <c r="B981" t="s">
        <v>22</v>
      </c>
      <c r="C981">
        <v>302.10000000000002</v>
      </c>
      <c r="D981">
        <v>63605.11</v>
      </c>
    </row>
    <row r="982" spans="1:4" x14ac:dyDescent="0.25">
      <c r="A982" s="1">
        <v>45650</v>
      </c>
      <c r="B982" t="s">
        <v>110</v>
      </c>
      <c r="C982">
        <v>-50</v>
      </c>
      <c r="D982">
        <v>63555.11</v>
      </c>
    </row>
    <row r="983" spans="1:4" x14ac:dyDescent="0.25">
      <c r="A983" s="1">
        <v>45652</v>
      </c>
      <c r="B983" t="s">
        <v>785</v>
      </c>
      <c r="C983">
        <v>79323.600000000006</v>
      </c>
      <c r="D983">
        <v>142878.71</v>
      </c>
    </row>
    <row r="984" spans="1:4" x14ac:dyDescent="0.25">
      <c r="A984" s="1">
        <v>45652</v>
      </c>
      <c r="B984" t="s">
        <v>785</v>
      </c>
      <c r="C984">
        <v>214.8</v>
      </c>
      <c r="D984">
        <v>143093.51</v>
      </c>
    </row>
    <row r="985" spans="1:4" x14ac:dyDescent="0.25">
      <c r="A985" s="1">
        <v>45653</v>
      </c>
      <c r="B985" t="s">
        <v>22</v>
      </c>
      <c r="C985">
        <v>225</v>
      </c>
      <c r="D985">
        <v>143318.51</v>
      </c>
    </row>
    <row r="986" spans="1:4" x14ac:dyDescent="0.25">
      <c r="A986" s="1">
        <v>45653</v>
      </c>
      <c r="B986" t="s">
        <v>797</v>
      </c>
      <c r="C986">
        <v>-401.63</v>
      </c>
      <c r="D986">
        <v>142916.88</v>
      </c>
    </row>
    <row r="987" spans="1:4" x14ac:dyDescent="0.25">
      <c r="A987" s="1">
        <v>45653</v>
      </c>
      <c r="B987" t="s">
        <v>798</v>
      </c>
      <c r="C987">
        <v>-6916.83</v>
      </c>
      <c r="D987">
        <v>136000.04999999999</v>
      </c>
    </row>
    <row r="988" spans="1:4" x14ac:dyDescent="0.25">
      <c r="A988" s="1">
        <v>45653</v>
      </c>
      <c r="B988" t="s">
        <v>799</v>
      </c>
      <c r="C988">
        <v>-36469.589999999997</v>
      </c>
      <c r="D988">
        <v>99530.46</v>
      </c>
    </row>
    <row r="989" spans="1:4" x14ac:dyDescent="0.25">
      <c r="A989" s="1">
        <v>45653</v>
      </c>
      <c r="B989" t="s">
        <v>800</v>
      </c>
      <c r="C989">
        <v>-6185.73</v>
      </c>
      <c r="D989">
        <v>93344.73</v>
      </c>
    </row>
    <row r="990" spans="1:4" x14ac:dyDescent="0.25">
      <c r="A990" s="1">
        <v>45653</v>
      </c>
      <c r="B990" t="s">
        <v>801</v>
      </c>
      <c r="C990">
        <v>-205.62</v>
      </c>
      <c r="D990">
        <v>93139.11</v>
      </c>
    </row>
    <row r="991" spans="1:4" x14ac:dyDescent="0.25">
      <c r="A991" s="1">
        <v>45656</v>
      </c>
      <c r="B991" t="s">
        <v>802</v>
      </c>
      <c r="C991">
        <v>64919</v>
      </c>
      <c r="D991">
        <v>158058.10999999999</v>
      </c>
    </row>
    <row r="992" spans="1:4" x14ac:dyDescent="0.25">
      <c r="A992" s="1">
        <v>45656</v>
      </c>
      <c r="B992" t="s">
        <v>785</v>
      </c>
      <c r="C992">
        <v>324</v>
      </c>
      <c r="D992">
        <v>158382.10999999999</v>
      </c>
    </row>
    <row r="993" spans="1:4" x14ac:dyDescent="0.25">
      <c r="A993" s="1">
        <v>45656</v>
      </c>
      <c r="B993" t="s">
        <v>803</v>
      </c>
      <c r="C993">
        <v>-14000</v>
      </c>
      <c r="D993">
        <v>144382.10999999999</v>
      </c>
    </row>
    <row r="994" spans="1:4" x14ac:dyDescent="0.25">
      <c r="A994" s="1">
        <v>45656</v>
      </c>
      <c r="B994" t="s">
        <v>804</v>
      </c>
      <c r="C994">
        <v>-16</v>
      </c>
      <c r="D994">
        <v>144366.10999999999</v>
      </c>
    </row>
    <row r="995" spans="1:4" x14ac:dyDescent="0.25">
      <c r="A995" s="1">
        <v>45657</v>
      </c>
      <c r="B995" t="s">
        <v>805</v>
      </c>
      <c r="C995">
        <v>-390.74</v>
      </c>
      <c r="D995">
        <v>143975.37</v>
      </c>
    </row>
    <row r="996" spans="1:4" x14ac:dyDescent="0.25">
      <c r="A996" s="1">
        <v>45657</v>
      </c>
      <c r="B996" t="s">
        <v>806</v>
      </c>
      <c r="C996">
        <v>-395.42</v>
      </c>
      <c r="D996">
        <v>143579.95000000001</v>
      </c>
    </row>
    <row r="997" spans="1:4" x14ac:dyDescent="0.25">
      <c r="A997" s="1">
        <v>45657</v>
      </c>
      <c r="B997" t="s">
        <v>807</v>
      </c>
      <c r="C997">
        <v>-154.54</v>
      </c>
      <c r="D997">
        <v>143425.41</v>
      </c>
    </row>
    <row r="998" spans="1:4" x14ac:dyDescent="0.25">
      <c r="A998" s="1">
        <v>45659</v>
      </c>
      <c r="B998" t="s">
        <v>785</v>
      </c>
      <c r="C998">
        <v>7331.56</v>
      </c>
      <c r="D998">
        <v>150756.97</v>
      </c>
    </row>
    <row r="999" spans="1:4" x14ac:dyDescent="0.25">
      <c r="A999" s="1">
        <v>45659</v>
      </c>
      <c r="B999" t="s">
        <v>785</v>
      </c>
      <c r="C999">
        <v>229.2</v>
      </c>
      <c r="D999">
        <v>150986.17000000001</v>
      </c>
    </row>
    <row r="1000" spans="1:4" x14ac:dyDescent="0.25">
      <c r="A1000" s="1">
        <v>45659</v>
      </c>
      <c r="B1000" t="s">
        <v>808</v>
      </c>
      <c r="C1000">
        <v>-142</v>
      </c>
      <c r="D1000">
        <v>150844.17000000001</v>
      </c>
    </row>
    <row r="1001" spans="1:4" x14ac:dyDescent="0.25">
      <c r="A1001" s="1">
        <v>45659</v>
      </c>
      <c r="B1001" t="s">
        <v>809</v>
      </c>
      <c r="C1001">
        <v>-180</v>
      </c>
      <c r="D1001">
        <v>150664.17000000001</v>
      </c>
    </row>
    <row r="1002" spans="1:4" x14ac:dyDescent="0.25">
      <c r="A1002" s="1">
        <v>45659</v>
      </c>
      <c r="B1002" t="s">
        <v>810</v>
      </c>
      <c r="C1002">
        <v>-51.43</v>
      </c>
      <c r="D1002">
        <v>150612.74</v>
      </c>
    </row>
    <row r="1003" spans="1:4" x14ac:dyDescent="0.25">
      <c r="A1003" s="1">
        <v>45659</v>
      </c>
      <c r="B1003" t="s">
        <v>811</v>
      </c>
      <c r="C1003">
        <v>-31.86</v>
      </c>
      <c r="D1003">
        <v>150580.88</v>
      </c>
    </row>
    <row r="1004" spans="1:4" x14ac:dyDescent="0.25">
      <c r="A1004" s="1">
        <v>45659</v>
      </c>
      <c r="B1004" t="s">
        <v>812</v>
      </c>
      <c r="C1004">
        <v>-8.26</v>
      </c>
      <c r="D1004">
        <v>150572.62</v>
      </c>
    </row>
    <row r="1005" spans="1:4" x14ac:dyDescent="0.25">
      <c r="A1005" s="1">
        <v>45659</v>
      </c>
      <c r="B1005" t="s">
        <v>813</v>
      </c>
      <c r="C1005">
        <v>-169.83</v>
      </c>
      <c r="D1005">
        <v>150402.79</v>
      </c>
    </row>
    <row r="1006" spans="1:4" x14ac:dyDescent="0.25">
      <c r="A1006" s="1">
        <v>45659</v>
      </c>
      <c r="B1006" t="s">
        <v>814</v>
      </c>
      <c r="C1006">
        <v>-8.4700000000000006</v>
      </c>
      <c r="D1006">
        <v>150394.32</v>
      </c>
    </row>
    <row r="1007" spans="1:4" x14ac:dyDescent="0.25">
      <c r="A1007" s="1">
        <v>45659</v>
      </c>
      <c r="B1007" t="s">
        <v>815</v>
      </c>
      <c r="C1007">
        <v>-179.71</v>
      </c>
      <c r="D1007">
        <v>150214.60999999999</v>
      </c>
    </row>
    <row r="1008" spans="1:4" x14ac:dyDescent="0.25">
      <c r="A1008" s="1">
        <v>45659</v>
      </c>
      <c r="B1008" t="s">
        <v>816</v>
      </c>
      <c r="C1008">
        <v>-9.1</v>
      </c>
      <c r="D1008">
        <v>150205.51</v>
      </c>
    </row>
    <row r="1009" spans="1:4" x14ac:dyDescent="0.25">
      <c r="A1009" s="1">
        <v>45659</v>
      </c>
      <c r="B1009" t="s">
        <v>817</v>
      </c>
      <c r="C1009">
        <v>-6400</v>
      </c>
      <c r="D1009">
        <v>143805.51</v>
      </c>
    </row>
    <row r="1010" spans="1:4" x14ac:dyDescent="0.25">
      <c r="A1010" s="1">
        <v>45659</v>
      </c>
      <c r="B1010" t="s">
        <v>818</v>
      </c>
      <c r="C1010">
        <v>-78184.95</v>
      </c>
      <c r="D1010">
        <v>65620.56</v>
      </c>
    </row>
    <row r="1011" spans="1:4" x14ac:dyDescent="0.25">
      <c r="A1011" s="1">
        <v>45659</v>
      </c>
      <c r="B1011" t="s">
        <v>819</v>
      </c>
      <c r="C1011">
        <v>-5300.8</v>
      </c>
      <c r="D1011">
        <v>60319.76</v>
      </c>
    </row>
    <row r="1012" spans="1:4" x14ac:dyDescent="0.25">
      <c r="A1012" s="1">
        <v>45660</v>
      </c>
      <c r="B1012" t="s">
        <v>820</v>
      </c>
      <c r="C1012">
        <v>-204.38</v>
      </c>
      <c r="D1012">
        <v>60115.38</v>
      </c>
    </row>
    <row r="1013" spans="1:4" x14ac:dyDescent="0.25">
      <c r="A1013" s="1">
        <v>45660</v>
      </c>
      <c r="B1013" t="s">
        <v>821</v>
      </c>
      <c r="C1013">
        <v>-147.69</v>
      </c>
      <c r="D1013">
        <v>59967.69</v>
      </c>
    </row>
    <row r="1014" spans="1:4" x14ac:dyDescent="0.25">
      <c r="A1014" s="1">
        <v>45660</v>
      </c>
      <c r="B1014" t="s">
        <v>822</v>
      </c>
      <c r="C1014">
        <v>-106.2</v>
      </c>
      <c r="D1014">
        <v>59861.49</v>
      </c>
    </row>
    <row r="1015" spans="1:4" x14ac:dyDescent="0.25">
      <c r="A1015" s="1">
        <v>45663</v>
      </c>
      <c r="B1015" t="s">
        <v>785</v>
      </c>
      <c r="C1015">
        <v>26485</v>
      </c>
      <c r="D1015">
        <v>86346.49</v>
      </c>
    </row>
    <row r="1016" spans="1:4" x14ac:dyDescent="0.25">
      <c r="A1016" s="1">
        <v>45663</v>
      </c>
      <c r="B1016" t="s">
        <v>823</v>
      </c>
      <c r="C1016">
        <v>20717</v>
      </c>
      <c r="D1016">
        <v>107063.49</v>
      </c>
    </row>
    <row r="1017" spans="1:4" x14ac:dyDescent="0.25">
      <c r="A1017" s="1">
        <v>45663</v>
      </c>
      <c r="B1017" t="s">
        <v>824</v>
      </c>
      <c r="C1017">
        <v>-274.13</v>
      </c>
      <c r="D1017">
        <v>106789.36</v>
      </c>
    </row>
    <row r="1018" spans="1:4" x14ac:dyDescent="0.25">
      <c r="A1018" s="1">
        <v>45663</v>
      </c>
      <c r="B1018" t="s">
        <v>825</v>
      </c>
      <c r="C1018">
        <v>-20000</v>
      </c>
      <c r="D1018">
        <v>86789.36</v>
      </c>
    </row>
    <row r="1019" spans="1:4" x14ac:dyDescent="0.25">
      <c r="A1019" s="1">
        <v>45664</v>
      </c>
      <c r="B1019" t="s">
        <v>826</v>
      </c>
      <c r="C1019">
        <v>-138.26</v>
      </c>
      <c r="D1019">
        <v>86651.1</v>
      </c>
    </row>
    <row r="1020" spans="1:4" x14ac:dyDescent="0.25">
      <c r="A1020" s="1">
        <v>45664</v>
      </c>
      <c r="B1020" t="s">
        <v>826</v>
      </c>
      <c r="C1020">
        <v>-2791.41</v>
      </c>
      <c r="D1020">
        <v>83859.69</v>
      </c>
    </row>
    <row r="1021" spans="1:4" x14ac:dyDescent="0.25">
      <c r="A1021" s="1">
        <v>45664</v>
      </c>
      <c r="B1021" t="s">
        <v>827</v>
      </c>
      <c r="C1021">
        <v>-5089.5</v>
      </c>
      <c r="D1021">
        <v>78770.19</v>
      </c>
    </row>
    <row r="1022" spans="1:4" x14ac:dyDescent="0.25">
      <c r="A1022" s="1">
        <v>45664</v>
      </c>
      <c r="B1022" t="s">
        <v>110</v>
      </c>
      <c r="C1022">
        <v>-50</v>
      </c>
      <c r="D1022">
        <v>78720.19</v>
      </c>
    </row>
    <row r="1023" spans="1:4" x14ac:dyDescent="0.25">
      <c r="A1023" s="1">
        <v>45665</v>
      </c>
      <c r="B1023" t="s">
        <v>785</v>
      </c>
      <c r="C1023">
        <v>663.02</v>
      </c>
      <c r="D1023">
        <v>79383.210000000006</v>
      </c>
    </row>
    <row r="1024" spans="1:4" x14ac:dyDescent="0.25">
      <c r="A1024" s="1">
        <v>45665</v>
      </c>
      <c r="B1024" t="s">
        <v>828</v>
      </c>
      <c r="C1024">
        <v>-500</v>
      </c>
      <c r="D1024">
        <v>78883.210000000006</v>
      </c>
    </row>
    <row r="1025" spans="1:4" x14ac:dyDescent="0.25">
      <c r="A1025" s="1">
        <v>45666</v>
      </c>
      <c r="B1025" t="s">
        <v>785</v>
      </c>
      <c r="C1025">
        <v>346</v>
      </c>
      <c r="D1025">
        <v>79229.210000000006</v>
      </c>
    </row>
    <row r="1026" spans="1:4" x14ac:dyDescent="0.25">
      <c r="A1026" s="1">
        <v>45666</v>
      </c>
      <c r="B1026" t="s">
        <v>829</v>
      </c>
      <c r="C1026">
        <v>-304.58</v>
      </c>
      <c r="D1026">
        <v>78924.63</v>
      </c>
    </row>
    <row r="1027" spans="1:4" x14ac:dyDescent="0.25">
      <c r="A1027" s="1">
        <v>45666</v>
      </c>
      <c r="B1027" t="s">
        <v>830</v>
      </c>
      <c r="C1027">
        <v>-1420</v>
      </c>
      <c r="D1027">
        <v>77504.63</v>
      </c>
    </row>
    <row r="1028" spans="1:4" x14ac:dyDescent="0.25">
      <c r="A1028" s="1">
        <v>45666</v>
      </c>
      <c r="B1028" t="s">
        <v>831</v>
      </c>
      <c r="C1028">
        <v>-17549.900000000001</v>
      </c>
      <c r="D1028">
        <v>59954.73</v>
      </c>
    </row>
    <row r="1029" spans="1:4" x14ac:dyDescent="0.25">
      <c r="A1029" s="1">
        <v>45666</v>
      </c>
      <c r="B1029" t="s">
        <v>44</v>
      </c>
      <c r="C1029">
        <v>-126.43</v>
      </c>
      <c r="D1029">
        <v>59828.3</v>
      </c>
    </row>
    <row r="1030" spans="1:4" x14ac:dyDescent="0.25">
      <c r="A1030" s="1">
        <v>45667</v>
      </c>
      <c r="B1030" t="s">
        <v>785</v>
      </c>
      <c r="C1030">
        <v>3266.05</v>
      </c>
      <c r="D1030">
        <v>63094.35</v>
      </c>
    </row>
    <row r="1031" spans="1:4" x14ac:dyDescent="0.25">
      <c r="A1031" s="1">
        <v>45667</v>
      </c>
      <c r="B1031" t="s">
        <v>832</v>
      </c>
      <c r="C1031">
        <v>-21486.77</v>
      </c>
      <c r="D1031">
        <v>41607.58</v>
      </c>
    </row>
    <row r="1032" spans="1:4" x14ac:dyDescent="0.25">
      <c r="A1032" s="1">
        <v>45667</v>
      </c>
      <c r="B1032" t="s">
        <v>833</v>
      </c>
      <c r="C1032">
        <v>-5020.3900000000003</v>
      </c>
      <c r="D1032">
        <v>36587.19</v>
      </c>
    </row>
    <row r="1033" spans="1:4" x14ac:dyDescent="0.25">
      <c r="A1033" s="1">
        <v>45667</v>
      </c>
      <c r="B1033" t="s">
        <v>834</v>
      </c>
      <c r="C1033">
        <v>-433.38</v>
      </c>
      <c r="D1033">
        <v>36153.81</v>
      </c>
    </row>
    <row r="1034" spans="1:4" x14ac:dyDescent="0.25">
      <c r="A1034" s="1">
        <v>45670</v>
      </c>
      <c r="B1034" t="s">
        <v>835</v>
      </c>
      <c r="C1034">
        <v>19018</v>
      </c>
      <c r="D1034">
        <v>55171.81</v>
      </c>
    </row>
    <row r="1035" spans="1:4" x14ac:dyDescent="0.25">
      <c r="A1035" s="1">
        <v>45670</v>
      </c>
      <c r="B1035" t="s">
        <v>836</v>
      </c>
      <c r="C1035">
        <v>-20</v>
      </c>
      <c r="D1035">
        <v>55151.81</v>
      </c>
    </row>
    <row r="1036" spans="1:4" x14ac:dyDescent="0.25">
      <c r="A1036" s="1">
        <v>45671</v>
      </c>
      <c r="B1036" t="s">
        <v>22</v>
      </c>
      <c r="C1036">
        <v>436.8</v>
      </c>
      <c r="D1036">
        <v>55588.61</v>
      </c>
    </row>
    <row r="1037" spans="1:4" x14ac:dyDescent="0.25">
      <c r="A1037" s="1">
        <v>45672</v>
      </c>
      <c r="B1037" t="s">
        <v>785</v>
      </c>
      <c r="C1037">
        <v>280</v>
      </c>
      <c r="D1037">
        <v>55868.61</v>
      </c>
    </row>
    <row r="1038" spans="1:4" x14ac:dyDescent="0.25">
      <c r="A1038" s="1">
        <v>45672</v>
      </c>
      <c r="B1038" t="s">
        <v>837</v>
      </c>
      <c r="C1038">
        <v>-10000</v>
      </c>
      <c r="D1038">
        <v>45868.61</v>
      </c>
    </row>
    <row r="1039" spans="1:4" x14ac:dyDescent="0.25">
      <c r="A1039" s="1">
        <v>45673</v>
      </c>
      <c r="B1039" t="s">
        <v>785</v>
      </c>
      <c r="C1039">
        <v>872.62</v>
      </c>
      <c r="D1039">
        <v>46741.23</v>
      </c>
    </row>
    <row r="1040" spans="1:4" x14ac:dyDescent="0.25">
      <c r="A1040" s="1">
        <v>45674</v>
      </c>
      <c r="B1040" t="s">
        <v>785</v>
      </c>
      <c r="C1040">
        <v>3907.46</v>
      </c>
      <c r="D1040">
        <v>50648.69</v>
      </c>
    </row>
    <row r="1041" spans="1:4" x14ac:dyDescent="0.25">
      <c r="A1041" s="1">
        <v>45674</v>
      </c>
      <c r="B1041" t="s">
        <v>838</v>
      </c>
      <c r="C1041">
        <v>-992.67</v>
      </c>
      <c r="D1041">
        <v>49656.02</v>
      </c>
    </row>
    <row r="1042" spans="1:4" x14ac:dyDescent="0.25">
      <c r="A1042" s="1">
        <v>45674</v>
      </c>
      <c r="B1042" t="s">
        <v>839</v>
      </c>
      <c r="C1042">
        <v>-390</v>
      </c>
      <c r="D1042">
        <v>49266.02</v>
      </c>
    </row>
    <row r="1043" spans="1:4" x14ac:dyDescent="0.25">
      <c r="A1043" s="1">
        <v>45678</v>
      </c>
      <c r="B1043" t="s">
        <v>840</v>
      </c>
      <c r="C1043">
        <v>5784</v>
      </c>
      <c r="D1043">
        <v>55050.02</v>
      </c>
    </row>
    <row r="1044" spans="1:4" x14ac:dyDescent="0.25">
      <c r="A1044" s="1">
        <v>45678</v>
      </c>
      <c r="B1044" t="s">
        <v>841</v>
      </c>
      <c r="C1044">
        <v>1320.56</v>
      </c>
      <c r="D1044">
        <v>56370.58</v>
      </c>
    </row>
    <row r="1045" spans="1:4" x14ac:dyDescent="0.25">
      <c r="A1045" s="1">
        <v>45678</v>
      </c>
      <c r="B1045" t="s">
        <v>22</v>
      </c>
      <c r="C1045">
        <v>350</v>
      </c>
      <c r="D1045">
        <v>56720.58</v>
      </c>
    </row>
    <row r="1046" spans="1:4" x14ac:dyDescent="0.25">
      <c r="A1046" s="1">
        <v>45678</v>
      </c>
      <c r="B1046" t="s">
        <v>22</v>
      </c>
      <c r="C1046">
        <v>251.88</v>
      </c>
      <c r="D1046">
        <v>56972.46</v>
      </c>
    </row>
    <row r="1047" spans="1:4" x14ac:dyDescent="0.25">
      <c r="A1047" s="1">
        <v>45678</v>
      </c>
      <c r="B1047" t="s">
        <v>785</v>
      </c>
      <c r="C1047">
        <v>232</v>
      </c>
      <c r="D1047">
        <v>57204.46</v>
      </c>
    </row>
    <row r="1048" spans="1:4" x14ac:dyDescent="0.25">
      <c r="A1048" s="1">
        <v>45678</v>
      </c>
      <c r="B1048" t="s">
        <v>842</v>
      </c>
      <c r="C1048">
        <v>-3574.07</v>
      </c>
      <c r="D1048">
        <v>53630.39</v>
      </c>
    </row>
    <row r="1049" spans="1:4" x14ac:dyDescent="0.25">
      <c r="A1049" s="1">
        <v>45679</v>
      </c>
      <c r="B1049" t="s">
        <v>785</v>
      </c>
      <c r="C1049">
        <v>399.8</v>
      </c>
      <c r="D1049">
        <v>54030.19</v>
      </c>
    </row>
    <row r="1050" spans="1:4" x14ac:dyDescent="0.25">
      <c r="A1050" s="1">
        <v>45679</v>
      </c>
      <c r="B1050" t="s">
        <v>110</v>
      </c>
      <c r="C1050">
        <v>-50</v>
      </c>
      <c r="D1050">
        <v>53980.19</v>
      </c>
    </row>
    <row r="1051" spans="1:4" x14ac:dyDescent="0.25">
      <c r="A1051" s="1">
        <v>45680</v>
      </c>
      <c r="B1051" t="s">
        <v>22</v>
      </c>
      <c r="C1051">
        <v>16900</v>
      </c>
      <c r="D1051">
        <v>70880.19</v>
      </c>
    </row>
    <row r="1052" spans="1:4" x14ac:dyDescent="0.25">
      <c r="A1052" s="1">
        <v>45680</v>
      </c>
      <c r="B1052" t="s">
        <v>785</v>
      </c>
      <c r="C1052">
        <v>6194.4</v>
      </c>
      <c r="D1052">
        <v>77074.59</v>
      </c>
    </row>
    <row r="1053" spans="1:4" x14ac:dyDescent="0.25">
      <c r="A1053" s="1">
        <v>45681</v>
      </c>
      <c r="B1053" t="s">
        <v>785</v>
      </c>
      <c r="C1053">
        <v>1214.8</v>
      </c>
      <c r="D1053">
        <v>78289.39</v>
      </c>
    </row>
    <row r="1054" spans="1:4" x14ac:dyDescent="0.25">
      <c r="A1054" s="1">
        <v>45681</v>
      </c>
      <c r="B1054" t="s">
        <v>22</v>
      </c>
      <c r="C1054">
        <v>100</v>
      </c>
      <c r="D1054">
        <v>78389.39</v>
      </c>
    </row>
    <row r="1055" spans="1:4" x14ac:dyDescent="0.25">
      <c r="A1055" s="1">
        <v>45681</v>
      </c>
      <c r="B1055" t="s">
        <v>843</v>
      </c>
      <c r="C1055">
        <v>-25780.19</v>
      </c>
      <c r="D1055">
        <v>52609.2</v>
      </c>
    </row>
    <row r="1056" spans="1:4" x14ac:dyDescent="0.25">
      <c r="A1056" s="1">
        <v>45681</v>
      </c>
      <c r="B1056" t="s">
        <v>844</v>
      </c>
      <c r="C1056">
        <v>-7589.02</v>
      </c>
      <c r="D1056">
        <v>45020.18</v>
      </c>
    </row>
    <row r="1057" spans="1:4" x14ac:dyDescent="0.25">
      <c r="A1057" s="1">
        <v>45681</v>
      </c>
      <c r="B1057" t="s">
        <v>845</v>
      </c>
      <c r="C1057">
        <v>-669.57</v>
      </c>
      <c r="D1057">
        <v>44350.61</v>
      </c>
    </row>
    <row r="1058" spans="1:4" x14ac:dyDescent="0.25">
      <c r="A1058" s="1">
        <v>45684</v>
      </c>
      <c r="B1058" t="s">
        <v>846</v>
      </c>
      <c r="C1058">
        <v>8688</v>
      </c>
      <c r="D1058">
        <v>53038.61</v>
      </c>
    </row>
    <row r="1059" spans="1:4" x14ac:dyDescent="0.25">
      <c r="A1059" s="1">
        <v>45684</v>
      </c>
      <c r="B1059" t="s">
        <v>188</v>
      </c>
      <c r="C1059">
        <v>2978.5</v>
      </c>
      <c r="D1059">
        <v>56017.11</v>
      </c>
    </row>
    <row r="1060" spans="1:4" x14ac:dyDescent="0.25">
      <c r="A1060" s="1">
        <v>45684</v>
      </c>
      <c r="B1060" t="s">
        <v>785</v>
      </c>
      <c r="C1060">
        <v>500</v>
      </c>
      <c r="D1060">
        <v>56517.11</v>
      </c>
    </row>
    <row r="1061" spans="1:4" x14ac:dyDescent="0.25">
      <c r="A1061" s="1">
        <v>45684</v>
      </c>
      <c r="B1061" t="s">
        <v>785</v>
      </c>
      <c r="C1061">
        <v>226</v>
      </c>
      <c r="D1061">
        <v>56743.11</v>
      </c>
    </row>
    <row r="1062" spans="1:4" x14ac:dyDescent="0.25">
      <c r="A1062" s="1">
        <v>45684</v>
      </c>
      <c r="B1062" t="s">
        <v>847</v>
      </c>
      <c r="C1062">
        <v>-2000</v>
      </c>
      <c r="D1062">
        <v>54743.11</v>
      </c>
    </row>
    <row r="1063" spans="1:4" x14ac:dyDescent="0.25">
      <c r="A1063" s="1">
        <v>45684</v>
      </c>
      <c r="B1063" t="s">
        <v>848</v>
      </c>
      <c r="C1063">
        <v>-25</v>
      </c>
      <c r="D1063">
        <v>54718.11</v>
      </c>
    </row>
    <row r="1064" spans="1:4" x14ac:dyDescent="0.25">
      <c r="A1064" s="1">
        <v>45685</v>
      </c>
      <c r="B1064" t="s">
        <v>849</v>
      </c>
      <c r="C1064">
        <v>-33.86</v>
      </c>
      <c r="D1064">
        <v>54684.25</v>
      </c>
    </row>
    <row r="1065" spans="1:4" x14ac:dyDescent="0.25">
      <c r="A1065" s="1">
        <v>45686</v>
      </c>
      <c r="B1065" t="s">
        <v>785</v>
      </c>
      <c r="C1065">
        <v>1140.0999999999999</v>
      </c>
      <c r="D1065">
        <v>55824.35</v>
      </c>
    </row>
    <row r="1066" spans="1:4" x14ac:dyDescent="0.25">
      <c r="A1066" s="1">
        <v>45686</v>
      </c>
      <c r="B1066" t="s">
        <v>850</v>
      </c>
      <c r="C1066">
        <v>-15000</v>
      </c>
      <c r="D1066">
        <v>40824.35</v>
      </c>
    </row>
    <row r="1067" spans="1:4" x14ac:dyDescent="0.25">
      <c r="A1067" s="1">
        <v>45686</v>
      </c>
      <c r="B1067" t="s">
        <v>851</v>
      </c>
      <c r="C1067">
        <v>-36.159999999999997</v>
      </c>
      <c r="D1067">
        <v>40788.19</v>
      </c>
    </row>
    <row r="1068" spans="1:4" x14ac:dyDescent="0.25">
      <c r="A1068" s="1">
        <v>45687</v>
      </c>
      <c r="B1068" t="s">
        <v>785</v>
      </c>
      <c r="C1068">
        <v>14581.87</v>
      </c>
      <c r="D1068">
        <v>55370.06</v>
      </c>
    </row>
    <row r="1069" spans="1:4" x14ac:dyDescent="0.25">
      <c r="A1069" s="1">
        <v>45687</v>
      </c>
      <c r="B1069" t="s">
        <v>852</v>
      </c>
      <c r="C1069">
        <v>-2845.5</v>
      </c>
      <c r="D1069">
        <v>52524.56</v>
      </c>
    </row>
    <row r="1070" spans="1:4" x14ac:dyDescent="0.25">
      <c r="A1070" s="1">
        <v>45688</v>
      </c>
      <c r="B1070" t="s">
        <v>785</v>
      </c>
      <c r="C1070">
        <v>1500</v>
      </c>
      <c r="D1070">
        <v>54024.56</v>
      </c>
    </row>
    <row r="1071" spans="1:4" x14ac:dyDescent="0.25">
      <c r="A1071" s="1">
        <v>45688</v>
      </c>
      <c r="B1071" t="s">
        <v>827</v>
      </c>
      <c r="C1071">
        <v>-4801</v>
      </c>
      <c r="D1071">
        <v>49223.56</v>
      </c>
    </row>
    <row r="1072" spans="1:4" x14ac:dyDescent="0.25">
      <c r="A1072" s="1">
        <v>45688</v>
      </c>
      <c r="B1072" t="s">
        <v>853</v>
      </c>
      <c r="C1072">
        <v>-250</v>
      </c>
      <c r="D1072">
        <v>48973.56</v>
      </c>
    </row>
    <row r="1073" spans="1:4" x14ac:dyDescent="0.25">
      <c r="A1073" s="1">
        <v>45691</v>
      </c>
      <c r="B1073" t="s">
        <v>854</v>
      </c>
      <c r="C1073">
        <v>7255</v>
      </c>
      <c r="D1073">
        <v>56228.56</v>
      </c>
    </row>
    <row r="1074" spans="1:4" x14ac:dyDescent="0.25">
      <c r="A1074" s="1">
        <v>45691</v>
      </c>
      <c r="B1074" t="s">
        <v>785</v>
      </c>
      <c r="C1074">
        <v>2830.36</v>
      </c>
      <c r="D1074">
        <v>59058.92</v>
      </c>
    </row>
    <row r="1075" spans="1:4" x14ac:dyDescent="0.25">
      <c r="A1075" s="1">
        <v>45691</v>
      </c>
      <c r="B1075" t="s">
        <v>785</v>
      </c>
      <c r="C1075">
        <v>771.1</v>
      </c>
      <c r="D1075">
        <v>59830.02</v>
      </c>
    </row>
    <row r="1076" spans="1:4" x14ac:dyDescent="0.25">
      <c r="A1076" s="1">
        <v>45691</v>
      </c>
      <c r="B1076" t="s">
        <v>22</v>
      </c>
      <c r="C1076">
        <v>225</v>
      </c>
      <c r="D1076">
        <v>60055.02</v>
      </c>
    </row>
    <row r="1077" spans="1:4" x14ac:dyDescent="0.25">
      <c r="A1077" s="1">
        <v>45691</v>
      </c>
      <c r="B1077" t="s">
        <v>22</v>
      </c>
      <c r="C1077">
        <v>192.6</v>
      </c>
      <c r="D1077">
        <v>60247.62</v>
      </c>
    </row>
    <row r="1078" spans="1:4" x14ac:dyDescent="0.25">
      <c r="A1078" s="1">
        <v>45691</v>
      </c>
      <c r="B1078" t="s">
        <v>855</v>
      </c>
      <c r="C1078">
        <v>-232.69</v>
      </c>
      <c r="D1078">
        <v>60014.93</v>
      </c>
    </row>
    <row r="1079" spans="1:4" x14ac:dyDescent="0.25">
      <c r="A1079" s="1">
        <v>45691</v>
      </c>
      <c r="B1079" t="s">
        <v>856</v>
      </c>
      <c r="C1079">
        <v>-421.82</v>
      </c>
      <c r="D1079">
        <v>59593.11</v>
      </c>
    </row>
    <row r="1080" spans="1:4" x14ac:dyDescent="0.25">
      <c r="A1080" s="1">
        <v>45691</v>
      </c>
      <c r="B1080" t="s">
        <v>819</v>
      </c>
      <c r="C1080">
        <v>-3291.3</v>
      </c>
      <c r="D1080">
        <v>56301.81</v>
      </c>
    </row>
    <row r="1081" spans="1:4" x14ac:dyDescent="0.25">
      <c r="A1081" s="1">
        <v>45691</v>
      </c>
      <c r="B1081" t="s">
        <v>720</v>
      </c>
      <c r="C1081">
        <v>-638.25</v>
      </c>
      <c r="D1081">
        <v>55663.56</v>
      </c>
    </row>
    <row r="1082" spans="1:4" x14ac:dyDescent="0.25">
      <c r="A1082" s="1">
        <v>45692</v>
      </c>
      <c r="B1082" t="s">
        <v>110</v>
      </c>
      <c r="C1082">
        <v>-50</v>
      </c>
      <c r="D1082">
        <v>55613.56</v>
      </c>
    </row>
    <row r="1083" spans="1:4" x14ac:dyDescent="0.25">
      <c r="A1083" s="1">
        <v>45693</v>
      </c>
      <c r="B1083" t="s">
        <v>785</v>
      </c>
      <c r="C1083">
        <v>140.4</v>
      </c>
      <c r="D1083">
        <v>55753.96</v>
      </c>
    </row>
    <row r="1084" spans="1:4" x14ac:dyDescent="0.25">
      <c r="A1084" s="1">
        <v>45693</v>
      </c>
      <c r="B1084" t="s">
        <v>785</v>
      </c>
      <c r="C1084">
        <v>57.38</v>
      </c>
      <c r="D1084">
        <v>55811.34</v>
      </c>
    </row>
    <row r="1085" spans="1:4" x14ac:dyDescent="0.25">
      <c r="A1085" s="1">
        <v>45693</v>
      </c>
      <c r="B1085" t="s">
        <v>857</v>
      </c>
      <c r="C1085">
        <v>-367.19</v>
      </c>
      <c r="D1085">
        <v>55444.15</v>
      </c>
    </row>
    <row r="1086" spans="1:4" x14ac:dyDescent="0.25">
      <c r="A1086" s="1">
        <v>45694</v>
      </c>
      <c r="B1086" t="s">
        <v>785</v>
      </c>
      <c r="C1086">
        <v>12149.9</v>
      </c>
      <c r="D1086">
        <v>67594.05</v>
      </c>
    </row>
    <row r="1087" spans="1:4" x14ac:dyDescent="0.25">
      <c r="A1087" s="1">
        <v>45695</v>
      </c>
      <c r="B1087" t="s">
        <v>785</v>
      </c>
      <c r="C1087">
        <v>2247.5</v>
      </c>
      <c r="D1087">
        <v>69841.55</v>
      </c>
    </row>
    <row r="1088" spans="1:4" x14ac:dyDescent="0.25">
      <c r="A1088" s="1">
        <v>45695</v>
      </c>
      <c r="B1088" t="s">
        <v>22</v>
      </c>
      <c r="C1088">
        <v>1750</v>
      </c>
      <c r="D1088">
        <v>71591.55</v>
      </c>
    </row>
    <row r="1089" spans="1:4" x14ac:dyDescent="0.25">
      <c r="A1089" s="1">
        <v>45695</v>
      </c>
      <c r="B1089" t="s">
        <v>22</v>
      </c>
      <c r="C1089">
        <v>1005.8</v>
      </c>
      <c r="D1089">
        <v>72597.350000000006</v>
      </c>
    </row>
    <row r="1090" spans="1:4" x14ac:dyDescent="0.25">
      <c r="A1090" s="1">
        <v>45695</v>
      </c>
      <c r="B1090" t="s">
        <v>22</v>
      </c>
      <c r="C1090">
        <v>912</v>
      </c>
      <c r="D1090">
        <v>73509.350000000006</v>
      </c>
    </row>
    <row r="1091" spans="1:4" x14ac:dyDescent="0.25">
      <c r="A1091" s="1">
        <v>45695</v>
      </c>
      <c r="B1091" t="s">
        <v>22</v>
      </c>
      <c r="C1091">
        <v>100</v>
      </c>
      <c r="D1091">
        <v>73609.350000000006</v>
      </c>
    </row>
    <row r="1092" spans="1:4" x14ac:dyDescent="0.25">
      <c r="A1092" s="1">
        <v>45695</v>
      </c>
      <c r="B1092" t="s">
        <v>858</v>
      </c>
      <c r="C1092">
        <v>-250</v>
      </c>
      <c r="D1092">
        <v>73359.350000000006</v>
      </c>
    </row>
    <row r="1093" spans="1:4" x14ac:dyDescent="0.25">
      <c r="A1093" s="1">
        <v>45695</v>
      </c>
      <c r="B1093" t="s">
        <v>859</v>
      </c>
      <c r="C1093">
        <v>-26101.68</v>
      </c>
      <c r="D1093">
        <v>47257.67</v>
      </c>
    </row>
    <row r="1094" spans="1:4" x14ac:dyDescent="0.25">
      <c r="A1094" s="1">
        <v>45695</v>
      </c>
      <c r="B1094" t="s">
        <v>860</v>
      </c>
      <c r="C1094">
        <v>-7728.43</v>
      </c>
      <c r="D1094">
        <v>39529.24</v>
      </c>
    </row>
    <row r="1095" spans="1:4" x14ac:dyDescent="0.25">
      <c r="A1095" s="1">
        <v>45695</v>
      </c>
      <c r="B1095" t="s">
        <v>861</v>
      </c>
      <c r="C1095">
        <v>-653.54999999999995</v>
      </c>
      <c r="D1095">
        <v>38875.69</v>
      </c>
    </row>
    <row r="1096" spans="1:4" x14ac:dyDescent="0.25">
      <c r="A1096" s="1">
        <v>45698</v>
      </c>
      <c r="B1096" t="s">
        <v>862</v>
      </c>
      <c r="C1096">
        <v>22337</v>
      </c>
      <c r="D1096">
        <v>61212.69</v>
      </c>
    </row>
    <row r="1097" spans="1:4" x14ac:dyDescent="0.25">
      <c r="A1097" s="1">
        <v>45698</v>
      </c>
      <c r="B1097" t="s">
        <v>785</v>
      </c>
      <c r="C1097">
        <v>400</v>
      </c>
      <c r="D1097">
        <v>61612.69</v>
      </c>
    </row>
    <row r="1098" spans="1:4" x14ac:dyDescent="0.25">
      <c r="A1098" s="1">
        <v>45698</v>
      </c>
      <c r="B1098" t="s">
        <v>863</v>
      </c>
      <c r="C1098">
        <v>-510.24</v>
      </c>
      <c r="D1098">
        <v>61102.45</v>
      </c>
    </row>
    <row r="1099" spans="1:4" x14ac:dyDescent="0.25">
      <c r="A1099" s="1">
        <v>45698</v>
      </c>
      <c r="B1099" t="s">
        <v>864</v>
      </c>
      <c r="C1099">
        <v>-27</v>
      </c>
      <c r="D1099">
        <v>61075.45</v>
      </c>
    </row>
    <row r="1100" spans="1:4" x14ac:dyDescent="0.25">
      <c r="A1100" s="1">
        <v>45700</v>
      </c>
      <c r="B1100" t="s">
        <v>785</v>
      </c>
      <c r="C1100">
        <v>394.6</v>
      </c>
      <c r="D1100">
        <v>61470.05</v>
      </c>
    </row>
    <row r="1101" spans="1:4" x14ac:dyDescent="0.25">
      <c r="A1101" s="1">
        <v>45700</v>
      </c>
      <c r="B1101" t="s">
        <v>44</v>
      </c>
      <c r="C1101">
        <v>-126.43</v>
      </c>
      <c r="D1101">
        <v>61343.62</v>
      </c>
    </row>
    <row r="1102" spans="1:4" x14ac:dyDescent="0.25">
      <c r="A1102" s="1">
        <v>45702</v>
      </c>
      <c r="B1102" t="s">
        <v>865</v>
      </c>
      <c r="C1102">
        <v>-400</v>
      </c>
      <c r="D1102">
        <v>60943.62</v>
      </c>
    </row>
    <row r="1103" spans="1:4" x14ac:dyDescent="0.25">
      <c r="A1103" s="1">
        <v>45706</v>
      </c>
      <c r="B1103" t="s">
        <v>866</v>
      </c>
      <c r="C1103">
        <v>3200</v>
      </c>
      <c r="D1103">
        <v>64143.62</v>
      </c>
    </row>
    <row r="1104" spans="1:4" x14ac:dyDescent="0.25">
      <c r="A1104" s="1">
        <v>45706</v>
      </c>
      <c r="B1104" t="s">
        <v>785</v>
      </c>
      <c r="C1104">
        <v>179.5</v>
      </c>
      <c r="D1104">
        <v>64323.12</v>
      </c>
    </row>
    <row r="1105" spans="1:4" x14ac:dyDescent="0.25">
      <c r="A1105" s="1">
        <v>45706</v>
      </c>
      <c r="B1105" t="s">
        <v>867</v>
      </c>
      <c r="C1105">
        <v>-81.67</v>
      </c>
      <c r="D1105">
        <v>64241.45</v>
      </c>
    </row>
    <row r="1106" spans="1:4" x14ac:dyDescent="0.25">
      <c r="A1106" s="1">
        <v>45706</v>
      </c>
      <c r="B1106" t="s">
        <v>868</v>
      </c>
      <c r="C1106">
        <v>-6126.56</v>
      </c>
      <c r="D1106">
        <v>58114.89</v>
      </c>
    </row>
    <row r="1107" spans="1:4" x14ac:dyDescent="0.25">
      <c r="A1107" s="1">
        <v>45706</v>
      </c>
      <c r="B1107" t="s">
        <v>869</v>
      </c>
      <c r="C1107">
        <v>-1275.9100000000001</v>
      </c>
      <c r="D1107">
        <v>56838.98</v>
      </c>
    </row>
    <row r="1108" spans="1:4" x14ac:dyDescent="0.25">
      <c r="A1108" s="1">
        <v>45706</v>
      </c>
      <c r="B1108" t="s">
        <v>110</v>
      </c>
      <c r="C1108">
        <v>-50</v>
      </c>
      <c r="D1108">
        <v>56788.98</v>
      </c>
    </row>
    <row r="1109" spans="1:4" x14ac:dyDescent="0.25">
      <c r="A1109" s="1">
        <v>45707</v>
      </c>
      <c r="B1109" t="s">
        <v>785</v>
      </c>
      <c r="C1109">
        <v>434</v>
      </c>
      <c r="D1109">
        <v>57222.98</v>
      </c>
    </row>
    <row r="1110" spans="1:4" x14ac:dyDescent="0.25">
      <c r="A1110" s="1">
        <v>45707</v>
      </c>
      <c r="B1110" t="s">
        <v>870</v>
      </c>
      <c r="C1110">
        <v>-99.48</v>
      </c>
      <c r="D1110">
        <v>57123.5</v>
      </c>
    </row>
    <row r="1111" spans="1:4" x14ac:dyDescent="0.25">
      <c r="A1111" s="1">
        <v>45707</v>
      </c>
      <c r="B1111" t="s">
        <v>871</v>
      </c>
      <c r="C1111">
        <v>-469.44</v>
      </c>
      <c r="D1111">
        <v>56654.06</v>
      </c>
    </row>
    <row r="1112" spans="1:4" x14ac:dyDescent="0.25">
      <c r="A1112" s="1">
        <v>45707</v>
      </c>
      <c r="B1112" t="s">
        <v>872</v>
      </c>
      <c r="C1112">
        <v>-772.37</v>
      </c>
      <c r="D1112">
        <v>55881.69</v>
      </c>
    </row>
    <row r="1113" spans="1:4" x14ac:dyDescent="0.25">
      <c r="A1113" s="1">
        <v>45707</v>
      </c>
      <c r="B1113" t="s">
        <v>873</v>
      </c>
      <c r="C1113">
        <v>-88.75</v>
      </c>
      <c r="D1113">
        <v>55792.94</v>
      </c>
    </row>
    <row r="1114" spans="1:4" x14ac:dyDescent="0.25">
      <c r="A1114" s="1">
        <v>45707</v>
      </c>
      <c r="B1114" t="s">
        <v>874</v>
      </c>
      <c r="C1114">
        <v>-4221.88</v>
      </c>
      <c r="D1114">
        <v>51571.06</v>
      </c>
    </row>
    <row r="1115" spans="1:4" x14ac:dyDescent="0.25">
      <c r="A1115" s="1">
        <v>45707</v>
      </c>
      <c r="B1115" t="s">
        <v>875</v>
      </c>
      <c r="C1115">
        <v>-31.2</v>
      </c>
      <c r="D1115">
        <v>51539.86</v>
      </c>
    </row>
    <row r="1116" spans="1:4" x14ac:dyDescent="0.25">
      <c r="A1116" s="1">
        <v>45708</v>
      </c>
      <c r="B1116" t="s">
        <v>876</v>
      </c>
      <c r="C1116">
        <v>8360.7000000000007</v>
      </c>
      <c r="D1116">
        <v>59900.56</v>
      </c>
    </row>
    <row r="1117" spans="1:4" x14ac:dyDescent="0.25">
      <c r="A1117" s="1">
        <v>45708</v>
      </c>
      <c r="B1117" t="s">
        <v>785</v>
      </c>
      <c r="C1117">
        <v>101</v>
      </c>
      <c r="D1117">
        <v>60001.56</v>
      </c>
    </row>
    <row r="1118" spans="1:4" x14ac:dyDescent="0.25">
      <c r="A1118" s="1">
        <v>45708</v>
      </c>
      <c r="B1118" t="s">
        <v>877</v>
      </c>
      <c r="C1118">
        <v>-1733.18</v>
      </c>
      <c r="D1118">
        <v>58268.38</v>
      </c>
    </row>
    <row r="1119" spans="1:4" x14ac:dyDescent="0.25">
      <c r="A1119" s="1">
        <v>45709</v>
      </c>
      <c r="B1119" t="s">
        <v>785</v>
      </c>
      <c r="C1119">
        <v>4076.7</v>
      </c>
      <c r="D1119">
        <v>62345.08</v>
      </c>
    </row>
    <row r="1120" spans="1:4" x14ac:dyDescent="0.25">
      <c r="A1120" s="1">
        <v>45709</v>
      </c>
      <c r="B1120" t="s">
        <v>22</v>
      </c>
      <c r="C1120">
        <v>1500</v>
      </c>
      <c r="D1120">
        <v>63845.08</v>
      </c>
    </row>
    <row r="1121" spans="1:4" x14ac:dyDescent="0.25">
      <c r="A1121" s="1">
        <v>45709</v>
      </c>
      <c r="B1121" t="s">
        <v>22</v>
      </c>
      <c r="C1121">
        <v>360.18</v>
      </c>
      <c r="D1121">
        <v>64205.26</v>
      </c>
    </row>
    <row r="1122" spans="1:4" x14ac:dyDescent="0.25">
      <c r="A1122" s="1">
        <v>45709</v>
      </c>
      <c r="B1122" t="s">
        <v>22</v>
      </c>
      <c r="C1122">
        <v>326.10000000000002</v>
      </c>
      <c r="D1122">
        <v>64531.360000000001</v>
      </c>
    </row>
    <row r="1123" spans="1:4" x14ac:dyDescent="0.25">
      <c r="A1123" s="1">
        <v>45709</v>
      </c>
      <c r="B1123" t="s">
        <v>878</v>
      </c>
      <c r="C1123">
        <v>-273.25</v>
      </c>
      <c r="D1123">
        <v>64258.11</v>
      </c>
    </row>
    <row r="1124" spans="1:4" x14ac:dyDescent="0.25">
      <c r="A1124" s="1">
        <v>45709</v>
      </c>
      <c r="B1124" t="s">
        <v>879</v>
      </c>
      <c r="C1124">
        <v>-19855.04</v>
      </c>
      <c r="D1124">
        <v>44403.07</v>
      </c>
    </row>
    <row r="1125" spans="1:4" x14ac:dyDescent="0.25">
      <c r="A1125" s="1">
        <v>45709</v>
      </c>
      <c r="B1125" t="s">
        <v>880</v>
      </c>
      <c r="C1125">
        <v>-4005.53</v>
      </c>
      <c r="D1125">
        <v>40397.54</v>
      </c>
    </row>
    <row r="1126" spans="1:4" x14ac:dyDescent="0.25">
      <c r="A1126" s="1">
        <v>45709</v>
      </c>
      <c r="B1126" t="s">
        <v>881</v>
      </c>
      <c r="C1126">
        <v>-386.02</v>
      </c>
      <c r="D1126">
        <v>40011.519999999997</v>
      </c>
    </row>
    <row r="1127" spans="1:4" x14ac:dyDescent="0.25">
      <c r="A1127" s="1">
        <v>45712</v>
      </c>
      <c r="B1127" t="s">
        <v>882</v>
      </c>
      <c r="C1127">
        <v>18306</v>
      </c>
      <c r="D1127">
        <v>58317.52</v>
      </c>
    </row>
    <row r="1128" spans="1:4" x14ac:dyDescent="0.25">
      <c r="A1128" s="1">
        <v>45712</v>
      </c>
      <c r="B1128" t="s">
        <v>785</v>
      </c>
      <c r="C1128">
        <v>4664</v>
      </c>
      <c r="D1128">
        <v>62981.52</v>
      </c>
    </row>
    <row r="1129" spans="1:4" x14ac:dyDescent="0.25">
      <c r="A1129" s="1">
        <v>45712</v>
      </c>
      <c r="B1129" t="s">
        <v>883</v>
      </c>
      <c r="C1129">
        <v>-1136.1400000000001</v>
      </c>
      <c r="D1129">
        <v>61845.38</v>
      </c>
    </row>
    <row r="1130" spans="1:4" x14ac:dyDescent="0.25">
      <c r="A1130" s="1">
        <v>45712</v>
      </c>
      <c r="B1130" t="s">
        <v>884</v>
      </c>
      <c r="C1130">
        <v>-460.89</v>
      </c>
      <c r="D1130">
        <v>61384.49</v>
      </c>
    </row>
    <row r="1131" spans="1:4" x14ac:dyDescent="0.25">
      <c r="A1131" s="1">
        <v>45712</v>
      </c>
      <c r="B1131" t="s">
        <v>885</v>
      </c>
      <c r="C1131">
        <v>-27</v>
      </c>
      <c r="D1131">
        <v>61357.49</v>
      </c>
    </row>
    <row r="1132" spans="1:4" x14ac:dyDescent="0.25">
      <c r="A1132" s="1">
        <v>45714</v>
      </c>
      <c r="B1132" t="s">
        <v>886</v>
      </c>
      <c r="C1132">
        <v>-5000</v>
      </c>
      <c r="D1132">
        <v>56357.49</v>
      </c>
    </row>
    <row r="1133" spans="1:4" x14ac:dyDescent="0.25">
      <c r="A1133" s="1">
        <v>45715</v>
      </c>
      <c r="B1133" t="s">
        <v>887</v>
      </c>
      <c r="C1133">
        <v>9250.5</v>
      </c>
      <c r="D1133">
        <v>65607.990000000005</v>
      </c>
    </row>
    <row r="1134" spans="1:4" x14ac:dyDescent="0.25">
      <c r="A1134" s="1">
        <v>45715</v>
      </c>
      <c r="B1134" t="s">
        <v>785</v>
      </c>
      <c r="C1134">
        <v>46.8</v>
      </c>
      <c r="D1134">
        <v>65654.789999999994</v>
      </c>
    </row>
    <row r="1135" spans="1:4" x14ac:dyDescent="0.25">
      <c r="A1135" s="1">
        <v>45716</v>
      </c>
      <c r="B1135" t="s">
        <v>785</v>
      </c>
      <c r="C1135">
        <v>425.98</v>
      </c>
      <c r="D1135">
        <v>66080.77</v>
      </c>
    </row>
    <row r="1136" spans="1:4" x14ac:dyDescent="0.25">
      <c r="A1136" s="1">
        <v>45716</v>
      </c>
      <c r="B1136" t="s">
        <v>827</v>
      </c>
      <c r="C1136">
        <v>-4801</v>
      </c>
      <c r="D1136">
        <v>61279.77</v>
      </c>
    </row>
    <row r="1137" spans="1:4" x14ac:dyDescent="0.25">
      <c r="A1137" s="1">
        <v>45719</v>
      </c>
      <c r="B1137" t="s">
        <v>785</v>
      </c>
      <c r="C1137">
        <v>24105</v>
      </c>
      <c r="D1137">
        <v>85384.77</v>
      </c>
    </row>
    <row r="1138" spans="1:4" x14ac:dyDescent="0.25">
      <c r="A1138" s="1">
        <v>45719</v>
      </c>
      <c r="B1138" t="s">
        <v>888</v>
      </c>
      <c r="C1138">
        <v>4892</v>
      </c>
      <c r="D1138">
        <v>90276.77</v>
      </c>
    </row>
    <row r="1139" spans="1:4" x14ac:dyDescent="0.25">
      <c r="A1139" s="1">
        <v>45719</v>
      </c>
      <c r="B1139" t="s">
        <v>785</v>
      </c>
      <c r="C1139">
        <v>164</v>
      </c>
      <c r="D1139">
        <v>90440.77</v>
      </c>
    </row>
    <row r="1140" spans="1:4" x14ac:dyDescent="0.25">
      <c r="A1140" s="1">
        <v>45719</v>
      </c>
      <c r="B1140" t="s">
        <v>889</v>
      </c>
      <c r="C1140">
        <v>-3696.57</v>
      </c>
      <c r="D1140">
        <v>86744.2</v>
      </c>
    </row>
    <row r="1141" spans="1:4" x14ac:dyDescent="0.25">
      <c r="A1141" s="1">
        <v>45719</v>
      </c>
      <c r="B1141" t="s">
        <v>890</v>
      </c>
      <c r="C1141">
        <v>-250</v>
      </c>
      <c r="D1141">
        <v>86494.2</v>
      </c>
    </row>
    <row r="1142" spans="1:4" x14ac:dyDescent="0.25">
      <c r="A1142" s="1">
        <v>45719</v>
      </c>
      <c r="B1142" t="s">
        <v>891</v>
      </c>
      <c r="C1142">
        <v>-421.82</v>
      </c>
      <c r="D1142">
        <v>86072.38</v>
      </c>
    </row>
    <row r="1143" spans="1:4" x14ac:dyDescent="0.25">
      <c r="A1143" s="1">
        <v>45719</v>
      </c>
      <c r="B1143" t="s">
        <v>892</v>
      </c>
      <c r="C1143">
        <v>-2826.26</v>
      </c>
      <c r="D1143">
        <v>83246.12</v>
      </c>
    </row>
    <row r="1144" spans="1:4" x14ac:dyDescent="0.25">
      <c r="A1144" s="1">
        <v>45719</v>
      </c>
      <c r="B1144" t="s">
        <v>893</v>
      </c>
      <c r="C1144">
        <v>-2317.94</v>
      </c>
      <c r="D1144">
        <v>80928.179999999993</v>
      </c>
    </row>
    <row r="1145" spans="1:4" x14ac:dyDescent="0.25">
      <c r="A1145" s="1">
        <v>45719</v>
      </c>
      <c r="B1145" t="s">
        <v>819</v>
      </c>
      <c r="C1145">
        <v>-1316.64</v>
      </c>
      <c r="D1145">
        <v>79611.539999999994</v>
      </c>
    </row>
    <row r="1146" spans="1:4" x14ac:dyDescent="0.25">
      <c r="A1146" s="1">
        <v>45720</v>
      </c>
      <c r="B1146" t="s">
        <v>894</v>
      </c>
      <c r="C1146">
        <v>-286.05</v>
      </c>
      <c r="D1146">
        <v>79325.490000000005</v>
      </c>
    </row>
    <row r="1147" spans="1:4" x14ac:dyDescent="0.25">
      <c r="A1147" s="1">
        <v>45720</v>
      </c>
      <c r="B1147" t="s">
        <v>110</v>
      </c>
      <c r="C1147">
        <v>-50</v>
      </c>
      <c r="D1147">
        <v>79275.490000000005</v>
      </c>
    </row>
    <row r="1148" spans="1:4" x14ac:dyDescent="0.25">
      <c r="A1148" s="1">
        <v>45721</v>
      </c>
      <c r="B1148" t="s">
        <v>785</v>
      </c>
      <c r="C1148">
        <v>125</v>
      </c>
      <c r="D1148">
        <v>79400.490000000005</v>
      </c>
    </row>
    <row r="1149" spans="1:4" x14ac:dyDescent="0.25">
      <c r="A1149" s="1">
        <v>45722</v>
      </c>
      <c r="B1149" t="s">
        <v>785</v>
      </c>
      <c r="C1149">
        <v>179.6</v>
      </c>
      <c r="D1149">
        <v>79580.09</v>
      </c>
    </row>
    <row r="1150" spans="1:4" x14ac:dyDescent="0.25">
      <c r="A1150" s="1">
        <v>45722</v>
      </c>
      <c r="B1150" t="s">
        <v>895</v>
      </c>
      <c r="C1150">
        <v>-27.53</v>
      </c>
      <c r="D1150">
        <v>79552.56</v>
      </c>
    </row>
    <row r="1151" spans="1:4" x14ac:dyDescent="0.25">
      <c r="A1151" s="1">
        <v>45722</v>
      </c>
      <c r="B1151" t="s">
        <v>896</v>
      </c>
      <c r="C1151">
        <v>-1921.38</v>
      </c>
      <c r="D1151">
        <v>77631.179999999993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79"/>
  <sheetViews>
    <sheetView workbookViewId="0">
      <selection activeCell="N20" sqref="N20"/>
    </sheetView>
  </sheetViews>
  <sheetFormatPr defaultRowHeight="15" x14ac:dyDescent="0.25"/>
  <cols>
    <col min="3" max="3" width="10.42578125" bestFit="1" customWidth="1"/>
    <col min="4" max="4" width="49.5703125" customWidth="1"/>
    <col min="5" max="5" width="9.7109375" bestFit="1" customWidth="1"/>
    <col min="6" max="6" width="10" customWidth="1"/>
    <col min="8" max="8" width="12.140625" customWidth="1"/>
    <col min="9" max="9" width="10.140625" customWidth="1"/>
    <col min="10" max="10" width="14.7109375" customWidth="1"/>
    <col min="11" max="11" width="14.28515625" customWidth="1"/>
  </cols>
  <sheetData>
    <row r="1" spans="1:11" x14ac:dyDescent="0.25">
      <c r="A1" t="s">
        <v>906</v>
      </c>
      <c r="B1" t="s">
        <v>907</v>
      </c>
      <c r="C1" t="s">
        <v>6</v>
      </c>
      <c r="D1" t="s">
        <v>0</v>
      </c>
      <c r="E1" t="s">
        <v>905</v>
      </c>
      <c r="F1" t="s">
        <v>901</v>
      </c>
      <c r="G1" t="s">
        <v>902</v>
      </c>
      <c r="H1" t="s">
        <v>903</v>
      </c>
      <c r="I1" t="s">
        <v>7</v>
      </c>
      <c r="J1" t="s">
        <v>904</v>
      </c>
      <c r="K1" t="s">
        <v>8</v>
      </c>
    </row>
    <row r="2" spans="1:11" hidden="1" x14ac:dyDescent="0.25">
      <c r="A2">
        <v>2024</v>
      </c>
      <c r="B2">
        <v>1</v>
      </c>
      <c r="C2" s="1">
        <v>45296</v>
      </c>
      <c r="D2" t="s">
        <v>22</v>
      </c>
      <c r="E2" t="s">
        <v>901</v>
      </c>
      <c r="F2">
        <v>27000</v>
      </c>
      <c r="I2">
        <v>27000</v>
      </c>
      <c r="J2">
        <v>27000</v>
      </c>
      <c r="K2">
        <v>51055.41</v>
      </c>
    </row>
    <row r="3" spans="1:11" hidden="1" x14ac:dyDescent="0.25">
      <c r="A3">
        <v>2024</v>
      </c>
      <c r="B3">
        <v>1</v>
      </c>
      <c r="C3" s="1">
        <v>45302</v>
      </c>
      <c r="D3" t="s">
        <v>133</v>
      </c>
      <c r="E3" t="s">
        <v>901</v>
      </c>
      <c r="F3">
        <v>14000</v>
      </c>
      <c r="I3">
        <v>14000</v>
      </c>
      <c r="J3">
        <v>14000</v>
      </c>
      <c r="K3">
        <v>45933.94</v>
      </c>
    </row>
    <row r="4" spans="1:11" hidden="1" x14ac:dyDescent="0.25">
      <c r="A4">
        <v>2024</v>
      </c>
      <c r="B4">
        <v>1</v>
      </c>
      <c r="C4" s="1">
        <v>45314</v>
      </c>
      <c r="D4" t="s">
        <v>151</v>
      </c>
      <c r="E4" t="s">
        <v>901</v>
      </c>
      <c r="F4">
        <v>25000</v>
      </c>
      <c r="I4">
        <v>25000</v>
      </c>
      <c r="J4">
        <v>25000</v>
      </c>
      <c r="K4">
        <v>42978.87</v>
      </c>
    </row>
    <row r="5" spans="1:11" hidden="1" x14ac:dyDescent="0.25">
      <c r="A5">
        <v>2024</v>
      </c>
      <c r="B5">
        <v>2</v>
      </c>
      <c r="C5" s="1">
        <v>45324</v>
      </c>
      <c r="D5" t="s">
        <v>22</v>
      </c>
      <c r="E5" t="s">
        <v>901</v>
      </c>
      <c r="F5">
        <v>16000</v>
      </c>
      <c r="I5">
        <v>16000</v>
      </c>
      <c r="J5">
        <v>16000</v>
      </c>
      <c r="K5">
        <v>36827.050000000003</v>
      </c>
    </row>
    <row r="6" spans="1:11" hidden="1" x14ac:dyDescent="0.25">
      <c r="A6">
        <v>2024</v>
      </c>
      <c r="B6">
        <v>2</v>
      </c>
      <c r="C6" s="1">
        <v>45338</v>
      </c>
      <c r="D6" t="s">
        <v>188</v>
      </c>
      <c r="E6" t="s">
        <v>901</v>
      </c>
      <c r="F6">
        <v>602.59</v>
      </c>
      <c r="I6">
        <v>602.59</v>
      </c>
      <c r="J6">
        <v>602.59</v>
      </c>
      <c r="K6">
        <v>16134.45</v>
      </c>
    </row>
    <row r="7" spans="1:11" hidden="1" x14ac:dyDescent="0.25">
      <c r="A7">
        <v>2024</v>
      </c>
      <c r="B7">
        <v>2</v>
      </c>
      <c r="C7" s="1">
        <v>45342</v>
      </c>
      <c r="D7" t="s">
        <v>188</v>
      </c>
      <c r="E7" t="s">
        <v>901</v>
      </c>
      <c r="F7">
        <v>288.89</v>
      </c>
      <c r="I7">
        <v>288.89</v>
      </c>
      <c r="J7">
        <v>288.89</v>
      </c>
      <c r="K7">
        <v>16423.34</v>
      </c>
    </row>
    <row r="8" spans="1:11" hidden="1" x14ac:dyDescent="0.25">
      <c r="A8">
        <v>2024</v>
      </c>
      <c r="B8">
        <v>2</v>
      </c>
      <c r="C8" s="1">
        <v>45344</v>
      </c>
      <c r="D8" t="s">
        <v>22</v>
      </c>
      <c r="E8" t="s">
        <v>901</v>
      </c>
      <c r="F8">
        <v>16255.86</v>
      </c>
      <c r="I8">
        <v>16255.86</v>
      </c>
      <c r="J8">
        <v>16255.86</v>
      </c>
      <c r="K8">
        <v>31849.47</v>
      </c>
    </row>
    <row r="9" spans="1:11" hidden="1" x14ac:dyDescent="0.25">
      <c r="A9">
        <v>2024</v>
      </c>
      <c r="B9">
        <v>2</v>
      </c>
      <c r="C9" s="1">
        <v>45348</v>
      </c>
      <c r="D9" t="s">
        <v>196</v>
      </c>
      <c r="E9" t="s">
        <v>901</v>
      </c>
      <c r="F9">
        <v>8933</v>
      </c>
      <c r="I9">
        <v>8933</v>
      </c>
      <c r="J9">
        <v>8933</v>
      </c>
      <c r="K9">
        <v>26386.62</v>
      </c>
    </row>
    <row r="10" spans="1:11" hidden="1" x14ac:dyDescent="0.25">
      <c r="A10">
        <v>2024</v>
      </c>
      <c r="B10">
        <v>2</v>
      </c>
      <c r="C10" s="1">
        <v>45350</v>
      </c>
      <c r="D10" t="s">
        <v>22</v>
      </c>
      <c r="E10" t="s">
        <v>901</v>
      </c>
      <c r="F10">
        <v>7093</v>
      </c>
      <c r="I10">
        <v>7093</v>
      </c>
      <c r="J10">
        <v>7093</v>
      </c>
      <c r="K10">
        <v>29822.400000000001</v>
      </c>
    </row>
    <row r="11" spans="1:11" hidden="1" x14ac:dyDescent="0.25">
      <c r="A11">
        <v>2024</v>
      </c>
      <c r="B11">
        <v>3</v>
      </c>
      <c r="C11" s="1">
        <v>45355</v>
      </c>
      <c r="D11" t="s">
        <v>204</v>
      </c>
      <c r="E11" t="s">
        <v>901</v>
      </c>
      <c r="F11">
        <v>4510</v>
      </c>
      <c r="I11">
        <v>4510</v>
      </c>
      <c r="J11">
        <v>4510</v>
      </c>
      <c r="K11">
        <v>28809.040000000001</v>
      </c>
    </row>
    <row r="12" spans="1:11" hidden="1" x14ac:dyDescent="0.25">
      <c r="A12">
        <v>2024</v>
      </c>
      <c r="B12">
        <v>3</v>
      </c>
      <c r="C12" s="1">
        <v>45356</v>
      </c>
      <c r="D12" t="s">
        <v>22</v>
      </c>
      <c r="E12" t="s">
        <v>901</v>
      </c>
      <c r="F12">
        <v>18000</v>
      </c>
      <c r="I12">
        <v>18000</v>
      </c>
      <c r="J12">
        <v>18000</v>
      </c>
      <c r="K12">
        <v>45871.72</v>
      </c>
    </row>
    <row r="13" spans="1:11" hidden="1" x14ac:dyDescent="0.25">
      <c r="A13">
        <v>2024</v>
      </c>
      <c r="B13">
        <v>3</v>
      </c>
      <c r="C13" s="1">
        <v>45358</v>
      </c>
      <c r="D13" t="s">
        <v>22</v>
      </c>
      <c r="E13" t="s">
        <v>901</v>
      </c>
      <c r="F13">
        <v>920.41</v>
      </c>
      <c r="I13">
        <v>920.41</v>
      </c>
      <c r="J13">
        <v>920.41</v>
      </c>
      <c r="K13">
        <v>46735.77</v>
      </c>
    </row>
    <row r="14" spans="1:11" hidden="1" x14ac:dyDescent="0.25">
      <c r="A14">
        <v>2024</v>
      </c>
      <c r="B14">
        <v>3</v>
      </c>
      <c r="C14" s="1">
        <v>45362</v>
      </c>
      <c r="D14" t="s">
        <v>222</v>
      </c>
      <c r="E14" t="s">
        <v>901</v>
      </c>
      <c r="F14">
        <v>8391</v>
      </c>
      <c r="I14">
        <v>8391</v>
      </c>
      <c r="J14">
        <v>8391</v>
      </c>
      <c r="K14">
        <v>28609.96</v>
      </c>
    </row>
    <row r="15" spans="1:11" hidden="1" x14ac:dyDescent="0.25">
      <c r="A15">
        <v>2024</v>
      </c>
      <c r="B15">
        <v>3</v>
      </c>
      <c r="C15" s="1">
        <v>45369</v>
      </c>
      <c r="D15" t="s">
        <v>232</v>
      </c>
      <c r="E15" t="s">
        <v>901</v>
      </c>
      <c r="F15">
        <v>3368</v>
      </c>
      <c r="I15">
        <v>3368</v>
      </c>
      <c r="J15">
        <v>3368</v>
      </c>
      <c r="K15">
        <v>28996.959999999999</v>
      </c>
    </row>
    <row r="16" spans="1:11" hidden="1" x14ac:dyDescent="0.25">
      <c r="A16">
        <v>2024</v>
      </c>
      <c r="B16">
        <v>3</v>
      </c>
      <c r="C16" s="1">
        <v>45376</v>
      </c>
      <c r="D16" t="s">
        <v>241</v>
      </c>
      <c r="E16" t="s">
        <v>901</v>
      </c>
      <c r="F16">
        <v>5402</v>
      </c>
      <c r="I16">
        <v>5402</v>
      </c>
      <c r="J16">
        <v>5402</v>
      </c>
      <c r="K16">
        <v>10183.02</v>
      </c>
    </row>
    <row r="17" spans="1:11" hidden="1" x14ac:dyDescent="0.25">
      <c r="A17">
        <v>2024</v>
      </c>
      <c r="B17">
        <v>3</v>
      </c>
      <c r="C17" s="1">
        <v>45379</v>
      </c>
      <c r="D17" t="s">
        <v>22</v>
      </c>
      <c r="E17" t="s">
        <v>901</v>
      </c>
      <c r="F17">
        <v>15399</v>
      </c>
      <c r="I17">
        <v>15399</v>
      </c>
      <c r="J17">
        <v>15399</v>
      </c>
      <c r="K17">
        <v>22916.49</v>
      </c>
    </row>
    <row r="18" spans="1:11" hidden="1" x14ac:dyDescent="0.25">
      <c r="A18">
        <v>2024</v>
      </c>
      <c r="B18">
        <v>4</v>
      </c>
      <c r="C18" s="1">
        <v>45383</v>
      </c>
      <c r="D18" t="s">
        <v>257</v>
      </c>
      <c r="E18" t="s">
        <v>901</v>
      </c>
      <c r="F18">
        <v>2877</v>
      </c>
      <c r="I18">
        <v>2877</v>
      </c>
      <c r="J18">
        <v>2877</v>
      </c>
      <c r="K18">
        <v>24336.55</v>
      </c>
    </row>
    <row r="19" spans="1:11" hidden="1" x14ac:dyDescent="0.25">
      <c r="A19">
        <v>2024</v>
      </c>
      <c r="B19">
        <v>4</v>
      </c>
      <c r="C19" s="1">
        <v>45384</v>
      </c>
      <c r="D19" t="s">
        <v>22</v>
      </c>
      <c r="E19" t="s">
        <v>901</v>
      </c>
      <c r="F19">
        <v>16000</v>
      </c>
      <c r="I19">
        <v>16000</v>
      </c>
      <c r="J19">
        <v>16000</v>
      </c>
      <c r="K19">
        <v>35325.21</v>
      </c>
    </row>
    <row r="20" spans="1:11" hidden="1" x14ac:dyDescent="0.25">
      <c r="A20">
        <v>2024</v>
      </c>
      <c r="B20">
        <v>4</v>
      </c>
      <c r="C20" s="1">
        <v>45390</v>
      </c>
      <c r="D20" t="s">
        <v>272</v>
      </c>
      <c r="E20" t="s">
        <v>901</v>
      </c>
      <c r="F20">
        <v>8044</v>
      </c>
      <c r="I20">
        <v>8044</v>
      </c>
      <c r="J20">
        <v>8044</v>
      </c>
      <c r="K20">
        <v>20114.34</v>
      </c>
    </row>
    <row r="21" spans="1:11" hidden="1" x14ac:dyDescent="0.25">
      <c r="A21">
        <v>2024</v>
      </c>
      <c r="B21">
        <v>4</v>
      </c>
      <c r="C21" s="1">
        <v>45393</v>
      </c>
      <c r="D21" t="s">
        <v>276</v>
      </c>
      <c r="E21" t="s">
        <v>901</v>
      </c>
      <c r="F21">
        <v>17000</v>
      </c>
      <c r="I21">
        <v>17000</v>
      </c>
      <c r="J21">
        <v>17000</v>
      </c>
      <c r="K21">
        <v>36720.410000000003</v>
      </c>
    </row>
    <row r="22" spans="1:11" hidden="1" x14ac:dyDescent="0.25">
      <c r="A22">
        <v>2024</v>
      </c>
      <c r="B22">
        <v>4</v>
      </c>
      <c r="C22" s="1">
        <v>45397</v>
      </c>
      <c r="D22" t="s">
        <v>279</v>
      </c>
      <c r="E22" t="s">
        <v>901</v>
      </c>
      <c r="F22">
        <v>12385</v>
      </c>
      <c r="I22">
        <v>12385</v>
      </c>
      <c r="J22">
        <v>12385</v>
      </c>
      <c r="K22">
        <v>48756.28</v>
      </c>
    </row>
    <row r="23" spans="1:11" hidden="1" x14ac:dyDescent="0.25">
      <c r="A23">
        <v>2024</v>
      </c>
      <c r="B23">
        <v>4</v>
      </c>
      <c r="C23" s="1">
        <v>45401</v>
      </c>
      <c r="D23" t="s">
        <v>288</v>
      </c>
      <c r="E23" t="s">
        <v>901</v>
      </c>
      <c r="F23">
        <v>4700</v>
      </c>
      <c r="I23">
        <v>4700</v>
      </c>
      <c r="J23">
        <v>4700</v>
      </c>
      <c r="K23">
        <v>9026.16</v>
      </c>
    </row>
    <row r="24" spans="1:11" hidden="1" x14ac:dyDescent="0.25">
      <c r="A24">
        <v>2024</v>
      </c>
      <c r="B24">
        <v>4</v>
      </c>
      <c r="C24" s="1">
        <v>45401</v>
      </c>
      <c r="D24" t="s">
        <v>22</v>
      </c>
      <c r="E24" t="s">
        <v>901</v>
      </c>
      <c r="F24">
        <v>2662.03</v>
      </c>
      <c r="I24">
        <v>2662.03</v>
      </c>
      <c r="J24">
        <v>2662.03</v>
      </c>
      <c r="K24">
        <v>11688.19</v>
      </c>
    </row>
    <row r="25" spans="1:11" hidden="1" x14ac:dyDescent="0.25">
      <c r="A25">
        <v>2024</v>
      </c>
      <c r="B25">
        <v>4</v>
      </c>
      <c r="C25" s="1">
        <v>45404</v>
      </c>
      <c r="D25" t="s">
        <v>291</v>
      </c>
      <c r="E25" t="s">
        <v>901</v>
      </c>
      <c r="F25">
        <v>5416</v>
      </c>
      <c r="I25">
        <v>5416</v>
      </c>
      <c r="J25">
        <v>5416</v>
      </c>
      <c r="K25">
        <v>13940.51</v>
      </c>
    </row>
    <row r="26" spans="1:11" hidden="1" x14ac:dyDescent="0.25">
      <c r="A26">
        <v>2024</v>
      </c>
      <c r="B26">
        <v>4</v>
      </c>
      <c r="C26" s="1">
        <v>45411</v>
      </c>
      <c r="D26" t="s">
        <v>22</v>
      </c>
      <c r="E26" t="s">
        <v>901</v>
      </c>
      <c r="F26">
        <v>12000</v>
      </c>
      <c r="I26">
        <v>12000</v>
      </c>
      <c r="J26">
        <v>12000</v>
      </c>
      <c r="K26">
        <v>18268.78</v>
      </c>
    </row>
    <row r="27" spans="1:11" hidden="1" x14ac:dyDescent="0.25">
      <c r="A27">
        <v>2024</v>
      </c>
      <c r="B27">
        <v>4</v>
      </c>
      <c r="C27" s="1">
        <v>45411</v>
      </c>
      <c r="D27" t="s">
        <v>301</v>
      </c>
      <c r="E27" t="s">
        <v>901</v>
      </c>
      <c r="F27">
        <v>3932</v>
      </c>
      <c r="I27">
        <v>3932</v>
      </c>
      <c r="J27">
        <v>3932</v>
      </c>
      <c r="K27">
        <v>22200.78</v>
      </c>
    </row>
    <row r="28" spans="1:11" hidden="1" x14ac:dyDescent="0.25">
      <c r="A28">
        <v>2024</v>
      </c>
      <c r="B28">
        <v>5</v>
      </c>
      <c r="C28" s="1">
        <v>45414</v>
      </c>
      <c r="D28" t="s">
        <v>309</v>
      </c>
      <c r="E28" t="s">
        <v>901</v>
      </c>
      <c r="F28">
        <v>7200</v>
      </c>
      <c r="I28">
        <v>7200</v>
      </c>
      <c r="J28">
        <v>7200</v>
      </c>
      <c r="K28">
        <v>22941.24</v>
      </c>
    </row>
    <row r="29" spans="1:11" hidden="1" x14ac:dyDescent="0.25">
      <c r="A29">
        <v>2024</v>
      </c>
      <c r="B29">
        <v>5</v>
      </c>
      <c r="C29" s="1">
        <v>45414</v>
      </c>
      <c r="D29" t="s">
        <v>22</v>
      </c>
      <c r="E29" t="s">
        <v>901</v>
      </c>
      <c r="F29">
        <v>4900</v>
      </c>
      <c r="I29">
        <v>4900</v>
      </c>
      <c r="J29">
        <v>4900</v>
      </c>
      <c r="K29">
        <v>27841.24</v>
      </c>
    </row>
    <row r="30" spans="1:11" hidden="1" x14ac:dyDescent="0.25">
      <c r="A30">
        <v>2024</v>
      </c>
      <c r="B30">
        <v>5</v>
      </c>
      <c r="C30" s="1">
        <v>45414</v>
      </c>
      <c r="D30" t="s">
        <v>308</v>
      </c>
      <c r="E30" t="s">
        <v>901</v>
      </c>
      <c r="F30">
        <v>32.01</v>
      </c>
      <c r="I30">
        <v>32.01</v>
      </c>
      <c r="J30">
        <v>32.01</v>
      </c>
      <c r="K30">
        <v>27873.25</v>
      </c>
    </row>
    <row r="31" spans="1:11" hidden="1" x14ac:dyDescent="0.25">
      <c r="A31">
        <v>2024</v>
      </c>
      <c r="B31">
        <v>5</v>
      </c>
      <c r="C31" s="1">
        <v>45418</v>
      </c>
      <c r="D31" t="s">
        <v>319</v>
      </c>
      <c r="E31" t="s">
        <v>901</v>
      </c>
      <c r="F31">
        <v>5431</v>
      </c>
      <c r="I31">
        <v>5431</v>
      </c>
      <c r="J31">
        <v>5431</v>
      </c>
      <c r="K31">
        <v>10377.469999999999</v>
      </c>
    </row>
    <row r="32" spans="1:11" hidden="1" x14ac:dyDescent="0.25">
      <c r="A32">
        <v>2024</v>
      </c>
      <c r="B32">
        <v>5</v>
      </c>
      <c r="C32" s="1">
        <v>45425</v>
      </c>
      <c r="D32" t="s">
        <v>331</v>
      </c>
      <c r="E32" t="s">
        <v>901</v>
      </c>
      <c r="F32">
        <v>2195</v>
      </c>
      <c r="I32">
        <v>2195</v>
      </c>
      <c r="J32">
        <v>2195</v>
      </c>
      <c r="K32">
        <v>8837.67</v>
      </c>
    </row>
    <row r="33" spans="1:11" hidden="1" x14ac:dyDescent="0.25">
      <c r="A33">
        <v>2024</v>
      </c>
      <c r="B33">
        <v>5</v>
      </c>
      <c r="C33" s="1">
        <v>45427</v>
      </c>
      <c r="D33" t="s">
        <v>333</v>
      </c>
      <c r="E33" t="s">
        <v>901</v>
      </c>
      <c r="F33">
        <v>15000</v>
      </c>
      <c r="I33">
        <v>15000</v>
      </c>
      <c r="J33">
        <v>15000</v>
      </c>
      <c r="K33">
        <v>23675.07</v>
      </c>
    </row>
    <row r="34" spans="1:11" hidden="1" x14ac:dyDescent="0.25">
      <c r="A34">
        <v>2024</v>
      </c>
      <c r="B34">
        <v>5</v>
      </c>
      <c r="C34" s="1">
        <v>45427</v>
      </c>
      <c r="D34" t="s">
        <v>334</v>
      </c>
      <c r="E34" t="s">
        <v>901</v>
      </c>
      <c r="F34">
        <v>2000</v>
      </c>
      <c r="I34">
        <v>2000</v>
      </c>
      <c r="J34">
        <v>2000</v>
      </c>
      <c r="K34">
        <v>25675.07</v>
      </c>
    </row>
    <row r="35" spans="1:11" hidden="1" x14ac:dyDescent="0.25">
      <c r="A35">
        <v>2024</v>
      </c>
      <c r="B35">
        <v>5</v>
      </c>
      <c r="C35" s="1">
        <v>45429</v>
      </c>
      <c r="D35" t="s">
        <v>336</v>
      </c>
      <c r="E35" t="s">
        <v>901</v>
      </c>
      <c r="F35">
        <v>4880</v>
      </c>
      <c r="I35">
        <v>4880</v>
      </c>
      <c r="J35">
        <v>4880</v>
      </c>
      <c r="K35">
        <v>30446.639999999999</v>
      </c>
    </row>
    <row r="36" spans="1:11" hidden="1" x14ac:dyDescent="0.25">
      <c r="A36">
        <v>2024</v>
      </c>
      <c r="B36">
        <v>5</v>
      </c>
      <c r="C36" s="1">
        <v>45432</v>
      </c>
      <c r="D36" t="s">
        <v>342</v>
      </c>
      <c r="E36" t="s">
        <v>901</v>
      </c>
      <c r="F36">
        <v>10190</v>
      </c>
      <c r="I36">
        <v>10190</v>
      </c>
      <c r="J36">
        <v>10190</v>
      </c>
      <c r="K36">
        <v>18229.5</v>
      </c>
    </row>
    <row r="37" spans="1:11" hidden="1" x14ac:dyDescent="0.25">
      <c r="A37">
        <v>2024</v>
      </c>
      <c r="B37">
        <v>5</v>
      </c>
      <c r="C37" s="1">
        <v>45434</v>
      </c>
      <c r="D37" t="s">
        <v>22</v>
      </c>
      <c r="E37" t="s">
        <v>901</v>
      </c>
      <c r="F37">
        <v>617</v>
      </c>
      <c r="I37">
        <v>617</v>
      </c>
      <c r="J37">
        <v>617</v>
      </c>
      <c r="K37">
        <v>18571.13</v>
      </c>
    </row>
    <row r="38" spans="1:11" x14ac:dyDescent="0.25">
      <c r="A38">
        <v>2024</v>
      </c>
      <c r="B38">
        <v>5</v>
      </c>
      <c r="C38" s="1">
        <v>45436</v>
      </c>
      <c r="D38" t="s">
        <v>346</v>
      </c>
      <c r="E38" t="s">
        <v>901</v>
      </c>
      <c r="F38">
        <v>28.26</v>
      </c>
      <c r="I38">
        <v>28.26</v>
      </c>
      <c r="J38">
        <v>28.26</v>
      </c>
      <c r="K38">
        <v>18534.87</v>
      </c>
    </row>
    <row r="39" spans="1:11" hidden="1" x14ac:dyDescent="0.25">
      <c r="A39">
        <v>2024</v>
      </c>
      <c r="B39">
        <v>5</v>
      </c>
      <c r="C39" s="1">
        <v>45440</v>
      </c>
      <c r="D39" t="s">
        <v>348</v>
      </c>
      <c r="E39" t="s">
        <v>901</v>
      </c>
      <c r="F39">
        <v>10701</v>
      </c>
      <c r="I39">
        <v>10701</v>
      </c>
      <c r="J39">
        <v>10701</v>
      </c>
      <c r="K39">
        <v>27955.35</v>
      </c>
    </row>
    <row r="40" spans="1:11" hidden="1" x14ac:dyDescent="0.25">
      <c r="A40">
        <v>2024</v>
      </c>
      <c r="B40">
        <v>5</v>
      </c>
      <c r="C40" s="1">
        <v>45442</v>
      </c>
      <c r="D40" t="s">
        <v>357</v>
      </c>
      <c r="E40" t="s">
        <v>901</v>
      </c>
      <c r="F40">
        <v>20000</v>
      </c>
      <c r="I40">
        <v>20000</v>
      </c>
      <c r="J40">
        <v>20000</v>
      </c>
      <c r="K40">
        <v>44717.54</v>
      </c>
    </row>
    <row r="41" spans="1:11" hidden="1" x14ac:dyDescent="0.25">
      <c r="A41">
        <v>2024</v>
      </c>
      <c r="B41">
        <v>5</v>
      </c>
      <c r="C41" s="1">
        <v>45442</v>
      </c>
      <c r="D41" t="s">
        <v>22</v>
      </c>
      <c r="E41" t="s">
        <v>901</v>
      </c>
      <c r="F41">
        <v>635.57000000000005</v>
      </c>
      <c r="I41">
        <v>635.57000000000005</v>
      </c>
      <c r="J41">
        <v>635.57000000000005</v>
      </c>
      <c r="K41">
        <v>45353.11</v>
      </c>
    </row>
    <row r="42" spans="1:11" hidden="1" x14ac:dyDescent="0.25">
      <c r="A42">
        <v>2024</v>
      </c>
      <c r="B42">
        <v>6</v>
      </c>
      <c r="C42" s="1">
        <v>45447</v>
      </c>
      <c r="D42" t="s">
        <v>22</v>
      </c>
      <c r="E42" t="s">
        <v>901</v>
      </c>
      <c r="F42">
        <v>20000</v>
      </c>
      <c r="I42">
        <v>20000</v>
      </c>
      <c r="J42">
        <v>20000</v>
      </c>
      <c r="K42">
        <v>25918.54</v>
      </c>
    </row>
    <row r="43" spans="1:11" hidden="1" x14ac:dyDescent="0.25">
      <c r="A43">
        <v>2024</v>
      </c>
      <c r="B43">
        <v>6</v>
      </c>
      <c r="C43" s="1">
        <v>45447</v>
      </c>
      <c r="D43" t="s">
        <v>308</v>
      </c>
      <c r="E43" t="s">
        <v>901</v>
      </c>
      <c r="F43">
        <v>42.24</v>
      </c>
      <c r="I43">
        <v>42.24</v>
      </c>
      <c r="J43">
        <v>42.24</v>
      </c>
      <c r="K43">
        <v>25960.78</v>
      </c>
    </row>
    <row r="44" spans="1:11" hidden="1" x14ac:dyDescent="0.25">
      <c r="A44">
        <v>2024</v>
      </c>
      <c r="B44">
        <v>6</v>
      </c>
      <c r="C44" s="1">
        <v>45450</v>
      </c>
      <c r="D44" t="s">
        <v>308</v>
      </c>
      <c r="E44" t="s">
        <v>901</v>
      </c>
      <c r="F44">
        <v>99</v>
      </c>
      <c r="I44">
        <v>99</v>
      </c>
      <c r="J44">
        <v>99</v>
      </c>
      <c r="K44">
        <v>25434.400000000001</v>
      </c>
    </row>
    <row r="45" spans="1:11" hidden="1" x14ac:dyDescent="0.25">
      <c r="A45">
        <v>2024</v>
      </c>
      <c r="B45">
        <v>6</v>
      </c>
      <c r="C45" s="1">
        <v>45453</v>
      </c>
      <c r="D45" t="s">
        <v>374</v>
      </c>
      <c r="E45" t="s">
        <v>901</v>
      </c>
      <c r="F45">
        <v>13535</v>
      </c>
      <c r="I45">
        <v>13535</v>
      </c>
      <c r="J45">
        <v>13535</v>
      </c>
      <c r="K45">
        <v>38842.839999999997</v>
      </c>
    </row>
    <row r="46" spans="1:11" hidden="1" x14ac:dyDescent="0.25">
      <c r="A46">
        <v>2024</v>
      </c>
      <c r="B46">
        <v>6</v>
      </c>
      <c r="C46" s="1">
        <v>45453</v>
      </c>
      <c r="D46" t="s">
        <v>308</v>
      </c>
      <c r="E46" t="s">
        <v>901</v>
      </c>
      <c r="F46">
        <v>596</v>
      </c>
      <c r="I46">
        <v>596</v>
      </c>
      <c r="J46">
        <v>596</v>
      </c>
      <c r="K46">
        <v>39438.839999999997</v>
      </c>
    </row>
    <row r="47" spans="1:11" hidden="1" x14ac:dyDescent="0.25">
      <c r="A47">
        <v>2024</v>
      </c>
      <c r="B47">
        <v>6</v>
      </c>
      <c r="C47" s="1">
        <v>45453</v>
      </c>
      <c r="D47" t="s">
        <v>22</v>
      </c>
      <c r="E47" t="s">
        <v>901</v>
      </c>
      <c r="F47">
        <v>327</v>
      </c>
      <c r="I47">
        <v>327</v>
      </c>
      <c r="J47">
        <v>327</v>
      </c>
      <c r="K47">
        <v>39765.839999999997</v>
      </c>
    </row>
    <row r="48" spans="1:11" hidden="1" x14ac:dyDescent="0.25">
      <c r="A48">
        <v>2024</v>
      </c>
      <c r="B48">
        <v>6</v>
      </c>
      <c r="C48" s="1">
        <v>45455</v>
      </c>
      <c r="D48" t="s">
        <v>308</v>
      </c>
      <c r="E48" t="s">
        <v>901</v>
      </c>
      <c r="F48">
        <v>8140</v>
      </c>
      <c r="I48">
        <v>8140</v>
      </c>
      <c r="J48">
        <v>8140</v>
      </c>
      <c r="K48">
        <v>47629.38</v>
      </c>
    </row>
    <row r="49" spans="1:11" hidden="1" x14ac:dyDescent="0.25">
      <c r="A49">
        <v>2024</v>
      </c>
      <c r="B49">
        <v>6</v>
      </c>
      <c r="C49" s="1">
        <v>45457</v>
      </c>
      <c r="D49" t="s">
        <v>308</v>
      </c>
      <c r="E49" t="s">
        <v>901</v>
      </c>
      <c r="F49">
        <v>300</v>
      </c>
      <c r="I49">
        <v>300</v>
      </c>
      <c r="J49">
        <v>300</v>
      </c>
      <c r="K49">
        <v>21049.94</v>
      </c>
    </row>
    <row r="50" spans="1:11" hidden="1" x14ac:dyDescent="0.25">
      <c r="A50">
        <v>2024</v>
      </c>
      <c r="B50">
        <v>6</v>
      </c>
      <c r="C50" s="1">
        <v>45460</v>
      </c>
      <c r="D50" t="s">
        <v>386</v>
      </c>
      <c r="E50" t="s">
        <v>901</v>
      </c>
      <c r="F50">
        <v>15156</v>
      </c>
      <c r="I50">
        <v>15156</v>
      </c>
      <c r="J50">
        <v>15156</v>
      </c>
      <c r="K50">
        <v>34997.550000000003</v>
      </c>
    </row>
    <row r="51" spans="1:11" hidden="1" x14ac:dyDescent="0.25">
      <c r="A51">
        <v>2024</v>
      </c>
      <c r="B51">
        <v>6</v>
      </c>
      <c r="C51" s="1">
        <v>45461</v>
      </c>
      <c r="D51" t="s">
        <v>308</v>
      </c>
      <c r="E51" t="s">
        <v>901</v>
      </c>
      <c r="F51">
        <v>102.2</v>
      </c>
      <c r="I51">
        <v>102.2</v>
      </c>
      <c r="J51">
        <v>102.2</v>
      </c>
      <c r="K51">
        <v>33239.919999999998</v>
      </c>
    </row>
    <row r="52" spans="1:11" hidden="1" x14ac:dyDescent="0.25">
      <c r="A52">
        <v>2024</v>
      </c>
      <c r="B52">
        <v>6</v>
      </c>
      <c r="C52" s="1">
        <v>45463</v>
      </c>
      <c r="D52" t="s">
        <v>392</v>
      </c>
      <c r="E52" t="s">
        <v>901</v>
      </c>
      <c r="F52">
        <v>23500</v>
      </c>
      <c r="I52">
        <v>23500</v>
      </c>
      <c r="J52">
        <v>23500</v>
      </c>
      <c r="K52">
        <v>56142.83</v>
      </c>
    </row>
    <row r="53" spans="1:11" hidden="1" x14ac:dyDescent="0.25">
      <c r="A53">
        <v>2024</v>
      </c>
      <c r="B53">
        <v>6</v>
      </c>
      <c r="C53" s="1">
        <v>45467</v>
      </c>
      <c r="D53" t="s">
        <v>396</v>
      </c>
      <c r="E53" t="s">
        <v>901</v>
      </c>
      <c r="F53">
        <v>12091</v>
      </c>
      <c r="I53">
        <v>12091</v>
      </c>
      <c r="J53">
        <v>12091</v>
      </c>
      <c r="K53">
        <v>65216.6</v>
      </c>
    </row>
    <row r="54" spans="1:11" hidden="1" x14ac:dyDescent="0.25">
      <c r="A54">
        <v>2024</v>
      </c>
      <c r="B54">
        <v>6</v>
      </c>
      <c r="C54" s="1">
        <v>45467</v>
      </c>
      <c r="D54" t="s">
        <v>308</v>
      </c>
      <c r="E54" t="s">
        <v>901</v>
      </c>
      <c r="F54">
        <v>10041.86</v>
      </c>
      <c r="I54">
        <v>10041.86</v>
      </c>
      <c r="J54">
        <v>10041.86</v>
      </c>
      <c r="K54">
        <v>75258.460000000006</v>
      </c>
    </row>
    <row r="55" spans="1:11" hidden="1" x14ac:dyDescent="0.25">
      <c r="A55">
        <v>2024</v>
      </c>
      <c r="B55">
        <v>6</v>
      </c>
      <c r="C55" s="1">
        <v>45469</v>
      </c>
      <c r="D55" t="s">
        <v>308</v>
      </c>
      <c r="E55" t="s">
        <v>901</v>
      </c>
      <c r="F55">
        <v>12146</v>
      </c>
      <c r="I55">
        <v>12146</v>
      </c>
      <c r="J55">
        <v>12146</v>
      </c>
      <c r="K55">
        <v>86854.46</v>
      </c>
    </row>
    <row r="56" spans="1:11" hidden="1" x14ac:dyDescent="0.25">
      <c r="A56">
        <v>2024</v>
      </c>
      <c r="B56">
        <v>6</v>
      </c>
      <c r="C56" s="1">
        <v>45471</v>
      </c>
      <c r="D56" t="s">
        <v>22</v>
      </c>
      <c r="E56" t="s">
        <v>901</v>
      </c>
      <c r="F56">
        <v>10480.200000000001</v>
      </c>
      <c r="I56">
        <v>10480.200000000001</v>
      </c>
      <c r="J56">
        <v>10480.200000000001</v>
      </c>
      <c r="K56">
        <v>67040.41</v>
      </c>
    </row>
    <row r="57" spans="1:11" hidden="1" x14ac:dyDescent="0.25">
      <c r="A57">
        <v>2024</v>
      </c>
      <c r="B57">
        <v>7</v>
      </c>
      <c r="C57" s="1">
        <v>45474</v>
      </c>
      <c r="D57" t="s">
        <v>413</v>
      </c>
      <c r="E57" t="s">
        <v>901</v>
      </c>
      <c r="F57">
        <v>4505</v>
      </c>
      <c r="I57">
        <v>4505</v>
      </c>
      <c r="J57">
        <v>4505</v>
      </c>
      <c r="K57">
        <v>67769.789999999994</v>
      </c>
    </row>
    <row r="58" spans="1:11" hidden="1" x14ac:dyDescent="0.25">
      <c r="A58">
        <v>2024</v>
      </c>
      <c r="B58">
        <v>7</v>
      </c>
      <c r="C58" s="1">
        <v>45475</v>
      </c>
      <c r="D58" t="s">
        <v>22</v>
      </c>
      <c r="E58" t="s">
        <v>901</v>
      </c>
      <c r="F58">
        <v>12000</v>
      </c>
      <c r="I58">
        <v>12000</v>
      </c>
      <c r="J58">
        <v>12000</v>
      </c>
      <c r="K58">
        <v>72978.12</v>
      </c>
    </row>
    <row r="59" spans="1:11" hidden="1" x14ac:dyDescent="0.25">
      <c r="A59">
        <v>2024</v>
      </c>
      <c r="B59">
        <v>7</v>
      </c>
      <c r="C59" s="1">
        <v>45481</v>
      </c>
      <c r="D59" t="s">
        <v>428</v>
      </c>
      <c r="E59" t="s">
        <v>901</v>
      </c>
      <c r="F59">
        <v>13296</v>
      </c>
      <c r="I59">
        <v>13296</v>
      </c>
      <c r="J59">
        <v>13296</v>
      </c>
      <c r="K59">
        <v>84834.57</v>
      </c>
    </row>
    <row r="60" spans="1:11" hidden="1" x14ac:dyDescent="0.25">
      <c r="A60">
        <v>2024</v>
      </c>
      <c r="B60">
        <v>7</v>
      </c>
      <c r="C60" s="1">
        <v>45483</v>
      </c>
      <c r="D60" t="s">
        <v>22</v>
      </c>
      <c r="E60" t="s">
        <v>901</v>
      </c>
      <c r="F60">
        <v>210</v>
      </c>
      <c r="I60">
        <v>210</v>
      </c>
      <c r="J60">
        <v>210</v>
      </c>
      <c r="K60">
        <v>81603.75</v>
      </c>
    </row>
    <row r="61" spans="1:11" hidden="1" x14ac:dyDescent="0.25">
      <c r="A61">
        <v>2024</v>
      </c>
      <c r="B61">
        <v>7</v>
      </c>
      <c r="C61" s="1">
        <v>45488</v>
      </c>
      <c r="D61" t="s">
        <v>438</v>
      </c>
      <c r="E61" t="s">
        <v>901</v>
      </c>
      <c r="F61">
        <v>5439</v>
      </c>
      <c r="I61">
        <v>5439</v>
      </c>
      <c r="J61">
        <v>5439</v>
      </c>
      <c r="K61">
        <v>64256.63</v>
      </c>
    </row>
    <row r="62" spans="1:11" hidden="1" x14ac:dyDescent="0.25">
      <c r="A62">
        <v>2024</v>
      </c>
      <c r="B62">
        <v>7</v>
      </c>
      <c r="C62" s="1">
        <v>45495</v>
      </c>
      <c r="D62" t="s">
        <v>450</v>
      </c>
      <c r="E62" t="s">
        <v>901</v>
      </c>
      <c r="F62">
        <v>2979</v>
      </c>
      <c r="I62">
        <v>2979</v>
      </c>
      <c r="J62">
        <v>2979</v>
      </c>
      <c r="K62">
        <v>52091.63</v>
      </c>
    </row>
    <row r="63" spans="1:11" hidden="1" x14ac:dyDescent="0.25">
      <c r="A63">
        <v>2024</v>
      </c>
      <c r="B63">
        <v>7</v>
      </c>
      <c r="C63" s="1">
        <v>45502</v>
      </c>
      <c r="D63" t="s">
        <v>469</v>
      </c>
      <c r="E63" t="s">
        <v>901</v>
      </c>
      <c r="F63">
        <v>11311</v>
      </c>
      <c r="I63">
        <v>11311</v>
      </c>
      <c r="J63">
        <v>11311</v>
      </c>
      <c r="K63">
        <v>30656.05</v>
      </c>
    </row>
    <row r="64" spans="1:11" hidden="1" x14ac:dyDescent="0.25">
      <c r="A64">
        <v>2024</v>
      </c>
      <c r="B64">
        <v>7</v>
      </c>
      <c r="C64" s="1">
        <v>45502</v>
      </c>
      <c r="D64" t="s">
        <v>308</v>
      </c>
      <c r="E64" t="s">
        <v>901</v>
      </c>
      <c r="F64">
        <v>130</v>
      </c>
      <c r="I64">
        <v>130</v>
      </c>
      <c r="J64">
        <v>130</v>
      </c>
      <c r="K64">
        <v>30786.05</v>
      </c>
    </row>
    <row r="65" spans="1:11" hidden="1" x14ac:dyDescent="0.25">
      <c r="A65">
        <v>2024</v>
      </c>
      <c r="B65">
        <v>7</v>
      </c>
      <c r="C65" s="1">
        <v>45503</v>
      </c>
      <c r="D65" t="s">
        <v>308</v>
      </c>
      <c r="E65" t="s">
        <v>901</v>
      </c>
      <c r="F65">
        <v>1472</v>
      </c>
      <c r="I65">
        <v>1472</v>
      </c>
      <c r="J65">
        <v>1472</v>
      </c>
      <c r="K65">
        <v>31938.26</v>
      </c>
    </row>
    <row r="66" spans="1:11" hidden="1" x14ac:dyDescent="0.25">
      <c r="A66">
        <v>2024</v>
      </c>
      <c r="B66">
        <v>8</v>
      </c>
      <c r="C66" s="1">
        <v>45505</v>
      </c>
      <c r="D66" t="s">
        <v>22</v>
      </c>
      <c r="E66" t="s">
        <v>901</v>
      </c>
      <c r="F66">
        <v>9800</v>
      </c>
      <c r="I66">
        <v>9800</v>
      </c>
      <c r="J66">
        <v>9800</v>
      </c>
      <c r="K66">
        <v>41117.25</v>
      </c>
    </row>
    <row r="67" spans="1:11" hidden="1" x14ac:dyDescent="0.25">
      <c r="A67">
        <v>2024</v>
      </c>
      <c r="B67">
        <v>8</v>
      </c>
      <c r="C67" s="1">
        <v>45505</v>
      </c>
      <c r="D67" t="s">
        <v>22</v>
      </c>
      <c r="E67" t="s">
        <v>901</v>
      </c>
      <c r="F67">
        <v>5693</v>
      </c>
      <c r="I67">
        <v>5693</v>
      </c>
      <c r="J67">
        <v>5693</v>
      </c>
      <c r="K67">
        <v>46810.25</v>
      </c>
    </row>
    <row r="68" spans="1:11" hidden="1" x14ac:dyDescent="0.25">
      <c r="A68">
        <v>2024</v>
      </c>
      <c r="B68">
        <v>8</v>
      </c>
      <c r="C68" s="1">
        <v>45505</v>
      </c>
      <c r="D68" t="s">
        <v>22</v>
      </c>
      <c r="E68" t="s">
        <v>901</v>
      </c>
      <c r="F68">
        <v>520.16999999999996</v>
      </c>
      <c r="I68">
        <v>520.16999999999996</v>
      </c>
      <c r="J68">
        <v>520.16999999999996</v>
      </c>
      <c r="K68">
        <v>47330.42</v>
      </c>
    </row>
    <row r="69" spans="1:11" hidden="1" x14ac:dyDescent="0.25">
      <c r="A69">
        <v>2024</v>
      </c>
      <c r="B69">
        <v>8</v>
      </c>
      <c r="C69" s="1">
        <v>45505</v>
      </c>
      <c r="D69" t="s">
        <v>22</v>
      </c>
      <c r="E69" t="s">
        <v>901</v>
      </c>
      <c r="F69">
        <v>164.82</v>
      </c>
      <c r="I69">
        <v>164.82</v>
      </c>
      <c r="J69">
        <v>164.82</v>
      </c>
      <c r="K69">
        <v>47495.24</v>
      </c>
    </row>
    <row r="70" spans="1:11" hidden="1" x14ac:dyDescent="0.25">
      <c r="A70">
        <v>2024</v>
      </c>
      <c r="B70">
        <v>8</v>
      </c>
      <c r="C70" s="1">
        <v>45505</v>
      </c>
      <c r="D70" t="s">
        <v>22</v>
      </c>
      <c r="E70" t="s">
        <v>901</v>
      </c>
      <c r="F70">
        <v>164.1</v>
      </c>
      <c r="I70">
        <v>164.1</v>
      </c>
      <c r="J70">
        <v>164.1</v>
      </c>
      <c r="K70">
        <v>47659.34</v>
      </c>
    </row>
    <row r="71" spans="1:11" hidden="1" x14ac:dyDescent="0.25">
      <c r="A71">
        <v>2024</v>
      </c>
      <c r="B71">
        <v>8</v>
      </c>
      <c r="C71" s="1">
        <v>45505</v>
      </c>
      <c r="D71" t="s">
        <v>22</v>
      </c>
      <c r="E71" t="s">
        <v>901</v>
      </c>
      <c r="F71">
        <v>139</v>
      </c>
      <c r="I71">
        <v>139</v>
      </c>
      <c r="J71">
        <v>139</v>
      </c>
      <c r="K71">
        <v>47798.34</v>
      </c>
    </row>
    <row r="72" spans="1:11" hidden="1" x14ac:dyDescent="0.25">
      <c r="A72">
        <v>2024</v>
      </c>
      <c r="B72">
        <v>8</v>
      </c>
      <c r="C72" s="1">
        <v>45505</v>
      </c>
      <c r="D72" t="s">
        <v>22</v>
      </c>
      <c r="E72" t="s">
        <v>901</v>
      </c>
      <c r="F72">
        <v>79.66</v>
      </c>
      <c r="I72">
        <v>79.66</v>
      </c>
      <c r="J72">
        <v>79.66</v>
      </c>
      <c r="K72">
        <v>47878</v>
      </c>
    </row>
    <row r="73" spans="1:11" hidden="1" x14ac:dyDescent="0.25">
      <c r="A73">
        <v>2024</v>
      </c>
      <c r="B73">
        <v>8</v>
      </c>
      <c r="C73" s="1">
        <v>45505</v>
      </c>
      <c r="D73" t="s">
        <v>22</v>
      </c>
      <c r="E73" t="s">
        <v>901</v>
      </c>
      <c r="F73">
        <v>52.06</v>
      </c>
      <c r="I73">
        <v>52.06</v>
      </c>
      <c r="J73">
        <v>52.06</v>
      </c>
      <c r="K73">
        <v>47930.06</v>
      </c>
    </row>
    <row r="74" spans="1:11" hidden="1" x14ac:dyDescent="0.25">
      <c r="A74">
        <v>2024</v>
      </c>
      <c r="B74">
        <v>8</v>
      </c>
      <c r="C74" s="1">
        <v>45506</v>
      </c>
      <c r="D74" t="s">
        <v>188</v>
      </c>
      <c r="E74" t="s">
        <v>901</v>
      </c>
      <c r="F74">
        <v>4182.8500000000004</v>
      </c>
      <c r="I74">
        <v>4182.8500000000004</v>
      </c>
      <c r="J74">
        <v>4182.8500000000004</v>
      </c>
      <c r="K74">
        <v>46482.73</v>
      </c>
    </row>
    <row r="75" spans="1:11" hidden="1" x14ac:dyDescent="0.25">
      <c r="A75">
        <v>2024</v>
      </c>
      <c r="B75">
        <v>8</v>
      </c>
      <c r="C75" s="1">
        <v>45509</v>
      </c>
      <c r="D75" t="s">
        <v>490</v>
      </c>
      <c r="E75" t="s">
        <v>901</v>
      </c>
      <c r="F75">
        <v>5090</v>
      </c>
      <c r="I75">
        <v>5090</v>
      </c>
      <c r="J75">
        <v>5090</v>
      </c>
      <c r="K75">
        <v>49144.15</v>
      </c>
    </row>
    <row r="76" spans="1:11" hidden="1" x14ac:dyDescent="0.25">
      <c r="A76">
        <v>2024</v>
      </c>
      <c r="B76">
        <v>8</v>
      </c>
      <c r="C76" s="1">
        <v>45509</v>
      </c>
      <c r="D76" t="s">
        <v>308</v>
      </c>
      <c r="E76" t="s">
        <v>901</v>
      </c>
      <c r="F76">
        <v>125</v>
      </c>
      <c r="I76">
        <v>125</v>
      </c>
      <c r="J76">
        <v>125</v>
      </c>
      <c r="K76">
        <v>49269.15</v>
      </c>
    </row>
    <row r="77" spans="1:11" hidden="1" x14ac:dyDescent="0.25">
      <c r="A77">
        <v>2024</v>
      </c>
      <c r="B77">
        <v>8</v>
      </c>
      <c r="C77" s="1">
        <v>45513</v>
      </c>
      <c r="D77" t="s">
        <v>502</v>
      </c>
      <c r="E77" t="s">
        <v>901</v>
      </c>
      <c r="F77">
        <v>9000</v>
      </c>
      <c r="I77">
        <v>9000</v>
      </c>
      <c r="J77">
        <v>9000</v>
      </c>
      <c r="K77">
        <v>16931.150000000001</v>
      </c>
    </row>
    <row r="78" spans="1:11" hidden="1" x14ac:dyDescent="0.25">
      <c r="A78">
        <v>2024</v>
      </c>
      <c r="B78">
        <v>8</v>
      </c>
      <c r="C78" s="1">
        <v>45516</v>
      </c>
      <c r="D78" t="s">
        <v>506</v>
      </c>
      <c r="E78" t="s">
        <v>901</v>
      </c>
      <c r="F78">
        <v>10336</v>
      </c>
      <c r="I78">
        <v>10336</v>
      </c>
      <c r="J78">
        <v>10336</v>
      </c>
      <c r="K78">
        <v>26868.16</v>
      </c>
    </row>
    <row r="79" spans="1:11" hidden="1" x14ac:dyDescent="0.25">
      <c r="A79">
        <v>2024</v>
      </c>
      <c r="B79">
        <v>8</v>
      </c>
      <c r="C79" s="1">
        <v>45516</v>
      </c>
      <c r="D79" t="s">
        <v>308</v>
      </c>
      <c r="E79" t="s">
        <v>901</v>
      </c>
      <c r="F79">
        <v>3111</v>
      </c>
      <c r="I79">
        <v>3111</v>
      </c>
      <c r="J79">
        <v>3111</v>
      </c>
      <c r="K79">
        <v>29979.16</v>
      </c>
    </row>
    <row r="80" spans="1:11" hidden="1" x14ac:dyDescent="0.25">
      <c r="A80">
        <v>2024</v>
      </c>
      <c r="B80">
        <v>8</v>
      </c>
      <c r="C80" s="1">
        <v>45516</v>
      </c>
      <c r="D80" t="s">
        <v>308</v>
      </c>
      <c r="E80" t="s">
        <v>901</v>
      </c>
      <c r="F80">
        <v>50</v>
      </c>
      <c r="I80">
        <v>50</v>
      </c>
      <c r="J80">
        <v>50</v>
      </c>
      <c r="K80">
        <v>30029.16</v>
      </c>
    </row>
    <row r="81" spans="1:11" hidden="1" x14ac:dyDescent="0.25">
      <c r="A81">
        <v>2024</v>
      </c>
      <c r="B81">
        <v>8</v>
      </c>
      <c r="C81" s="1">
        <v>45517</v>
      </c>
      <c r="D81" t="s">
        <v>508</v>
      </c>
      <c r="E81" t="s">
        <v>901</v>
      </c>
      <c r="F81">
        <v>10000</v>
      </c>
      <c r="I81">
        <v>10000</v>
      </c>
      <c r="J81">
        <v>10000</v>
      </c>
      <c r="K81">
        <v>35796.339999999997</v>
      </c>
    </row>
    <row r="82" spans="1:11" hidden="1" x14ac:dyDescent="0.25">
      <c r="A82">
        <v>2024</v>
      </c>
      <c r="B82">
        <v>8</v>
      </c>
      <c r="C82" s="1">
        <v>45517</v>
      </c>
      <c r="D82" t="s">
        <v>308</v>
      </c>
      <c r="E82" t="s">
        <v>901</v>
      </c>
      <c r="F82">
        <v>5748</v>
      </c>
      <c r="I82">
        <v>5748</v>
      </c>
      <c r="J82">
        <v>5748</v>
      </c>
      <c r="K82">
        <v>41544.339999999997</v>
      </c>
    </row>
    <row r="83" spans="1:11" hidden="1" x14ac:dyDescent="0.25">
      <c r="A83">
        <v>2024</v>
      </c>
      <c r="B83">
        <v>8</v>
      </c>
      <c r="C83" s="1">
        <v>45520</v>
      </c>
      <c r="D83" t="s">
        <v>511</v>
      </c>
      <c r="E83" t="s">
        <v>901</v>
      </c>
      <c r="F83">
        <v>15928.5</v>
      </c>
      <c r="I83">
        <v>15928.5</v>
      </c>
      <c r="J83">
        <v>15928.5</v>
      </c>
      <c r="K83">
        <v>57001.45</v>
      </c>
    </row>
    <row r="84" spans="1:11" hidden="1" x14ac:dyDescent="0.25">
      <c r="A84">
        <v>2024</v>
      </c>
      <c r="B84">
        <v>8</v>
      </c>
      <c r="C84" s="1">
        <v>45520</v>
      </c>
      <c r="D84" t="s">
        <v>308</v>
      </c>
      <c r="E84" t="s">
        <v>901</v>
      </c>
      <c r="F84">
        <v>2109</v>
      </c>
      <c r="I84">
        <v>2109</v>
      </c>
      <c r="J84">
        <v>2109</v>
      </c>
      <c r="K84">
        <v>59110.45</v>
      </c>
    </row>
    <row r="85" spans="1:11" hidden="1" x14ac:dyDescent="0.25">
      <c r="A85">
        <v>2024</v>
      </c>
      <c r="B85">
        <v>8</v>
      </c>
      <c r="C85" s="1">
        <v>45523</v>
      </c>
      <c r="D85" t="s">
        <v>514</v>
      </c>
      <c r="E85" t="s">
        <v>901</v>
      </c>
      <c r="F85">
        <v>11944</v>
      </c>
      <c r="I85">
        <v>11944</v>
      </c>
      <c r="J85">
        <v>11944</v>
      </c>
      <c r="K85">
        <v>70647.490000000005</v>
      </c>
    </row>
    <row r="86" spans="1:11" hidden="1" x14ac:dyDescent="0.25">
      <c r="A86">
        <v>2024</v>
      </c>
      <c r="B86">
        <v>8</v>
      </c>
      <c r="C86" s="1">
        <v>45523</v>
      </c>
      <c r="D86" t="s">
        <v>308</v>
      </c>
      <c r="E86" t="s">
        <v>901</v>
      </c>
      <c r="F86">
        <v>1275</v>
      </c>
      <c r="I86">
        <v>1275</v>
      </c>
      <c r="J86">
        <v>1275</v>
      </c>
      <c r="K86">
        <v>71922.490000000005</v>
      </c>
    </row>
    <row r="87" spans="1:11" hidden="1" x14ac:dyDescent="0.25">
      <c r="A87">
        <v>2024</v>
      </c>
      <c r="B87">
        <v>8</v>
      </c>
      <c r="C87" s="1">
        <v>45525</v>
      </c>
      <c r="D87" t="s">
        <v>22</v>
      </c>
      <c r="E87" t="s">
        <v>901</v>
      </c>
      <c r="F87">
        <v>18127.96</v>
      </c>
      <c r="I87">
        <v>18127.96</v>
      </c>
      <c r="J87">
        <v>18127.96</v>
      </c>
      <c r="K87">
        <v>78465.03</v>
      </c>
    </row>
    <row r="88" spans="1:11" hidden="1" x14ac:dyDescent="0.25">
      <c r="A88">
        <v>2024</v>
      </c>
      <c r="B88">
        <v>8</v>
      </c>
      <c r="C88" s="1">
        <v>45527</v>
      </c>
      <c r="D88" t="s">
        <v>308</v>
      </c>
      <c r="E88" t="s">
        <v>901</v>
      </c>
      <c r="F88">
        <v>3110</v>
      </c>
      <c r="I88">
        <v>3110</v>
      </c>
      <c r="J88">
        <v>3110</v>
      </c>
      <c r="K88">
        <v>57409.15</v>
      </c>
    </row>
    <row r="89" spans="1:11" hidden="1" x14ac:dyDescent="0.25">
      <c r="A89">
        <v>2024</v>
      </c>
      <c r="B89">
        <v>8</v>
      </c>
      <c r="C89" s="1">
        <v>45530</v>
      </c>
      <c r="D89" t="s">
        <v>308</v>
      </c>
      <c r="E89" t="s">
        <v>901</v>
      </c>
      <c r="F89">
        <v>13858.88</v>
      </c>
      <c r="I89">
        <v>13858.88</v>
      </c>
      <c r="J89">
        <v>13858.88</v>
      </c>
      <c r="K89">
        <v>37732.870000000003</v>
      </c>
    </row>
    <row r="90" spans="1:11" hidden="1" x14ac:dyDescent="0.25">
      <c r="A90">
        <v>2024</v>
      </c>
      <c r="B90">
        <v>8</v>
      </c>
      <c r="C90" s="1">
        <v>45530</v>
      </c>
      <c r="D90" t="s">
        <v>529</v>
      </c>
      <c r="E90" t="s">
        <v>901</v>
      </c>
      <c r="F90">
        <v>6178</v>
      </c>
      <c r="I90">
        <v>6178</v>
      </c>
      <c r="J90">
        <v>6178</v>
      </c>
      <c r="K90">
        <v>43910.87</v>
      </c>
    </row>
    <row r="91" spans="1:11" hidden="1" x14ac:dyDescent="0.25">
      <c r="A91">
        <v>2024</v>
      </c>
      <c r="B91">
        <v>8</v>
      </c>
      <c r="C91" s="1">
        <v>45531</v>
      </c>
      <c r="D91" t="s">
        <v>308</v>
      </c>
      <c r="E91" t="s">
        <v>901</v>
      </c>
      <c r="F91">
        <v>128</v>
      </c>
      <c r="I91">
        <v>128</v>
      </c>
      <c r="J91">
        <v>128</v>
      </c>
      <c r="K91">
        <v>36858.33</v>
      </c>
    </row>
    <row r="92" spans="1:11" hidden="1" x14ac:dyDescent="0.25">
      <c r="A92">
        <v>2024</v>
      </c>
      <c r="B92">
        <v>8</v>
      </c>
      <c r="C92" s="1">
        <v>45533</v>
      </c>
      <c r="D92" t="s">
        <v>308</v>
      </c>
      <c r="E92" t="s">
        <v>901</v>
      </c>
      <c r="F92">
        <v>11099</v>
      </c>
      <c r="I92">
        <v>11099</v>
      </c>
      <c r="J92">
        <v>11099</v>
      </c>
      <c r="K92">
        <v>44375.11</v>
      </c>
    </row>
    <row r="93" spans="1:11" hidden="1" x14ac:dyDescent="0.25">
      <c r="A93">
        <v>2024</v>
      </c>
      <c r="B93">
        <v>9</v>
      </c>
      <c r="C93" s="1">
        <v>45538</v>
      </c>
      <c r="D93" t="s">
        <v>546</v>
      </c>
      <c r="E93" t="s">
        <v>901</v>
      </c>
      <c r="F93">
        <v>40000</v>
      </c>
      <c r="I93">
        <v>40000</v>
      </c>
      <c r="J93">
        <v>40000</v>
      </c>
      <c r="K93">
        <v>71350.45</v>
      </c>
    </row>
    <row r="94" spans="1:11" hidden="1" x14ac:dyDescent="0.25">
      <c r="A94">
        <v>2024</v>
      </c>
      <c r="B94">
        <v>9</v>
      </c>
      <c r="C94" s="1">
        <v>45538</v>
      </c>
      <c r="D94" t="s">
        <v>547</v>
      </c>
      <c r="E94" t="s">
        <v>901</v>
      </c>
      <c r="F94">
        <v>5218.57</v>
      </c>
      <c r="I94">
        <v>5218.57</v>
      </c>
      <c r="J94">
        <v>5218.57</v>
      </c>
      <c r="K94">
        <v>76569.02</v>
      </c>
    </row>
    <row r="95" spans="1:11" hidden="1" x14ac:dyDescent="0.25">
      <c r="A95">
        <v>2024</v>
      </c>
      <c r="B95">
        <v>9</v>
      </c>
      <c r="C95" s="1">
        <v>45538</v>
      </c>
      <c r="D95" t="s">
        <v>548</v>
      </c>
      <c r="E95" t="s">
        <v>901</v>
      </c>
      <c r="F95">
        <v>249.52</v>
      </c>
      <c r="I95">
        <v>249.52</v>
      </c>
      <c r="J95">
        <v>249.52</v>
      </c>
      <c r="K95">
        <v>76818.539999999994</v>
      </c>
    </row>
    <row r="96" spans="1:11" hidden="1" x14ac:dyDescent="0.25">
      <c r="A96">
        <v>2024</v>
      </c>
      <c r="B96">
        <v>9</v>
      </c>
      <c r="C96" s="1">
        <v>45539</v>
      </c>
      <c r="D96" t="s">
        <v>308</v>
      </c>
      <c r="E96" t="s">
        <v>901</v>
      </c>
      <c r="F96">
        <v>517</v>
      </c>
      <c r="I96">
        <v>517</v>
      </c>
      <c r="J96">
        <v>517</v>
      </c>
      <c r="K96">
        <v>70707.820000000007</v>
      </c>
    </row>
    <row r="97" spans="1:11" hidden="1" x14ac:dyDescent="0.25">
      <c r="A97">
        <v>2024</v>
      </c>
      <c r="B97">
        <v>9</v>
      </c>
      <c r="C97" s="1">
        <v>45540</v>
      </c>
      <c r="D97" t="s">
        <v>308</v>
      </c>
      <c r="E97" t="s">
        <v>901</v>
      </c>
      <c r="F97">
        <v>12268</v>
      </c>
      <c r="I97">
        <v>12268</v>
      </c>
      <c r="J97">
        <v>12268</v>
      </c>
      <c r="K97">
        <v>82394.92</v>
      </c>
    </row>
    <row r="98" spans="1:11" hidden="1" x14ac:dyDescent="0.25">
      <c r="A98">
        <v>2024</v>
      </c>
      <c r="B98">
        <v>9</v>
      </c>
      <c r="C98" s="1">
        <v>45541</v>
      </c>
      <c r="D98" t="s">
        <v>308</v>
      </c>
      <c r="E98" t="s">
        <v>901</v>
      </c>
      <c r="F98">
        <v>99</v>
      </c>
      <c r="I98">
        <v>99</v>
      </c>
      <c r="J98">
        <v>99</v>
      </c>
      <c r="K98">
        <v>80278.11</v>
      </c>
    </row>
    <row r="99" spans="1:11" hidden="1" x14ac:dyDescent="0.25">
      <c r="A99">
        <v>2024</v>
      </c>
      <c r="B99">
        <v>9</v>
      </c>
      <c r="C99" s="1">
        <v>45544</v>
      </c>
      <c r="D99" t="s">
        <v>575</v>
      </c>
      <c r="E99" t="s">
        <v>901</v>
      </c>
      <c r="F99">
        <v>19333</v>
      </c>
      <c r="I99">
        <v>19333</v>
      </c>
      <c r="J99">
        <v>19333</v>
      </c>
      <c r="K99">
        <v>68018.81</v>
      </c>
    </row>
    <row r="100" spans="1:11" hidden="1" x14ac:dyDescent="0.25">
      <c r="A100">
        <v>2024</v>
      </c>
      <c r="B100">
        <v>9</v>
      </c>
      <c r="C100" s="1">
        <v>45545</v>
      </c>
      <c r="D100" t="s">
        <v>308</v>
      </c>
      <c r="E100" t="s">
        <v>901</v>
      </c>
      <c r="F100">
        <v>180</v>
      </c>
      <c r="I100">
        <v>180</v>
      </c>
      <c r="J100">
        <v>180</v>
      </c>
      <c r="K100">
        <v>67890.37</v>
      </c>
    </row>
    <row r="101" spans="1:11" hidden="1" x14ac:dyDescent="0.25">
      <c r="A101">
        <v>2024</v>
      </c>
      <c r="B101">
        <v>9</v>
      </c>
      <c r="C101" s="1">
        <v>45546</v>
      </c>
      <c r="D101" t="s">
        <v>308</v>
      </c>
      <c r="E101" t="s">
        <v>901</v>
      </c>
      <c r="F101">
        <v>132.06</v>
      </c>
      <c r="I101">
        <v>132.06</v>
      </c>
      <c r="J101">
        <v>132.06</v>
      </c>
      <c r="K101">
        <v>67639.02</v>
      </c>
    </row>
    <row r="102" spans="1:11" hidden="1" x14ac:dyDescent="0.25">
      <c r="A102">
        <v>2024</v>
      </c>
      <c r="B102">
        <v>9</v>
      </c>
      <c r="C102" s="1">
        <v>45547</v>
      </c>
      <c r="D102" t="s">
        <v>308</v>
      </c>
      <c r="E102" t="s">
        <v>901</v>
      </c>
      <c r="F102">
        <v>1973</v>
      </c>
      <c r="I102">
        <v>1973</v>
      </c>
      <c r="J102">
        <v>1973</v>
      </c>
      <c r="K102">
        <v>69612.02</v>
      </c>
    </row>
    <row r="103" spans="1:11" hidden="1" x14ac:dyDescent="0.25">
      <c r="A103">
        <v>2024</v>
      </c>
      <c r="B103">
        <v>9</v>
      </c>
      <c r="C103" s="1">
        <v>45548</v>
      </c>
      <c r="D103" t="s">
        <v>308</v>
      </c>
      <c r="E103" t="s">
        <v>901</v>
      </c>
      <c r="F103">
        <v>9746.6</v>
      </c>
      <c r="I103">
        <v>9746.6</v>
      </c>
      <c r="J103">
        <v>9746.6</v>
      </c>
      <c r="K103">
        <v>74854.320000000007</v>
      </c>
    </row>
    <row r="104" spans="1:11" hidden="1" x14ac:dyDescent="0.25">
      <c r="A104">
        <v>2024</v>
      </c>
      <c r="B104">
        <v>9</v>
      </c>
      <c r="C104" s="1">
        <v>45551</v>
      </c>
      <c r="D104" t="s">
        <v>586</v>
      </c>
      <c r="E104" t="s">
        <v>901</v>
      </c>
      <c r="F104">
        <v>13643</v>
      </c>
      <c r="I104">
        <v>13643</v>
      </c>
      <c r="J104">
        <v>13643</v>
      </c>
      <c r="K104">
        <v>87178.89</v>
      </c>
    </row>
    <row r="105" spans="1:11" hidden="1" x14ac:dyDescent="0.25">
      <c r="A105">
        <v>2024</v>
      </c>
      <c r="B105">
        <v>9</v>
      </c>
      <c r="C105" s="1">
        <v>45551</v>
      </c>
      <c r="D105" t="s">
        <v>188</v>
      </c>
      <c r="E105" t="s">
        <v>901</v>
      </c>
      <c r="F105">
        <v>1015.43</v>
      </c>
      <c r="I105">
        <v>1015.43</v>
      </c>
      <c r="J105">
        <v>1015.43</v>
      </c>
      <c r="K105">
        <v>88194.32</v>
      </c>
    </row>
    <row r="106" spans="1:11" hidden="1" x14ac:dyDescent="0.25">
      <c r="A106">
        <v>2024</v>
      </c>
      <c r="B106">
        <v>9</v>
      </c>
      <c r="C106" s="1">
        <v>45554</v>
      </c>
      <c r="D106" t="s">
        <v>598</v>
      </c>
      <c r="E106" t="s">
        <v>901</v>
      </c>
      <c r="F106">
        <v>3577.74</v>
      </c>
      <c r="I106">
        <v>3577.74</v>
      </c>
      <c r="J106">
        <v>3577.74</v>
      </c>
      <c r="K106">
        <v>87334.49</v>
      </c>
    </row>
    <row r="107" spans="1:11" hidden="1" x14ac:dyDescent="0.25">
      <c r="A107">
        <v>2024</v>
      </c>
      <c r="B107">
        <v>9</v>
      </c>
      <c r="C107" s="1">
        <v>45554</v>
      </c>
      <c r="D107" t="s">
        <v>308</v>
      </c>
      <c r="E107" t="s">
        <v>901</v>
      </c>
      <c r="F107">
        <v>2959.14</v>
      </c>
      <c r="I107">
        <v>2959.14</v>
      </c>
      <c r="J107">
        <v>2959.14</v>
      </c>
      <c r="K107">
        <v>90293.63</v>
      </c>
    </row>
    <row r="108" spans="1:11" hidden="1" x14ac:dyDescent="0.25">
      <c r="A108">
        <v>2024</v>
      </c>
      <c r="B108">
        <v>9</v>
      </c>
      <c r="C108" s="1">
        <v>45555</v>
      </c>
      <c r="D108" t="s">
        <v>188</v>
      </c>
      <c r="E108" t="s">
        <v>901</v>
      </c>
      <c r="F108">
        <v>540.6</v>
      </c>
      <c r="I108">
        <v>540.6</v>
      </c>
      <c r="J108">
        <v>540.6</v>
      </c>
      <c r="K108">
        <v>83074.91</v>
      </c>
    </row>
    <row r="109" spans="1:11" hidden="1" x14ac:dyDescent="0.25">
      <c r="A109">
        <v>2024</v>
      </c>
      <c r="B109">
        <v>9</v>
      </c>
      <c r="C109" s="1">
        <v>45555</v>
      </c>
      <c r="D109" t="s">
        <v>602</v>
      </c>
      <c r="E109" t="s">
        <v>901</v>
      </c>
      <c r="F109">
        <v>220.14</v>
      </c>
      <c r="I109">
        <v>220.14</v>
      </c>
      <c r="J109">
        <v>220.14</v>
      </c>
      <c r="K109">
        <v>83295.05</v>
      </c>
    </row>
    <row r="110" spans="1:11" hidden="1" x14ac:dyDescent="0.25">
      <c r="A110">
        <v>2024</v>
      </c>
      <c r="B110">
        <v>9</v>
      </c>
      <c r="C110" s="1">
        <v>45558</v>
      </c>
      <c r="D110" t="s">
        <v>608</v>
      </c>
      <c r="E110" t="s">
        <v>901</v>
      </c>
      <c r="F110">
        <v>10254</v>
      </c>
      <c r="I110">
        <v>10254</v>
      </c>
      <c r="J110">
        <v>10254</v>
      </c>
      <c r="K110">
        <v>66748.22</v>
      </c>
    </row>
    <row r="111" spans="1:11" hidden="1" x14ac:dyDescent="0.25">
      <c r="A111">
        <v>2024</v>
      </c>
      <c r="B111">
        <v>9</v>
      </c>
      <c r="C111" s="1">
        <v>45559</v>
      </c>
      <c r="D111" t="s">
        <v>308</v>
      </c>
      <c r="E111" t="s">
        <v>901</v>
      </c>
      <c r="F111">
        <v>79.849999999999994</v>
      </c>
      <c r="I111">
        <v>79.849999999999994</v>
      </c>
      <c r="J111">
        <v>79.849999999999994</v>
      </c>
      <c r="K111">
        <v>66628.33</v>
      </c>
    </row>
    <row r="112" spans="1:11" hidden="1" x14ac:dyDescent="0.25">
      <c r="A112">
        <v>2024</v>
      </c>
      <c r="B112">
        <v>9</v>
      </c>
      <c r="C112" s="1">
        <v>45560</v>
      </c>
      <c r="D112" t="s">
        <v>308</v>
      </c>
      <c r="E112" t="s">
        <v>901</v>
      </c>
      <c r="F112">
        <v>322.02</v>
      </c>
      <c r="I112">
        <v>322.02</v>
      </c>
      <c r="J112">
        <v>322.02</v>
      </c>
      <c r="K112">
        <v>66384.479999999996</v>
      </c>
    </row>
    <row r="113" spans="1:11" hidden="1" x14ac:dyDescent="0.25">
      <c r="A113">
        <v>2024</v>
      </c>
      <c r="B113">
        <v>9</v>
      </c>
      <c r="C113" s="1">
        <v>45561</v>
      </c>
      <c r="D113" t="s">
        <v>308</v>
      </c>
      <c r="E113" t="s">
        <v>901</v>
      </c>
      <c r="F113">
        <v>16825</v>
      </c>
      <c r="I113">
        <v>16825</v>
      </c>
      <c r="J113">
        <v>16825</v>
      </c>
      <c r="K113">
        <v>83178.28</v>
      </c>
    </row>
    <row r="114" spans="1:11" hidden="1" x14ac:dyDescent="0.25">
      <c r="A114">
        <v>2024</v>
      </c>
      <c r="B114">
        <v>9</v>
      </c>
      <c r="C114" s="1">
        <v>45562</v>
      </c>
      <c r="D114" t="s">
        <v>22</v>
      </c>
      <c r="E114" t="s">
        <v>901</v>
      </c>
      <c r="F114">
        <v>2558.79</v>
      </c>
      <c r="I114">
        <v>2558.79</v>
      </c>
      <c r="J114">
        <v>2558.79</v>
      </c>
      <c r="K114">
        <v>83665.14</v>
      </c>
    </row>
    <row r="115" spans="1:11" hidden="1" x14ac:dyDescent="0.25">
      <c r="A115">
        <v>2024</v>
      </c>
      <c r="B115">
        <v>9</v>
      </c>
      <c r="C115" s="1">
        <v>45565</v>
      </c>
      <c r="D115" t="s">
        <v>622</v>
      </c>
      <c r="E115" t="s">
        <v>901</v>
      </c>
      <c r="F115">
        <v>18404</v>
      </c>
      <c r="I115">
        <v>18404</v>
      </c>
      <c r="J115">
        <v>18404</v>
      </c>
      <c r="K115">
        <v>94945.600000000006</v>
      </c>
    </row>
    <row r="116" spans="1:11" hidden="1" x14ac:dyDescent="0.25">
      <c r="A116">
        <v>2024</v>
      </c>
      <c r="B116">
        <v>9</v>
      </c>
      <c r="C116" s="1">
        <v>45565</v>
      </c>
      <c r="D116" t="s">
        <v>308</v>
      </c>
      <c r="E116" t="s">
        <v>901</v>
      </c>
      <c r="F116">
        <v>1223.5</v>
      </c>
      <c r="I116">
        <v>1223.5</v>
      </c>
      <c r="J116">
        <v>1223.5</v>
      </c>
      <c r="K116">
        <v>96169.1</v>
      </c>
    </row>
    <row r="117" spans="1:11" hidden="1" x14ac:dyDescent="0.25">
      <c r="A117">
        <v>2024</v>
      </c>
      <c r="B117">
        <v>9</v>
      </c>
      <c r="C117" s="1">
        <v>45565</v>
      </c>
      <c r="D117" t="s">
        <v>188</v>
      </c>
      <c r="E117" t="s">
        <v>901</v>
      </c>
      <c r="F117">
        <v>97.12</v>
      </c>
      <c r="I117">
        <v>97.12</v>
      </c>
      <c r="J117">
        <v>97.12</v>
      </c>
      <c r="K117">
        <v>96266.22</v>
      </c>
    </row>
    <row r="118" spans="1:11" hidden="1" x14ac:dyDescent="0.25">
      <c r="A118">
        <v>2024</v>
      </c>
      <c r="B118">
        <v>10</v>
      </c>
      <c r="C118" s="1">
        <v>45566</v>
      </c>
      <c r="D118" t="s">
        <v>308</v>
      </c>
      <c r="E118" t="s">
        <v>901</v>
      </c>
      <c r="F118">
        <v>99</v>
      </c>
      <c r="I118">
        <v>99</v>
      </c>
      <c r="J118">
        <v>99</v>
      </c>
      <c r="K118">
        <v>94207.76</v>
      </c>
    </row>
    <row r="119" spans="1:11" hidden="1" x14ac:dyDescent="0.25">
      <c r="A119">
        <v>2024</v>
      </c>
      <c r="B119">
        <v>10</v>
      </c>
      <c r="C119" s="1">
        <v>45567</v>
      </c>
      <c r="D119" t="s">
        <v>188</v>
      </c>
      <c r="E119" t="s">
        <v>901</v>
      </c>
      <c r="F119">
        <v>127.53</v>
      </c>
      <c r="I119">
        <v>127.53</v>
      </c>
      <c r="J119">
        <v>127.53</v>
      </c>
      <c r="K119">
        <v>87702.38</v>
      </c>
    </row>
    <row r="120" spans="1:11" hidden="1" x14ac:dyDescent="0.25">
      <c r="A120">
        <v>2024</v>
      </c>
      <c r="B120">
        <v>10</v>
      </c>
      <c r="C120" s="1">
        <v>45568</v>
      </c>
      <c r="D120" t="s">
        <v>639</v>
      </c>
      <c r="E120" t="s">
        <v>901</v>
      </c>
      <c r="F120">
        <v>6167</v>
      </c>
      <c r="I120">
        <v>6167</v>
      </c>
      <c r="J120">
        <v>6167</v>
      </c>
      <c r="K120">
        <v>83713.679999999993</v>
      </c>
    </row>
    <row r="121" spans="1:11" hidden="1" x14ac:dyDescent="0.25">
      <c r="A121">
        <v>2024</v>
      </c>
      <c r="B121">
        <v>10</v>
      </c>
      <c r="C121" s="1">
        <v>45568</v>
      </c>
      <c r="D121" t="s">
        <v>640</v>
      </c>
      <c r="E121" t="s">
        <v>901</v>
      </c>
      <c r="F121">
        <v>4405</v>
      </c>
      <c r="I121">
        <v>4405</v>
      </c>
      <c r="J121">
        <v>4405</v>
      </c>
      <c r="K121">
        <v>88118.68</v>
      </c>
    </row>
    <row r="122" spans="1:11" hidden="1" x14ac:dyDescent="0.25">
      <c r="A122">
        <v>2024</v>
      </c>
      <c r="B122">
        <v>10</v>
      </c>
      <c r="C122" s="1">
        <v>45568</v>
      </c>
      <c r="D122" t="s">
        <v>308</v>
      </c>
      <c r="E122" t="s">
        <v>901</v>
      </c>
      <c r="F122">
        <v>1244.3599999999999</v>
      </c>
      <c r="I122">
        <v>1244.3599999999999</v>
      </c>
      <c r="J122">
        <v>1244.3599999999999</v>
      </c>
      <c r="K122">
        <v>89363.04</v>
      </c>
    </row>
    <row r="123" spans="1:11" hidden="1" x14ac:dyDescent="0.25">
      <c r="A123">
        <v>2024</v>
      </c>
      <c r="B123">
        <v>10</v>
      </c>
      <c r="C123" s="1">
        <v>45572</v>
      </c>
      <c r="D123" t="s">
        <v>308</v>
      </c>
      <c r="E123" t="s">
        <v>901</v>
      </c>
      <c r="F123">
        <v>23705.26</v>
      </c>
      <c r="I123">
        <v>23705.26</v>
      </c>
      <c r="J123">
        <v>23705.26</v>
      </c>
      <c r="K123">
        <v>65659.03</v>
      </c>
    </row>
    <row r="124" spans="1:11" hidden="1" x14ac:dyDescent="0.25">
      <c r="A124">
        <v>2024</v>
      </c>
      <c r="B124">
        <v>10</v>
      </c>
      <c r="C124" s="1">
        <v>45572</v>
      </c>
      <c r="D124" t="s">
        <v>652</v>
      </c>
      <c r="E124" t="s">
        <v>901</v>
      </c>
      <c r="F124">
        <v>4397.3</v>
      </c>
      <c r="I124">
        <v>4397.3</v>
      </c>
      <c r="J124">
        <v>4397.3</v>
      </c>
      <c r="K124">
        <v>70056.33</v>
      </c>
    </row>
    <row r="125" spans="1:11" hidden="1" x14ac:dyDescent="0.25">
      <c r="A125">
        <v>2024</v>
      </c>
      <c r="B125">
        <v>10</v>
      </c>
      <c r="C125" s="1">
        <v>45574</v>
      </c>
      <c r="D125" t="s">
        <v>657</v>
      </c>
      <c r="E125" t="s">
        <v>901</v>
      </c>
      <c r="F125">
        <v>89.99</v>
      </c>
      <c r="I125">
        <v>89.99</v>
      </c>
      <c r="J125">
        <v>89.99</v>
      </c>
      <c r="K125">
        <v>69511.990000000005</v>
      </c>
    </row>
    <row r="126" spans="1:11" x14ac:dyDescent="0.25">
      <c r="A126">
        <v>2024</v>
      </c>
      <c r="B126">
        <v>10</v>
      </c>
      <c r="C126" s="1">
        <v>45574</v>
      </c>
      <c r="D126" t="s">
        <v>658</v>
      </c>
      <c r="E126" t="s">
        <v>901</v>
      </c>
      <c r="F126">
        <v>3.33</v>
      </c>
      <c r="I126">
        <v>3.33</v>
      </c>
      <c r="J126">
        <v>3.33</v>
      </c>
      <c r="K126">
        <v>69515.320000000007</v>
      </c>
    </row>
    <row r="127" spans="1:11" x14ac:dyDescent="0.25">
      <c r="A127">
        <v>2024</v>
      </c>
      <c r="B127">
        <v>10</v>
      </c>
      <c r="C127" s="1">
        <v>45574</v>
      </c>
      <c r="D127" t="s">
        <v>658</v>
      </c>
      <c r="E127" t="s">
        <v>901</v>
      </c>
      <c r="F127">
        <v>2.02</v>
      </c>
      <c r="I127">
        <v>2.02</v>
      </c>
      <c r="J127">
        <v>2.02</v>
      </c>
      <c r="K127">
        <v>69517.34</v>
      </c>
    </row>
    <row r="128" spans="1:11" x14ac:dyDescent="0.25">
      <c r="A128">
        <v>2024</v>
      </c>
      <c r="B128">
        <v>10</v>
      </c>
      <c r="C128" s="1">
        <v>45574</v>
      </c>
      <c r="D128" t="s">
        <v>658</v>
      </c>
      <c r="E128" t="s">
        <v>901</v>
      </c>
      <c r="F128">
        <v>1.64</v>
      </c>
      <c r="I128">
        <v>1.64</v>
      </c>
      <c r="J128">
        <v>1.64</v>
      </c>
      <c r="K128">
        <v>69518.98</v>
      </c>
    </row>
    <row r="129" spans="1:11" hidden="1" x14ac:dyDescent="0.25">
      <c r="A129">
        <v>2024</v>
      </c>
      <c r="B129">
        <v>10</v>
      </c>
      <c r="C129" s="1">
        <v>45576</v>
      </c>
      <c r="D129" t="s">
        <v>308</v>
      </c>
      <c r="E129" t="s">
        <v>901</v>
      </c>
      <c r="F129">
        <v>1458</v>
      </c>
      <c r="I129">
        <v>1458</v>
      </c>
      <c r="J129">
        <v>1458</v>
      </c>
      <c r="K129">
        <v>67967.06</v>
      </c>
    </row>
    <row r="130" spans="1:11" hidden="1" x14ac:dyDescent="0.25">
      <c r="A130">
        <v>2024</v>
      </c>
      <c r="B130">
        <v>10</v>
      </c>
      <c r="C130" s="1">
        <v>45580</v>
      </c>
      <c r="D130" t="s">
        <v>22</v>
      </c>
      <c r="E130" t="s">
        <v>901</v>
      </c>
      <c r="F130">
        <v>25000</v>
      </c>
      <c r="I130">
        <v>25000</v>
      </c>
      <c r="J130">
        <v>25000</v>
      </c>
      <c r="K130">
        <v>92539.71</v>
      </c>
    </row>
    <row r="131" spans="1:11" hidden="1" x14ac:dyDescent="0.25">
      <c r="A131">
        <v>2024</v>
      </c>
      <c r="B131">
        <v>10</v>
      </c>
      <c r="C131" s="1">
        <v>45580</v>
      </c>
      <c r="D131" t="s">
        <v>666</v>
      </c>
      <c r="E131" t="s">
        <v>901</v>
      </c>
      <c r="F131">
        <v>10606</v>
      </c>
      <c r="I131">
        <v>10606</v>
      </c>
      <c r="J131">
        <v>10606</v>
      </c>
      <c r="K131">
        <v>103145.71</v>
      </c>
    </row>
    <row r="132" spans="1:11" hidden="1" x14ac:dyDescent="0.25">
      <c r="A132">
        <v>2024</v>
      </c>
      <c r="B132">
        <v>10</v>
      </c>
      <c r="C132" s="1">
        <v>45580</v>
      </c>
      <c r="D132" t="s">
        <v>308</v>
      </c>
      <c r="E132" t="s">
        <v>901</v>
      </c>
      <c r="F132">
        <v>1336</v>
      </c>
      <c r="I132">
        <v>1336</v>
      </c>
      <c r="J132">
        <v>1336</v>
      </c>
      <c r="K132">
        <v>104481.71</v>
      </c>
    </row>
    <row r="133" spans="1:11" hidden="1" x14ac:dyDescent="0.25">
      <c r="A133">
        <v>2024</v>
      </c>
      <c r="B133">
        <v>10</v>
      </c>
      <c r="C133" s="1">
        <v>45586</v>
      </c>
      <c r="D133" t="s">
        <v>684</v>
      </c>
      <c r="E133" t="s">
        <v>901</v>
      </c>
      <c r="F133">
        <v>8767</v>
      </c>
      <c r="I133">
        <v>8767</v>
      </c>
      <c r="J133">
        <v>8767</v>
      </c>
      <c r="K133">
        <v>71774.63</v>
      </c>
    </row>
    <row r="134" spans="1:11" hidden="1" x14ac:dyDescent="0.25">
      <c r="A134">
        <v>2024</v>
      </c>
      <c r="B134">
        <v>10</v>
      </c>
      <c r="C134" s="1">
        <v>45586</v>
      </c>
      <c r="D134" t="s">
        <v>308</v>
      </c>
      <c r="E134" t="s">
        <v>901</v>
      </c>
      <c r="F134">
        <v>1023</v>
      </c>
      <c r="I134">
        <v>1023</v>
      </c>
      <c r="J134">
        <v>1023</v>
      </c>
      <c r="K134">
        <v>72797.63</v>
      </c>
    </row>
    <row r="135" spans="1:11" hidden="1" x14ac:dyDescent="0.25">
      <c r="A135">
        <v>2024</v>
      </c>
      <c r="B135">
        <v>10</v>
      </c>
      <c r="C135" s="1">
        <v>45593</v>
      </c>
      <c r="D135" t="s">
        <v>691</v>
      </c>
      <c r="E135" t="s">
        <v>901</v>
      </c>
      <c r="F135">
        <v>3188</v>
      </c>
      <c r="I135">
        <v>3188</v>
      </c>
      <c r="J135">
        <v>3188</v>
      </c>
      <c r="K135">
        <v>74911.8</v>
      </c>
    </row>
    <row r="136" spans="1:11" hidden="1" x14ac:dyDescent="0.25">
      <c r="A136">
        <v>2024</v>
      </c>
      <c r="B136">
        <v>10</v>
      </c>
      <c r="C136" s="1">
        <v>45594</v>
      </c>
      <c r="D136" t="s">
        <v>308</v>
      </c>
      <c r="E136" t="s">
        <v>901</v>
      </c>
      <c r="F136">
        <v>131</v>
      </c>
      <c r="I136">
        <v>131</v>
      </c>
      <c r="J136">
        <v>131</v>
      </c>
      <c r="K136">
        <v>74837.759999999995</v>
      </c>
    </row>
    <row r="137" spans="1:11" hidden="1" x14ac:dyDescent="0.25">
      <c r="A137">
        <v>2024</v>
      </c>
      <c r="B137">
        <v>10</v>
      </c>
      <c r="C137" s="1">
        <v>45595</v>
      </c>
      <c r="D137" t="s">
        <v>22</v>
      </c>
      <c r="E137" t="s">
        <v>901</v>
      </c>
      <c r="F137">
        <v>2800</v>
      </c>
      <c r="I137">
        <v>2800</v>
      </c>
      <c r="J137">
        <v>2800</v>
      </c>
      <c r="K137">
        <v>77631.929999999993</v>
      </c>
    </row>
    <row r="138" spans="1:11" hidden="1" x14ac:dyDescent="0.25">
      <c r="A138">
        <v>2024</v>
      </c>
      <c r="B138">
        <v>10</v>
      </c>
      <c r="C138" s="1">
        <v>45596</v>
      </c>
      <c r="D138" t="s">
        <v>22</v>
      </c>
      <c r="E138" t="s">
        <v>901</v>
      </c>
      <c r="F138">
        <v>4677.1400000000003</v>
      </c>
      <c r="I138">
        <v>4677.1400000000003</v>
      </c>
      <c r="J138">
        <v>4677.1400000000003</v>
      </c>
      <c r="K138">
        <v>76636</v>
      </c>
    </row>
    <row r="139" spans="1:11" hidden="1" x14ac:dyDescent="0.25">
      <c r="A139">
        <v>2024</v>
      </c>
      <c r="B139">
        <v>11</v>
      </c>
      <c r="C139" s="1">
        <v>45597</v>
      </c>
      <c r="D139" t="s">
        <v>188</v>
      </c>
      <c r="E139" t="s">
        <v>901</v>
      </c>
      <c r="F139">
        <v>185.41</v>
      </c>
      <c r="I139">
        <v>185.41</v>
      </c>
      <c r="J139">
        <v>185.41</v>
      </c>
      <c r="K139">
        <v>67172.039999999994</v>
      </c>
    </row>
    <row r="140" spans="1:11" hidden="1" x14ac:dyDescent="0.25">
      <c r="A140">
        <v>2024</v>
      </c>
      <c r="B140">
        <v>11</v>
      </c>
      <c r="C140" s="1">
        <v>45600</v>
      </c>
      <c r="D140" t="s">
        <v>714</v>
      </c>
      <c r="E140" t="s">
        <v>901</v>
      </c>
      <c r="F140">
        <v>12121</v>
      </c>
      <c r="I140">
        <v>12121</v>
      </c>
      <c r="J140">
        <v>12121</v>
      </c>
      <c r="K140">
        <v>42293.120000000003</v>
      </c>
    </row>
    <row r="141" spans="1:11" hidden="1" x14ac:dyDescent="0.25">
      <c r="A141">
        <v>2024</v>
      </c>
      <c r="B141">
        <v>11</v>
      </c>
      <c r="C141" s="1">
        <v>45608</v>
      </c>
      <c r="D141" t="s">
        <v>728</v>
      </c>
      <c r="E141" t="s">
        <v>901</v>
      </c>
      <c r="F141">
        <v>10377</v>
      </c>
      <c r="I141">
        <v>10377</v>
      </c>
      <c r="J141">
        <v>10377</v>
      </c>
      <c r="K141">
        <v>50611.14</v>
      </c>
    </row>
    <row r="142" spans="1:11" hidden="1" x14ac:dyDescent="0.25">
      <c r="A142">
        <v>2024</v>
      </c>
      <c r="B142">
        <v>11</v>
      </c>
      <c r="C142" s="1">
        <v>45611</v>
      </c>
      <c r="D142" t="s">
        <v>738</v>
      </c>
      <c r="E142" t="s">
        <v>901</v>
      </c>
      <c r="F142">
        <v>9000</v>
      </c>
      <c r="I142">
        <v>9000</v>
      </c>
      <c r="J142">
        <v>9000</v>
      </c>
      <c r="K142">
        <v>32711.82</v>
      </c>
    </row>
    <row r="143" spans="1:11" hidden="1" x14ac:dyDescent="0.25">
      <c r="A143">
        <v>2024</v>
      </c>
      <c r="B143">
        <v>11</v>
      </c>
      <c r="C143" s="1">
        <v>45611</v>
      </c>
      <c r="D143" t="s">
        <v>188</v>
      </c>
      <c r="E143" t="s">
        <v>901</v>
      </c>
      <c r="F143">
        <v>564.03</v>
      </c>
      <c r="I143">
        <v>564.03</v>
      </c>
      <c r="J143">
        <v>564.03</v>
      </c>
      <c r="K143">
        <v>33275.85</v>
      </c>
    </row>
    <row r="144" spans="1:11" hidden="1" x14ac:dyDescent="0.25">
      <c r="A144">
        <v>2024</v>
      </c>
      <c r="B144">
        <v>11</v>
      </c>
      <c r="C144" s="1">
        <v>45614</v>
      </c>
      <c r="D144" t="s">
        <v>745</v>
      </c>
      <c r="E144" t="s">
        <v>901</v>
      </c>
      <c r="F144">
        <v>1417</v>
      </c>
      <c r="I144">
        <v>1417</v>
      </c>
      <c r="J144">
        <v>1417</v>
      </c>
      <c r="K144">
        <v>6507.17</v>
      </c>
    </row>
    <row r="145" spans="1:11" hidden="1" x14ac:dyDescent="0.25">
      <c r="A145">
        <v>2024</v>
      </c>
      <c r="B145">
        <v>11</v>
      </c>
      <c r="C145" s="1">
        <v>45618</v>
      </c>
      <c r="D145" t="s">
        <v>22</v>
      </c>
      <c r="E145" t="s">
        <v>901</v>
      </c>
      <c r="F145">
        <v>1426.64</v>
      </c>
      <c r="I145">
        <v>1426.64</v>
      </c>
      <c r="J145">
        <v>1426.64</v>
      </c>
      <c r="K145">
        <v>5215.2299999999996</v>
      </c>
    </row>
    <row r="146" spans="1:11" hidden="1" x14ac:dyDescent="0.25">
      <c r="A146">
        <v>2024</v>
      </c>
      <c r="B146">
        <v>11</v>
      </c>
      <c r="C146" s="1">
        <v>45621</v>
      </c>
      <c r="D146" t="s">
        <v>755</v>
      </c>
      <c r="E146" t="s">
        <v>901</v>
      </c>
      <c r="F146">
        <v>4530</v>
      </c>
      <c r="I146">
        <v>4530</v>
      </c>
      <c r="J146">
        <v>4530</v>
      </c>
      <c r="K146">
        <v>9171.43</v>
      </c>
    </row>
    <row r="147" spans="1:11" hidden="1" x14ac:dyDescent="0.25">
      <c r="A147">
        <v>2024</v>
      </c>
      <c r="B147">
        <v>11</v>
      </c>
      <c r="C147" s="1">
        <v>45621</v>
      </c>
      <c r="D147" t="s">
        <v>756</v>
      </c>
      <c r="E147" t="s">
        <v>901</v>
      </c>
      <c r="F147">
        <v>2900</v>
      </c>
      <c r="I147">
        <v>2900</v>
      </c>
      <c r="J147">
        <v>2900</v>
      </c>
      <c r="K147">
        <v>12071.43</v>
      </c>
    </row>
    <row r="148" spans="1:11" hidden="1" x14ac:dyDescent="0.25">
      <c r="A148">
        <v>2024</v>
      </c>
      <c r="B148">
        <v>11</v>
      </c>
      <c r="C148" s="1">
        <v>45622</v>
      </c>
      <c r="D148" t="s">
        <v>758</v>
      </c>
      <c r="E148" t="s">
        <v>901</v>
      </c>
      <c r="F148">
        <v>9000</v>
      </c>
      <c r="I148">
        <v>9000</v>
      </c>
      <c r="J148">
        <v>9000</v>
      </c>
      <c r="K148">
        <v>20964.5</v>
      </c>
    </row>
    <row r="149" spans="1:11" hidden="1" x14ac:dyDescent="0.25">
      <c r="A149">
        <v>2024</v>
      </c>
      <c r="B149">
        <v>12</v>
      </c>
      <c r="C149" s="1">
        <v>45628</v>
      </c>
      <c r="D149" t="s">
        <v>766</v>
      </c>
      <c r="E149" t="s">
        <v>901</v>
      </c>
      <c r="F149">
        <v>3189</v>
      </c>
      <c r="I149">
        <v>3189</v>
      </c>
      <c r="J149">
        <v>3189</v>
      </c>
      <c r="K149">
        <v>4399.2</v>
      </c>
    </row>
    <row r="150" spans="1:11" hidden="1" x14ac:dyDescent="0.25">
      <c r="A150">
        <v>2024</v>
      </c>
      <c r="B150">
        <v>12</v>
      </c>
      <c r="C150" s="1">
        <v>45635</v>
      </c>
      <c r="D150" t="s">
        <v>779</v>
      </c>
      <c r="E150" t="s">
        <v>901</v>
      </c>
      <c r="F150">
        <v>5430</v>
      </c>
      <c r="I150">
        <v>5430</v>
      </c>
      <c r="J150">
        <v>5430</v>
      </c>
      <c r="K150">
        <v>7479.19</v>
      </c>
    </row>
    <row r="151" spans="1:11" hidden="1" x14ac:dyDescent="0.25">
      <c r="A151">
        <v>2024</v>
      </c>
      <c r="B151">
        <v>12</v>
      </c>
      <c r="C151" s="1">
        <v>45636</v>
      </c>
      <c r="D151" t="s">
        <v>780</v>
      </c>
      <c r="E151" t="s">
        <v>901</v>
      </c>
      <c r="F151">
        <v>2000</v>
      </c>
      <c r="I151">
        <v>2000</v>
      </c>
      <c r="J151">
        <v>2000</v>
      </c>
      <c r="K151">
        <v>9352.76</v>
      </c>
    </row>
    <row r="152" spans="1:11" hidden="1" x14ac:dyDescent="0.25">
      <c r="A152">
        <v>2024</v>
      </c>
      <c r="B152">
        <v>12</v>
      </c>
      <c r="C152" s="1">
        <v>45636</v>
      </c>
      <c r="D152" t="s">
        <v>22</v>
      </c>
      <c r="E152" t="s">
        <v>901</v>
      </c>
      <c r="F152">
        <v>1571.99</v>
      </c>
      <c r="I152">
        <v>1571.99</v>
      </c>
      <c r="J152">
        <v>1571.99</v>
      </c>
      <c r="K152">
        <v>10924.75</v>
      </c>
    </row>
    <row r="153" spans="1:11" hidden="1" x14ac:dyDescent="0.25">
      <c r="A153">
        <v>2024</v>
      </c>
      <c r="B153">
        <v>12</v>
      </c>
      <c r="C153" s="1">
        <v>45637</v>
      </c>
      <c r="D153" t="s">
        <v>781</v>
      </c>
      <c r="E153" t="s">
        <v>901</v>
      </c>
      <c r="F153">
        <v>3522.91</v>
      </c>
      <c r="I153">
        <v>3522.91</v>
      </c>
      <c r="J153">
        <v>3522.91</v>
      </c>
      <c r="K153">
        <v>14397.66</v>
      </c>
    </row>
    <row r="154" spans="1:11" hidden="1" x14ac:dyDescent="0.25">
      <c r="A154">
        <v>2024</v>
      </c>
      <c r="B154">
        <v>12</v>
      </c>
      <c r="C154" s="1">
        <v>45638</v>
      </c>
      <c r="D154" t="s">
        <v>782</v>
      </c>
      <c r="E154" t="s">
        <v>901</v>
      </c>
      <c r="F154">
        <v>12000</v>
      </c>
      <c r="I154">
        <v>12000</v>
      </c>
      <c r="J154">
        <v>12000</v>
      </c>
      <c r="K154">
        <v>26397.66</v>
      </c>
    </row>
    <row r="155" spans="1:11" hidden="1" x14ac:dyDescent="0.25">
      <c r="A155">
        <v>2024</v>
      </c>
      <c r="B155">
        <v>12</v>
      </c>
      <c r="C155" s="1">
        <v>45639</v>
      </c>
      <c r="D155" t="s">
        <v>784</v>
      </c>
      <c r="E155" t="s">
        <v>901</v>
      </c>
      <c r="F155">
        <v>2000</v>
      </c>
      <c r="I155">
        <v>2000</v>
      </c>
      <c r="J155">
        <v>2000</v>
      </c>
      <c r="K155">
        <v>24874.75</v>
      </c>
    </row>
    <row r="156" spans="1:11" hidden="1" x14ac:dyDescent="0.25">
      <c r="A156">
        <v>2024</v>
      </c>
      <c r="B156">
        <v>12</v>
      </c>
      <c r="C156" s="1">
        <v>45639</v>
      </c>
      <c r="D156" t="s">
        <v>785</v>
      </c>
      <c r="E156" t="s">
        <v>901</v>
      </c>
      <c r="F156">
        <v>99</v>
      </c>
      <c r="I156">
        <v>99</v>
      </c>
      <c r="J156">
        <v>99</v>
      </c>
      <c r="K156">
        <v>24973.75</v>
      </c>
    </row>
    <row r="157" spans="1:11" hidden="1" x14ac:dyDescent="0.25">
      <c r="A157">
        <v>2024</v>
      </c>
      <c r="B157">
        <v>12</v>
      </c>
      <c r="C157" s="1">
        <v>45642</v>
      </c>
      <c r="D157" t="s">
        <v>790</v>
      </c>
      <c r="E157" t="s">
        <v>901</v>
      </c>
      <c r="F157">
        <v>54992.73</v>
      </c>
      <c r="I157">
        <v>54992.73</v>
      </c>
      <c r="J157">
        <v>54992.73</v>
      </c>
      <c r="K157">
        <v>55949.57</v>
      </c>
    </row>
    <row r="158" spans="1:11" hidden="1" x14ac:dyDescent="0.25">
      <c r="A158">
        <v>2024</v>
      </c>
      <c r="B158">
        <v>12</v>
      </c>
      <c r="C158" s="1">
        <v>45642</v>
      </c>
      <c r="D158" t="s">
        <v>791</v>
      </c>
      <c r="E158" t="s">
        <v>901</v>
      </c>
      <c r="F158">
        <v>14296</v>
      </c>
      <c r="I158">
        <v>14296</v>
      </c>
      <c r="J158">
        <v>14296</v>
      </c>
      <c r="K158">
        <v>70245.570000000007</v>
      </c>
    </row>
    <row r="159" spans="1:11" hidden="1" x14ac:dyDescent="0.25">
      <c r="A159">
        <v>2024</v>
      </c>
      <c r="B159">
        <v>12</v>
      </c>
      <c r="C159" s="1">
        <v>45642</v>
      </c>
      <c r="D159" t="s">
        <v>785</v>
      </c>
      <c r="E159" t="s">
        <v>901</v>
      </c>
      <c r="F159">
        <v>413</v>
      </c>
      <c r="I159">
        <v>413</v>
      </c>
      <c r="J159">
        <v>413</v>
      </c>
      <c r="K159">
        <v>70658.570000000007</v>
      </c>
    </row>
    <row r="160" spans="1:11" hidden="1" x14ac:dyDescent="0.25">
      <c r="A160">
        <v>2024</v>
      </c>
      <c r="B160">
        <v>12</v>
      </c>
      <c r="C160" s="1">
        <v>45642</v>
      </c>
      <c r="D160" t="s">
        <v>785</v>
      </c>
      <c r="E160" t="s">
        <v>901</v>
      </c>
      <c r="F160">
        <v>205</v>
      </c>
      <c r="I160">
        <v>205</v>
      </c>
      <c r="J160">
        <v>205</v>
      </c>
      <c r="K160">
        <v>70863.570000000007</v>
      </c>
    </row>
    <row r="161" spans="1:11" hidden="1" x14ac:dyDescent="0.25">
      <c r="A161">
        <v>2024</v>
      </c>
      <c r="B161">
        <v>12</v>
      </c>
      <c r="C161" s="1">
        <v>45644</v>
      </c>
      <c r="D161" t="s">
        <v>785</v>
      </c>
      <c r="E161" t="s">
        <v>901</v>
      </c>
      <c r="F161">
        <v>50</v>
      </c>
      <c r="I161">
        <v>50</v>
      </c>
      <c r="J161">
        <v>50</v>
      </c>
      <c r="K161">
        <v>39817.919999999998</v>
      </c>
    </row>
    <row r="162" spans="1:11" hidden="1" x14ac:dyDescent="0.25">
      <c r="A162">
        <v>2024</v>
      </c>
      <c r="B162">
        <v>12</v>
      </c>
      <c r="C162" s="1">
        <v>45645</v>
      </c>
      <c r="D162" t="s">
        <v>785</v>
      </c>
      <c r="E162" t="s">
        <v>901</v>
      </c>
      <c r="F162">
        <v>105.84</v>
      </c>
      <c r="I162">
        <v>105.84</v>
      </c>
      <c r="J162">
        <v>105.84</v>
      </c>
      <c r="K162">
        <v>39923.760000000002</v>
      </c>
    </row>
    <row r="163" spans="1:11" hidden="1" x14ac:dyDescent="0.25">
      <c r="A163">
        <v>2024</v>
      </c>
      <c r="B163">
        <v>12</v>
      </c>
      <c r="C163" s="1">
        <v>45646</v>
      </c>
      <c r="D163" t="s">
        <v>785</v>
      </c>
      <c r="E163" t="s">
        <v>901</v>
      </c>
      <c r="F163">
        <v>2353.25</v>
      </c>
      <c r="I163">
        <v>2353.25</v>
      </c>
      <c r="J163">
        <v>2353.25</v>
      </c>
      <c r="K163">
        <v>42277.01</v>
      </c>
    </row>
    <row r="164" spans="1:11" hidden="1" x14ac:dyDescent="0.25">
      <c r="A164">
        <v>2024</v>
      </c>
      <c r="B164">
        <v>12</v>
      </c>
      <c r="C164" s="1">
        <v>45646</v>
      </c>
      <c r="D164" t="s">
        <v>795</v>
      </c>
      <c r="E164" t="s">
        <v>901</v>
      </c>
      <c r="F164">
        <v>548.94000000000005</v>
      </c>
      <c r="I164">
        <v>548.94000000000005</v>
      </c>
      <c r="J164">
        <v>548.94000000000005</v>
      </c>
      <c r="K164">
        <v>42825.95</v>
      </c>
    </row>
    <row r="165" spans="1:11" hidden="1" x14ac:dyDescent="0.25">
      <c r="A165">
        <v>2024</v>
      </c>
      <c r="B165">
        <v>12</v>
      </c>
      <c r="C165" s="1">
        <v>45646</v>
      </c>
      <c r="D165" t="s">
        <v>795</v>
      </c>
      <c r="E165" t="s">
        <v>901</v>
      </c>
      <c r="F165">
        <v>540.64</v>
      </c>
      <c r="I165">
        <v>540.64</v>
      </c>
      <c r="J165">
        <v>540.64</v>
      </c>
      <c r="K165">
        <v>43366.59</v>
      </c>
    </row>
    <row r="166" spans="1:11" hidden="1" x14ac:dyDescent="0.25">
      <c r="A166">
        <v>2024</v>
      </c>
      <c r="B166">
        <v>12</v>
      </c>
      <c r="C166" s="1">
        <v>45646</v>
      </c>
      <c r="D166" t="s">
        <v>795</v>
      </c>
      <c r="E166" t="s">
        <v>901</v>
      </c>
      <c r="F166">
        <v>531.32000000000005</v>
      </c>
      <c r="I166">
        <v>531.32000000000005</v>
      </c>
      <c r="J166">
        <v>531.32000000000005</v>
      </c>
      <c r="K166">
        <v>43897.91</v>
      </c>
    </row>
    <row r="167" spans="1:11" hidden="1" x14ac:dyDescent="0.25">
      <c r="A167">
        <v>2024</v>
      </c>
      <c r="B167">
        <v>12</v>
      </c>
      <c r="C167" s="1">
        <v>45646</v>
      </c>
      <c r="D167" t="s">
        <v>795</v>
      </c>
      <c r="E167" t="s">
        <v>901</v>
      </c>
      <c r="F167">
        <v>173.23</v>
      </c>
      <c r="I167">
        <v>173.23</v>
      </c>
      <c r="J167">
        <v>173.23</v>
      </c>
      <c r="K167">
        <v>44071.14</v>
      </c>
    </row>
    <row r="168" spans="1:11" hidden="1" x14ac:dyDescent="0.25">
      <c r="A168">
        <v>2024</v>
      </c>
      <c r="B168">
        <v>12</v>
      </c>
      <c r="C168" s="1">
        <v>45646</v>
      </c>
      <c r="D168" t="s">
        <v>795</v>
      </c>
      <c r="E168" t="s">
        <v>901</v>
      </c>
      <c r="F168">
        <v>160.63</v>
      </c>
      <c r="I168">
        <v>160.63</v>
      </c>
      <c r="J168">
        <v>160.63</v>
      </c>
      <c r="K168">
        <v>44231.77</v>
      </c>
    </row>
    <row r="169" spans="1:11" hidden="1" x14ac:dyDescent="0.25">
      <c r="A169">
        <v>2024</v>
      </c>
      <c r="B169">
        <v>12</v>
      </c>
      <c r="C169" s="1">
        <v>45646</v>
      </c>
      <c r="D169" t="s">
        <v>795</v>
      </c>
      <c r="E169" t="s">
        <v>901</v>
      </c>
      <c r="F169">
        <v>45.2</v>
      </c>
      <c r="I169">
        <v>45.2</v>
      </c>
      <c r="J169">
        <v>45.2</v>
      </c>
      <c r="K169">
        <v>44276.97</v>
      </c>
    </row>
    <row r="170" spans="1:11" hidden="1" x14ac:dyDescent="0.25">
      <c r="A170">
        <v>2024</v>
      </c>
      <c r="B170">
        <v>12</v>
      </c>
      <c r="C170" s="1">
        <v>45646</v>
      </c>
      <c r="D170" t="s">
        <v>795</v>
      </c>
      <c r="E170" t="s">
        <v>901</v>
      </c>
      <c r="F170">
        <v>0.04</v>
      </c>
      <c r="I170">
        <v>0.04</v>
      </c>
      <c r="J170">
        <v>0.04</v>
      </c>
      <c r="K170">
        <v>44277.01</v>
      </c>
    </row>
    <row r="171" spans="1:11" hidden="1" x14ac:dyDescent="0.25">
      <c r="A171">
        <v>2024</v>
      </c>
      <c r="B171">
        <v>12</v>
      </c>
      <c r="C171" s="1">
        <v>45649</v>
      </c>
      <c r="D171" t="s">
        <v>796</v>
      </c>
      <c r="E171" t="s">
        <v>901</v>
      </c>
      <c r="F171">
        <v>16882</v>
      </c>
      <c r="I171">
        <v>16882</v>
      </c>
      <c r="J171">
        <v>16882</v>
      </c>
      <c r="K171">
        <v>61159.01</v>
      </c>
    </row>
    <row r="172" spans="1:11" hidden="1" x14ac:dyDescent="0.25">
      <c r="A172">
        <v>2024</v>
      </c>
      <c r="B172">
        <v>12</v>
      </c>
      <c r="C172" s="1">
        <v>45649</v>
      </c>
      <c r="D172" t="s">
        <v>785</v>
      </c>
      <c r="E172" t="s">
        <v>901</v>
      </c>
      <c r="F172">
        <v>1442.4</v>
      </c>
      <c r="I172">
        <v>1442.4</v>
      </c>
      <c r="J172">
        <v>1442.4</v>
      </c>
      <c r="K172">
        <v>62601.41</v>
      </c>
    </row>
    <row r="173" spans="1:11" hidden="1" x14ac:dyDescent="0.25">
      <c r="A173">
        <v>2024</v>
      </c>
      <c r="B173">
        <v>12</v>
      </c>
      <c r="C173" s="1">
        <v>45649</v>
      </c>
      <c r="D173" t="s">
        <v>785</v>
      </c>
      <c r="E173" t="s">
        <v>901</v>
      </c>
      <c r="F173">
        <v>701.6</v>
      </c>
      <c r="I173">
        <v>701.6</v>
      </c>
      <c r="J173">
        <v>701.6</v>
      </c>
      <c r="K173">
        <v>63303.01</v>
      </c>
    </row>
    <row r="174" spans="1:11" hidden="1" x14ac:dyDescent="0.25">
      <c r="A174">
        <v>2024</v>
      </c>
      <c r="B174">
        <v>12</v>
      </c>
      <c r="C174" s="1">
        <v>45650</v>
      </c>
      <c r="D174" t="s">
        <v>22</v>
      </c>
      <c r="E174" t="s">
        <v>901</v>
      </c>
      <c r="F174">
        <v>302.10000000000002</v>
      </c>
      <c r="I174">
        <v>302.10000000000002</v>
      </c>
      <c r="J174">
        <v>302.10000000000002</v>
      </c>
      <c r="K174">
        <v>63605.11</v>
      </c>
    </row>
    <row r="175" spans="1:11" hidden="1" x14ac:dyDescent="0.25">
      <c r="A175">
        <v>2024</v>
      </c>
      <c r="B175">
        <v>12</v>
      </c>
      <c r="C175" s="1">
        <v>45652</v>
      </c>
      <c r="D175" t="s">
        <v>785</v>
      </c>
      <c r="E175" t="s">
        <v>901</v>
      </c>
      <c r="F175">
        <v>79323.600000000006</v>
      </c>
      <c r="I175">
        <v>79323.600000000006</v>
      </c>
      <c r="J175">
        <v>79323.600000000006</v>
      </c>
      <c r="K175">
        <v>142878.71</v>
      </c>
    </row>
    <row r="176" spans="1:11" hidden="1" x14ac:dyDescent="0.25">
      <c r="A176">
        <v>2024</v>
      </c>
      <c r="B176">
        <v>12</v>
      </c>
      <c r="C176" s="1">
        <v>45652</v>
      </c>
      <c r="D176" t="s">
        <v>785</v>
      </c>
      <c r="E176" t="s">
        <v>901</v>
      </c>
      <c r="F176">
        <v>214.8</v>
      </c>
      <c r="I176">
        <v>214.8</v>
      </c>
      <c r="J176">
        <v>214.8</v>
      </c>
      <c r="K176">
        <v>143093.51</v>
      </c>
    </row>
    <row r="177" spans="1:11" hidden="1" x14ac:dyDescent="0.25">
      <c r="A177">
        <v>2024</v>
      </c>
      <c r="B177">
        <v>12</v>
      </c>
      <c r="C177" s="1">
        <v>45653</v>
      </c>
      <c r="D177" t="s">
        <v>22</v>
      </c>
      <c r="E177" t="s">
        <v>901</v>
      </c>
      <c r="F177">
        <v>225</v>
      </c>
      <c r="I177">
        <v>225</v>
      </c>
      <c r="J177">
        <v>225</v>
      </c>
      <c r="K177">
        <v>143318.51</v>
      </c>
    </row>
    <row r="178" spans="1:11" hidden="1" x14ac:dyDescent="0.25">
      <c r="A178">
        <v>2024</v>
      </c>
      <c r="B178">
        <v>12</v>
      </c>
      <c r="C178" s="1">
        <v>45656</v>
      </c>
      <c r="D178" t="s">
        <v>802</v>
      </c>
      <c r="E178" t="s">
        <v>901</v>
      </c>
      <c r="F178">
        <v>64919</v>
      </c>
      <c r="I178">
        <v>64919</v>
      </c>
      <c r="J178">
        <v>64919</v>
      </c>
      <c r="K178">
        <v>158058.10999999999</v>
      </c>
    </row>
    <row r="179" spans="1:11" hidden="1" x14ac:dyDescent="0.25">
      <c r="A179">
        <v>2024</v>
      </c>
      <c r="B179">
        <v>12</v>
      </c>
      <c r="C179" s="1">
        <v>45656</v>
      </c>
      <c r="D179" t="s">
        <v>785</v>
      </c>
      <c r="E179" t="s">
        <v>901</v>
      </c>
      <c r="F179">
        <v>324</v>
      </c>
      <c r="I179">
        <v>324</v>
      </c>
      <c r="J179">
        <v>324</v>
      </c>
      <c r="K179">
        <v>158382.10999999999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82"/>
  <sheetViews>
    <sheetView workbookViewId="0">
      <selection activeCell="M17" sqref="M17"/>
    </sheetView>
  </sheetViews>
  <sheetFormatPr defaultRowHeight="15" x14ac:dyDescent="0.25"/>
  <cols>
    <col min="3" max="3" width="10.42578125" bestFit="1" customWidth="1"/>
    <col min="4" max="4" width="46.140625" customWidth="1"/>
    <col min="5" max="5" width="9.5703125" customWidth="1"/>
    <col min="6" max="6" width="10" customWidth="1"/>
    <col min="8" max="8" width="12.140625" customWidth="1"/>
    <col min="9" max="9" width="10.140625" customWidth="1"/>
    <col min="10" max="10" width="14.7109375" customWidth="1"/>
    <col min="11" max="11" width="14.28515625" customWidth="1"/>
  </cols>
  <sheetData>
    <row r="1" spans="1:11" x14ac:dyDescent="0.25">
      <c r="A1" t="s">
        <v>906</v>
      </c>
      <c r="B1" t="s">
        <v>907</v>
      </c>
      <c r="C1" t="s">
        <v>6</v>
      </c>
      <c r="D1" t="s">
        <v>0</v>
      </c>
      <c r="E1" t="s">
        <v>905</v>
      </c>
      <c r="F1" t="s">
        <v>901</v>
      </c>
      <c r="G1" t="s">
        <v>902</v>
      </c>
      <c r="H1" t="s">
        <v>903</v>
      </c>
      <c r="I1" t="s">
        <v>7</v>
      </c>
      <c r="J1" t="s">
        <v>904</v>
      </c>
      <c r="K1" t="s">
        <v>8</v>
      </c>
    </row>
    <row r="2" spans="1:11" x14ac:dyDescent="0.25">
      <c r="A2">
        <v>2024</v>
      </c>
      <c r="B2">
        <v>10</v>
      </c>
      <c r="C2" s="1">
        <v>45580</v>
      </c>
      <c r="D2" t="s">
        <v>670</v>
      </c>
      <c r="E2" t="s">
        <v>902</v>
      </c>
      <c r="G2">
        <v>-1543.76</v>
      </c>
      <c r="I2">
        <v>1543.76</v>
      </c>
      <c r="J2">
        <v>1543.76</v>
      </c>
    </row>
    <row r="3" spans="1:11" x14ac:dyDescent="0.25">
      <c r="A3">
        <v>2024</v>
      </c>
      <c r="B3">
        <v>10</v>
      </c>
      <c r="C3" s="1">
        <v>45569</v>
      </c>
      <c r="D3" t="s">
        <v>648</v>
      </c>
      <c r="E3" t="s">
        <v>902</v>
      </c>
      <c r="G3">
        <v>-37537.53</v>
      </c>
      <c r="H3">
        <v>37537.53</v>
      </c>
      <c r="I3">
        <v>-37537.53</v>
      </c>
      <c r="J3">
        <v>37537.53</v>
      </c>
      <c r="K3">
        <v>49970.64</v>
      </c>
    </row>
    <row r="4" spans="1:11" x14ac:dyDescent="0.25">
      <c r="A4">
        <v>2024</v>
      </c>
      <c r="B4">
        <v>12</v>
      </c>
      <c r="C4" s="1">
        <v>45653</v>
      </c>
      <c r="D4" t="s">
        <v>799</v>
      </c>
      <c r="E4" t="s">
        <v>902</v>
      </c>
      <c r="G4">
        <v>-36469.589999999997</v>
      </c>
      <c r="H4">
        <v>36469.589999999997</v>
      </c>
      <c r="I4">
        <v>-36469.589999999997</v>
      </c>
      <c r="J4">
        <v>36469.589999999997</v>
      </c>
      <c r="K4">
        <v>99530.46</v>
      </c>
    </row>
    <row r="5" spans="1:11" x14ac:dyDescent="0.25">
      <c r="A5">
        <v>2024</v>
      </c>
      <c r="B5">
        <v>12</v>
      </c>
      <c r="C5" s="1">
        <v>45642</v>
      </c>
      <c r="D5" t="s">
        <v>792</v>
      </c>
      <c r="E5" t="s">
        <v>902</v>
      </c>
      <c r="G5">
        <v>-30177.42</v>
      </c>
      <c r="H5">
        <v>30177.42</v>
      </c>
      <c r="I5">
        <v>-30177.42</v>
      </c>
      <c r="J5">
        <v>30177.42</v>
      </c>
      <c r="K5">
        <v>40686.15</v>
      </c>
    </row>
    <row r="6" spans="1:11" x14ac:dyDescent="0.25">
      <c r="A6">
        <v>2024</v>
      </c>
      <c r="B6">
        <v>5</v>
      </c>
      <c r="C6" s="1">
        <v>45413</v>
      </c>
      <c r="D6" t="s">
        <v>308</v>
      </c>
      <c r="E6" t="s">
        <v>902</v>
      </c>
      <c r="G6">
        <v>-7.0000000000000007E-2</v>
      </c>
      <c r="H6">
        <v>7.0000000000000007E-2</v>
      </c>
      <c r="I6">
        <v>-7.0000000000000007E-2</v>
      </c>
      <c r="J6">
        <v>7.0000000000000007E-2</v>
      </c>
      <c r="K6">
        <v>15741.24</v>
      </c>
    </row>
    <row r="7" spans="1:11" x14ac:dyDescent="0.25">
      <c r="A7">
        <v>2024</v>
      </c>
      <c r="B7">
        <v>8</v>
      </c>
      <c r="C7" s="1">
        <v>45512</v>
      </c>
      <c r="D7" t="s">
        <v>500</v>
      </c>
      <c r="E7" t="s">
        <v>902</v>
      </c>
      <c r="G7">
        <v>-25818.32</v>
      </c>
      <c r="H7">
        <v>25818.32</v>
      </c>
      <c r="I7">
        <v>-25818.32</v>
      </c>
      <c r="J7">
        <v>25818.32</v>
      </c>
      <c r="K7">
        <v>15427.69</v>
      </c>
    </row>
    <row r="8" spans="1:11" x14ac:dyDescent="0.25">
      <c r="A8">
        <v>2024</v>
      </c>
      <c r="B8">
        <v>11</v>
      </c>
      <c r="C8" s="1">
        <v>45600</v>
      </c>
      <c r="D8" t="s">
        <v>723</v>
      </c>
      <c r="E8" t="s">
        <v>902</v>
      </c>
      <c r="G8">
        <v>-1</v>
      </c>
      <c r="H8">
        <v>1</v>
      </c>
      <c r="I8">
        <v>-1</v>
      </c>
      <c r="J8">
        <v>1</v>
      </c>
      <c r="K8">
        <v>40740.26</v>
      </c>
    </row>
    <row r="9" spans="1:11" x14ac:dyDescent="0.25">
      <c r="A9">
        <v>2024</v>
      </c>
      <c r="B9">
        <v>11</v>
      </c>
      <c r="C9" s="1">
        <v>45597</v>
      </c>
      <c r="D9" t="s">
        <v>711</v>
      </c>
      <c r="E9" t="s">
        <v>902</v>
      </c>
      <c r="G9">
        <v>-25735.39</v>
      </c>
      <c r="H9">
        <v>25735.39</v>
      </c>
      <c r="I9">
        <v>-25735.39</v>
      </c>
      <c r="J9">
        <v>25735.39</v>
      </c>
      <c r="K9">
        <v>36377.61</v>
      </c>
    </row>
    <row r="10" spans="1:11" x14ac:dyDescent="0.25">
      <c r="A10">
        <v>2024</v>
      </c>
      <c r="B10">
        <v>10</v>
      </c>
      <c r="C10" s="1">
        <v>45583</v>
      </c>
      <c r="D10" t="s">
        <v>680</v>
      </c>
      <c r="E10" t="s">
        <v>902</v>
      </c>
      <c r="G10">
        <v>-25446.04</v>
      </c>
      <c r="H10">
        <v>25446.04</v>
      </c>
      <c r="I10">
        <v>-25446.04</v>
      </c>
      <c r="J10">
        <v>25446.04</v>
      </c>
      <c r="K10">
        <v>70987.600000000006</v>
      </c>
    </row>
    <row r="11" spans="1:11" x14ac:dyDescent="0.25">
      <c r="A11">
        <v>2024</v>
      </c>
      <c r="B11">
        <v>8</v>
      </c>
      <c r="C11" s="1">
        <v>45527</v>
      </c>
      <c r="D11" t="s">
        <v>526</v>
      </c>
      <c r="E11" t="s">
        <v>902</v>
      </c>
      <c r="G11">
        <v>-24937.71</v>
      </c>
      <c r="H11">
        <v>24937.71</v>
      </c>
      <c r="I11">
        <v>-24937.71</v>
      </c>
      <c r="J11">
        <v>24937.71</v>
      </c>
      <c r="K11">
        <v>30664.52</v>
      </c>
    </row>
    <row r="12" spans="1:11" x14ac:dyDescent="0.25">
      <c r="A12">
        <v>2024</v>
      </c>
      <c r="B12">
        <v>8</v>
      </c>
      <c r="C12" s="1">
        <v>45526</v>
      </c>
      <c r="D12" t="s">
        <v>523</v>
      </c>
      <c r="E12" t="s">
        <v>902</v>
      </c>
      <c r="G12">
        <v>-24000</v>
      </c>
      <c r="H12">
        <v>24000</v>
      </c>
      <c r="I12">
        <v>-24000</v>
      </c>
      <c r="J12">
        <v>24000</v>
      </c>
      <c r="K12">
        <v>54299.15</v>
      </c>
    </row>
    <row r="13" spans="1:11" x14ac:dyDescent="0.25">
      <c r="A13">
        <v>2024</v>
      </c>
      <c r="B13">
        <v>9</v>
      </c>
      <c r="C13" s="1">
        <v>45541</v>
      </c>
      <c r="D13" t="s">
        <v>570</v>
      </c>
      <c r="E13" t="s">
        <v>902</v>
      </c>
      <c r="G13">
        <v>-23601.119999999999</v>
      </c>
      <c r="H13">
        <v>23601.119999999999</v>
      </c>
      <c r="I13">
        <v>-23601.119999999999</v>
      </c>
      <c r="J13">
        <v>23601.119999999999</v>
      </c>
      <c r="K13">
        <v>54895.83</v>
      </c>
    </row>
    <row r="14" spans="1:11" x14ac:dyDescent="0.25">
      <c r="A14">
        <v>2024</v>
      </c>
      <c r="B14">
        <v>9</v>
      </c>
      <c r="C14" s="1">
        <v>45555</v>
      </c>
      <c r="D14" t="s">
        <v>604</v>
      </c>
      <c r="E14" t="s">
        <v>902</v>
      </c>
      <c r="G14">
        <v>-21641.34</v>
      </c>
      <c r="H14">
        <v>21641.34</v>
      </c>
      <c r="I14">
        <v>-21641.34</v>
      </c>
      <c r="J14">
        <v>21641.34</v>
      </c>
      <c r="K14">
        <v>61130.12</v>
      </c>
    </row>
    <row r="15" spans="1:11" x14ac:dyDescent="0.25">
      <c r="A15">
        <v>2024</v>
      </c>
      <c r="B15">
        <v>11</v>
      </c>
      <c r="C15" s="1">
        <v>45611</v>
      </c>
      <c r="D15" t="s">
        <v>740</v>
      </c>
      <c r="E15" t="s">
        <v>902</v>
      </c>
      <c r="G15">
        <v>-21640.71</v>
      </c>
      <c r="H15">
        <v>21640.71</v>
      </c>
      <c r="I15">
        <v>-21640.71</v>
      </c>
      <c r="J15">
        <v>21640.71</v>
      </c>
      <c r="K15">
        <v>11168.3</v>
      </c>
    </row>
    <row r="16" spans="1:11" x14ac:dyDescent="0.25">
      <c r="A16">
        <v>2024</v>
      </c>
      <c r="B16">
        <v>10</v>
      </c>
      <c r="C16" s="1">
        <v>45567</v>
      </c>
      <c r="D16" t="s">
        <v>638</v>
      </c>
      <c r="E16" t="s">
        <v>902</v>
      </c>
      <c r="G16">
        <v>-1</v>
      </c>
      <c r="H16">
        <v>1</v>
      </c>
      <c r="I16">
        <v>-1</v>
      </c>
      <c r="J16">
        <v>1</v>
      </c>
      <c r="K16">
        <v>77546.679999999993</v>
      </c>
    </row>
    <row r="17" spans="1:11" x14ac:dyDescent="0.25">
      <c r="A17">
        <v>2024</v>
      </c>
      <c r="B17">
        <v>3</v>
      </c>
      <c r="C17" s="1">
        <v>45358</v>
      </c>
      <c r="D17" t="s">
        <v>213</v>
      </c>
      <c r="E17" t="s">
        <v>902</v>
      </c>
      <c r="G17">
        <v>-20656.77</v>
      </c>
      <c r="H17">
        <v>20656.77</v>
      </c>
      <c r="I17">
        <v>-20656.77</v>
      </c>
      <c r="J17">
        <v>20656.77</v>
      </c>
      <c r="K17">
        <v>26079</v>
      </c>
    </row>
    <row r="18" spans="1:11" x14ac:dyDescent="0.25">
      <c r="A18">
        <v>2024</v>
      </c>
      <c r="B18">
        <v>4</v>
      </c>
      <c r="C18" s="1">
        <v>45399</v>
      </c>
      <c r="D18" t="s">
        <v>282</v>
      </c>
      <c r="E18" t="s">
        <v>902</v>
      </c>
      <c r="G18">
        <v>-20000</v>
      </c>
      <c r="H18">
        <v>20000</v>
      </c>
      <c r="I18">
        <v>-20000</v>
      </c>
      <c r="J18">
        <v>20000</v>
      </c>
      <c r="K18">
        <v>27172.76</v>
      </c>
    </row>
    <row r="19" spans="1:11" x14ac:dyDescent="0.25">
      <c r="A19">
        <v>2024</v>
      </c>
      <c r="B19">
        <v>9</v>
      </c>
      <c r="C19" s="1">
        <v>45541</v>
      </c>
      <c r="D19" t="s">
        <v>574</v>
      </c>
      <c r="E19" t="s">
        <v>902</v>
      </c>
      <c r="G19">
        <v>-1</v>
      </c>
      <c r="H19">
        <v>1</v>
      </c>
      <c r="I19">
        <v>-1</v>
      </c>
      <c r="J19">
        <v>1</v>
      </c>
      <c r="K19">
        <v>48685.81</v>
      </c>
    </row>
    <row r="20" spans="1:11" x14ac:dyDescent="0.25">
      <c r="A20">
        <v>2024</v>
      </c>
      <c r="B20">
        <v>9</v>
      </c>
      <c r="C20" s="1">
        <v>45539</v>
      </c>
      <c r="D20" t="s">
        <v>563</v>
      </c>
      <c r="E20" t="s">
        <v>902</v>
      </c>
      <c r="G20">
        <v>-1</v>
      </c>
      <c r="H20">
        <v>1</v>
      </c>
      <c r="I20">
        <v>-1</v>
      </c>
      <c r="J20">
        <v>1</v>
      </c>
      <c r="K20">
        <v>70126.92</v>
      </c>
    </row>
    <row r="21" spans="1:11" x14ac:dyDescent="0.25">
      <c r="A21">
        <v>2024</v>
      </c>
      <c r="B21">
        <v>7</v>
      </c>
      <c r="C21" s="1">
        <v>45498</v>
      </c>
      <c r="D21" t="s">
        <v>461</v>
      </c>
      <c r="E21" t="s">
        <v>902</v>
      </c>
      <c r="G21">
        <v>-19269.150000000001</v>
      </c>
      <c r="H21">
        <v>19269.150000000001</v>
      </c>
      <c r="I21">
        <v>-19269.150000000001</v>
      </c>
      <c r="J21">
        <v>19269.150000000001</v>
      </c>
      <c r="K21">
        <v>25397.78</v>
      </c>
    </row>
    <row r="22" spans="1:11" x14ac:dyDescent="0.25">
      <c r="A22">
        <v>2024</v>
      </c>
      <c r="B22">
        <v>5</v>
      </c>
      <c r="C22" s="1">
        <v>45443</v>
      </c>
      <c r="D22" t="s">
        <v>359</v>
      </c>
      <c r="E22" t="s">
        <v>902</v>
      </c>
      <c r="G22">
        <v>-18944.400000000001</v>
      </c>
      <c r="H22">
        <v>18944.400000000001</v>
      </c>
      <c r="I22">
        <v>-18944.400000000001</v>
      </c>
      <c r="J22">
        <v>18944.400000000001</v>
      </c>
      <c r="K22">
        <v>14819.88</v>
      </c>
    </row>
    <row r="23" spans="1:11" x14ac:dyDescent="0.25">
      <c r="A23">
        <v>2024</v>
      </c>
      <c r="B23">
        <v>6</v>
      </c>
      <c r="C23" s="1">
        <v>45456</v>
      </c>
      <c r="D23" t="s">
        <v>380</v>
      </c>
      <c r="E23" t="s">
        <v>902</v>
      </c>
      <c r="G23">
        <v>-18897.11</v>
      </c>
      <c r="H23">
        <v>18897.11</v>
      </c>
      <c r="I23">
        <v>-18897.11</v>
      </c>
      <c r="J23">
        <v>18897.11</v>
      </c>
      <c r="K23">
        <v>24498.15</v>
      </c>
    </row>
    <row r="24" spans="1:11" x14ac:dyDescent="0.25">
      <c r="A24">
        <v>2024</v>
      </c>
      <c r="B24">
        <v>3</v>
      </c>
      <c r="C24" s="1">
        <v>45372</v>
      </c>
      <c r="D24" t="s">
        <v>238</v>
      </c>
      <c r="E24" t="s">
        <v>902</v>
      </c>
      <c r="G24">
        <v>-18760.060000000001</v>
      </c>
      <c r="H24">
        <v>18760.060000000001</v>
      </c>
      <c r="I24">
        <v>-18760.060000000001</v>
      </c>
      <c r="J24">
        <v>18760.060000000001</v>
      </c>
      <c r="K24">
        <v>8648.33</v>
      </c>
    </row>
    <row r="25" spans="1:11" x14ac:dyDescent="0.25">
      <c r="A25">
        <v>2024</v>
      </c>
      <c r="B25">
        <v>5</v>
      </c>
      <c r="C25" s="1">
        <v>45415</v>
      </c>
      <c r="D25" t="s">
        <v>316</v>
      </c>
      <c r="E25" t="s">
        <v>902</v>
      </c>
      <c r="G25">
        <v>-18575.29</v>
      </c>
      <c r="H25">
        <v>18575.29</v>
      </c>
      <c r="I25">
        <v>-18575.29</v>
      </c>
      <c r="J25">
        <v>18575.29</v>
      </c>
      <c r="K25">
        <v>8659.07</v>
      </c>
    </row>
    <row r="26" spans="1:11" x14ac:dyDescent="0.25">
      <c r="A26">
        <v>2024</v>
      </c>
      <c r="B26">
        <v>4</v>
      </c>
      <c r="C26" s="1">
        <v>45387</v>
      </c>
      <c r="D26" t="s">
        <v>268</v>
      </c>
      <c r="E26" t="s">
        <v>902</v>
      </c>
      <c r="G26">
        <v>-18562.080000000002</v>
      </c>
      <c r="H26">
        <v>18562.080000000002</v>
      </c>
      <c r="I26">
        <v>-18562.080000000002</v>
      </c>
      <c r="J26">
        <v>18562.080000000002</v>
      </c>
      <c r="K26">
        <v>15831.17</v>
      </c>
    </row>
    <row r="27" spans="1:11" x14ac:dyDescent="0.25">
      <c r="A27">
        <v>2024</v>
      </c>
      <c r="B27">
        <v>12</v>
      </c>
      <c r="C27" s="1">
        <v>45639</v>
      </c>
      <c r="D27" t="s">
        <v>786</v>
      </c>
      <c r="E27" t="s">
        <v>902</v>
      </c>
      <c r="G27">
        <v>-18514.95</v>
      </c>
      <c r="H27">
        <v>18514.95</v>
      </c>
      <c r="I27">
        <v>-18514.95</v>
      </c>
      <c r="J27">
        <v>18514.95</v>
      </c>
      <c r="K27">
        <v>6458.8</v>
      </c>
    </row>
    <row r="28" spans="1:11" x14ac:dyDescent="0.25">
      <c r="A28">
        <v>2024</v>
      </c>
      <c r="B28">
        <v>7</v>
      </c>
      <c r="C28" s="1">
        <v>45485</v>
      </c>
      <c r="D28" t="s">
        <v>434</v>
      </c>
      <c r="E28" t="s">
        <v>902</v>
      </c>
      <c r="G28">
        <v>-18433.349999999999</v>
      </c>
      <c r="H28">
        <v>18433.349999999999</v>
      </c>
      <c r="I28">
        <v>-18433.349999999999</v>
      </c>
      <c r="J28">
        <v>18433.349999999999</v>
      </c>
      <c r="K28">
        <v>63043.839999999997</v>
      </c>
    </row>
    <row r="29" spans="1:11" x14ac:dyDescent="0.25">
      <c r="A29">
        <v>2024</v>
      </c>
      <c r="B29">
        <v>6</v>
      </c>
      <c r="C29" s="1">
        <v>45470</v>
      </c>
      <c r="D29" t="s">
        <v>404</v>
      </c>
      <c r="E29" t="s">
        <v>902</v>
      </c>
      <c r="G29">
        <v>-18358</v>
      </c>
      <c r="H29">
        <v>18358</v>
      </c>
      <c r="I29">
        <v>-18358</v>
      </c>
      <c r="J29">
        <v>18358</v>
      </c>
      <c r="K29">
        <v>60050.36</v>
      </c>
    </row>
    <row r="30" spans="1:11" x14ac:dyDescent="0.25">
      <c r="A30">
        <v>2024</v>
      </c>
      <c r="B30">
        <v>4</v>
      </c>
      <c r="C30" s="1">
        <v>45400</v>
      </c>
      <c r="D30" t="s">
        <v>285</v>
      </c>
      <c r="E30" t="s">
        <v>902</v>
      </c>
      <c r="G30">
        <v>-18207.28</v>
      </c>
      <c r="H30">
        <v>18207.28</v>
      </c>
      <c r="I30">
        <v>-18207.28</v>
      </c>
      <c r="J30">
        <v>18207.28</v>
      </c>
      <c r="K30">
        <v>8905.43</v>
      </c>
    </row>
    <row r="31" spans="1:11" x14ac:dyDescent="0.25">
      <c r="A31">
        <v>2024</v>
      </c>
      <c r="B31">
        <v>5</v>
      </c>
      <c r="C31" s="1">
        <v>45429</v>
      </c>
      <c r="D31" t="s">
        <v>338</v>
      </c>
      <c r="E31" t="s">
        <v>902</v>
      </c>
      <c r="G31">
        <v>-17952.7</v>
      </c>
      <c r="H31">
        <v>17952.7</v>
      </c>
      <c r="I31">
        <v>-17952.7</v>
      </c>
      <c r="J31">
        <v>17952.7</v>
      </c>
      <c r="K31">
        <v>12467.84</v>
      </c>
    </row>
    <row r="32" spans="1:11" x14ac:dyDescent="0.25">
      <c r="A32">
        <v>2024</v>
      </c>
      <c r="B32">
        <v>8</v>
      </c>
      <c r="C32" s="1">
        <v>45506</v>
      </c>
      <c r="D32" t="s">
        <v>489</v>
      </c>
      <c r="E32" t="s">
        <v>902</v>
      </c>
      <c r="G32">
        <v>-1</v>
      </c>
      <c r="H32">
        <v>1</v>
      </c>
      <c r="I32">
        <v>-1</v>
      </c>
      <c r="J32">
        <v>1</v>
      </c>
      <c r="K32">
        <v>44054.15</v>
      </c>
    </row>
    <row r="33" spans="1:11" x14ac:dyDescent="0.25">
      <c r="A33">
        <v>2024</v>
      </c>
      <c r="B33">
        <v>11</v>
      </c>
      <c r="C33" s="1">
        <v>45608</v>
      </c>
      <c r="D33" t="s">
        <v>734</v>
      </c>
      <c r="E33" t="s">
        <v>902</v>
      </c>
      <c r="G33">
        <v>-17048.75</v>
      </c>
      <c r="H33">
        <v>17048.75</v>
      </c>
      <c r="I33">
        <v>-17048.75</v>
      </c>
      <c r="J33">
        <v>17048.75</v>
      </c>
      <c r="K33">
        <v>32707.87</v>
      </c>
    </row>
    <row r="34" spans="1:11" x14ac:dyDescent="0.25">
      <c r="A34">
        <v>2024</v>
      </c>
      <c r="B34">
        <v>7</v>
      </c>
      <c r="C34" s="1">
        <v>45475</v>
      </c>
      <c r="D34" t="s">
        <v>425</v>
      </c>
      <c r="E34" t="s">
        <v>902</v>
      </c>
      <c r="G34">
        <v>-1</v>
      </c>
      <c r="H34">
        <v>1</v>
      </c>
      <c r="I34">
        <v>-1</v>
      </c>
      <c r="J34">
        <v>1</v>
      </c>
      <c r="K34">
        <v>71921.960000000006</v>
      </c>
    </row>
    <row r="35" spans="1:11" x14ac:dyDescent="0.25">
      <c r="A35">
        <v>2024</v>
      </c>
      <c r="B35">
        <v>1</v>
      </c>
      <c r="C35" s="1">
        <v>45301</v>
      </c>
      <c r="D35" t="s">
        <v>132</v>
      </c>
      <c r="E35" t="s">
        <v>902</v>
      </c>
      <c r="G35">
        <v>-15000</v>
      </c>
      <c r="H35">
        <v>15000</v>
      </c>
      <c r="I35">
        <v>-15000</v>
      </c>
      <c r="J35">
        <v>15000</v>
      </c>
      <c r="K35">
        <v>32090.37</v>
      </c>
    </row>
    <row r="36" spans="1:11" x14ac:dyDescent="0.25">
      <c r="A36">
        <v>2024</v>
      </c>
      <c r="B36">
        <v>6</v>
      </c>
      <c r="C36" s="1">
        <v>45447</v>
      </c>
      <c r="D36" t="s">
        <v>371</v>
      </c>
      <c r="E36" t="s">
        <v>902</v>
      </c>
      <c r="G36">
        <v>-1</v>
      </c>
      <c r="H36">
        <v>1</v>
      </c>
      <c r="I36">
        <v>-1</v>
      </c>
      <c r="J36">
        <v>1</v>
      </c>
      <c r="K36">
        <v>25341.759999999998</v>
      </c>
    </row>
    <row r="37" spans="1:11" x14ac:dyDescent="0.25">
      <c r="A37">
        <v>2024</v>
      </c>
      <c r="B37">
        <v>12</v>
      </c>
      <c r="C37" s="1">
        <v>45656</v>
      </c>
      <c r="D37" t="s">
        <v>803</v>
      </c>
      <c r="E37" t="s">
        <v>902</v>
      </c>
      <c r="G37">
        <v>-14000</v>
      </c>
      <c r="H37">
        <v>14000</v>
      </c>
      <c r="I37">
        <v>-14000</v>
      </c>
      <c r="J37">
        <v>14000</v>
      </c>
      <c r="K37">
        <v>144382.10999999999</v>
      </c>
    </row>
    <row r="38" spans="1:11" x14ac:dyDescent="0.25">
      <c r="A38">
        <v>2024</v>
      </c>
      <c r="B38">
        <v>11</v>
      </c>
      <c r="C38" s="1">
        <v>45625</v>
      </c>
      <c r="D38" t="s">
        <v>763</v>
      </c>
      <c r="E38" t="s">
        <v>902</v>
      </c>
      <c r="G38">
        <v>-13244.44</v>
      </c>
      <c r="H38">
        <v>13244.44</v>
      </c>
      <c r="I38">
        <v>-13244.44</v>
      </c>
      <c r="J38">
        <v>13244.44</v>
      </c>
      <c r="K38">
        <v>6347.14</v>
      </c>
    </row>
    <row r="39" spans="1:11" x14ac:dyDescent="0.25">
      <c r="A39">
        <v>2024</v>
      </c>
      <c r="B39">
        <v>5</v>
      </c>
      <c r="C39" s="1">
        <v>45443</v>
      </c>
      <c r="D39" t="s">
        <v>358</v>
      </c>
      <c r="E39" t="s">
        <v>902</v>
      </c>
      <c r="G39">
        <v>-11588.83</v>
      </c>
      <c r="H39">
        <v>11588.83</v>
      </c>
      <c r="I39">
        <v>-11588.83</v>
      </c>
      <c r="J39">
        <v>11588.83</v>
      </c>
      <c r="K39">
        <v>33764.28</v>
      </c>
    </row>
    <row r="40" spans="1:11" x14ac:dyDescent="0.25">
      <c r="A40">
        <v>2024</v>
      </c>
      <c r="B40">
        <v>8</v>
      </c>
      <c r="C40" s="1">
        <v>45533</v>
      </c>
      <c r="D40" t="s">
        <v>544</v>
      </c>
      <c r="E40" t="s">
        <v>902</v>
      </c>
      <c r="G40">
        <v>-10780</v>
      </c>
      <c r="H40">
        <v>10780</v>
      </c>
      <c r="I40">
        <v>-10780</v>
      </c>
      <c r="J40">
        <v>10780</v>
      </c>
      <c r="K40">
        <v>32697.57</v>
      </c>
    </row>
    <row r="41" spans="1:11" x14ac:dyDescent="0.25">
      <c r="A41">
        <v>2024</v>
      </c>
      <c r="B41">
        <v>2</v>
      </c>
      <c r="C41" s="1">
        <v>45330</v>
      </c>
      <c r="D41" t="s">
        <v>179</v>
      </c>
      <c r="E41" t="s">
        <v>902</v>
      </c>
      <c r="G41">
        <v>-10482.81</v>
      </c>
      <c r="H41">
        <v>10482.81</v>
      </c>
      <c r="I41">
        <v>-10482.81</v>
      </c>
      <c r="J41">
        <v>10482.81</v>
      </c>
      <c r="K41">
        <v>23949.360000000001</v>
      </c>
    </row>
    <row r="42" spans="1:11" x14ac:dyDescent="0.25">
      <c r="A42">
        <v>2024</v>
      </c>
      <c r="B42">
        <v>2</v>
      </c>
      <c r="C42" s="1">
        <v>45344</v>
      </c>
      <c r="D42" t="s">
        <v>192</v>
      </c>
      <c r="E42" t="s">
        <v>902</v>
      </c>
      <c r="G42">
        <v>-10326.18</v>
      </c>
      <c r="H42">
        <v>10326.18</v>
      </c>
      <c r="I42">
        <v>-10326.18</v>
      </c>
      <c r="J42">
        <v>10326.18</v>
      </c>
      <c r="K42">
        <v>21523.29</v>
      </c>
    </row>
    <row r="43" spans="1:11" x14ac:dyDescent="0.25">
      <c r="A43">
        <v>2024</v>
      </c>
      <c r="B43">
        <v>7</v>
      </c>
      <c r="C43" s="1">
        <v>45489</v>
      </c>
      <c r="D43" t="s">
        <v>442</v>
      </c>
      <c r="E43" t="s">
        <v>902</v>
      </c>
      <c r="G43">
        <v>-10325.25</v>
      </c>
      <c r="H43">
        <v>10325.25</v>
      </c>
      <c r="I43">
        <v>-10325.25</v>
      </c>
      <c r="J43">
        <v>10325.25</v>
      </c>
      <c r="K43">
        <v>53208.44</v>
      </c>
    </row>
    <row r="44" spans="1:11" x14ac:dyDescent="0.25">
      <c r="A44">
        <v>2024</v>
      </c>
      <c r="B44">
        <v>1</v>
      </c>
      <c r="C44" s="1">
        <v>45316</v>
      </c>
      <c r="D44" t="s">
        <v>155</v>
      </c>
      <c r="E44" t="s">
        <v>902</v>
      </c>
      <c r="G44">
        <v>-10202.219999999999</v>
      </c>
      <c r="H44">
        <v>10202.219999999999</v>
      </c>
      <c r="I44">
        <v>-10202.219999999999</v>
      </c>
      <c r="J44">
        <v>10202.219999999999</v>
      </c>
      <c r="K44">
        <v>31111.79</v>
      </c>
    </row>
    <row r="45" spans="1:11" x14ac:dyDescent="0.25">
      <c r="A45">
        <v>2024</v>
      </c>
      <c r="B45">
        <v>5</v>
      </c>
      <c r="C45" s="1">
        <v>45414</v>
      </c>
      <c r="D45" t="s">
        <v>315</v>
      </c>
      <c r="E45" t="s">
        <v>902</v>
      </c>
      <c r="G45">
        <v>-1</v>
      </c>
      <c r="H45">
        <v>1</v>
      </c>
      <c r="I45">
        <v>-1</v>
      </c>
      <c r="J45">
        <v>1</v>
      </c>
      <c r="K45">
        <v>27234.36</v>
      </c>
    </row>
    <row r="46" spans="1:11" x14ac:dyDescent="0.25">
      <c r="A46">
        <v>2024</v>
      </c>
      <c r="B46">
        <v>4</v>
      </c>
      <c r="C46" s="1">
        <v>45384</v>
      </c>
      <c r="D46" t="s">
        <v>265</v>
      </c>
      <c r="E46" t="s">
        <v>902</v>
      </c>
      <c r="G46">
        <v>-1</v>
      </c>
      <c r="H46">
        <v>1</v>
      </c>
      <c r="I46">
        <v>-1</v>
      </c>
      <c r="J46">
        <v>1</v>
      </c>
      <c r="K46">
        <v>34720.160000000003</v>
      </c>
    </row>
    <row r="47" spans="1:11" x14ac:dyDescent="0.25">
      <c r="A47">
        <v>2024</v>
      </c>
      <c r="B47">
        <v>3</v>
      </c>
      <c r="C47" s="1">
        <v>45355</v>
      </c>
      <c r="D47" t="s">
        <v>211</v>
      </c>
      <c r="E47" t="s">
        <v>902</v>
      </c>
      <c r="G47">
        <v>-1</v>
      </c>
      <c r="H47">
        <v>1</v>
      </c>
      <c r="I47">
        <v>-1</v>
      </c>
      <c r="J47">
        <v>1</v>
      </c>
      <c r="K47">
        <v>27871.72</v>
      </c>
    </row>
    <row r="48" spans="1:11" x14ac:dyDescent="0.25">
      <c r="A48">
        <v>2024</v>
      </c>
      <c r="B48">
        <v>2</v>
      </c>
      <c r="C48" s="1">
        <v>45324</v>
      </c>
      <c r="D48" t="s">
        <v>172</v>
      </c>
      <c r="E48" t="s">
        <v>902</v>
      </c>
      <c r="G48">
        <v>-1</v>
      </c>
      <c r="H48">
        <v>1</v>
      </c>
      <c r="I48">
        <v>-1</v>
      </c>
      <c r="J48">
        <v>1</v>
      </c>
      <c r="K48">
        <v>36503.9</v>
      </c>
    </row>
    <row r="49" spans="1:11" x14ac:dyDescent="0.25">
      <c r="A49">
        <v>2024</v>
      </c>
      <c r="B49">
        <v>1</v>
      </c>
      <c r="C49" s="1">
        <v>45303</v>
      </c>
      <c r="D49" t="s">
        <v>139</v>
      </c>
      <c r="E49" t="s">
        <v>902</v>
      </c>
      <c r="G49">
        <v>-9448.3700000000008</v>
      </c>
      <c r="H49">
        <v>9448.3700000000008</v>
      </c>
      <c r="I49">
        <v>-9448.3700000000008</v>
      </c>
      <c r="J49">
        <v>9448.3700000000008</v>
      </c>
      <c r="K49">
        <v>24259.17</v>
      </c>
    </row>
    <row r="50" spans="1:11" x14ac:dyDescent="0.25">
      <c r="A50">
        <v>2024</v>
      </c>
      <c r="B50">
        <v>1</v>
      </c>
      <c r="C50" s="1">
        <v>45294</v>
      </c>
      <c r="D50" t="s">
        <v>122</v>
      </c>
      <c r="E50" t="s">
        <v>902</v>
      </c>
      <c r="G50">
        <v>-1</v>
      </c>
      <c r="H50">
        <v>1</v>
      </c>
      <c r="I50">
        <v>-1</v>
      </c>
      <c r="J50">
        <v>1</v>
      </c>
      <c r="K50">
        <v>28348.5</v>
      </c>
    </row>
    <row r="51" spans="1:11" x14ac:dyDescent="0.25">
      <c r="A51">
        <v>2024</v>
      </c>
      <c r="B51">
        <v>8</v>
      </c>
      <c r="C51" s="1">
        <v>45523</v>
      </c>
      <c r="D51" t="s">
        <v>520</v>
      </c>
      <c r="E51" t="s">
        <v>902</v>
      </c>
      <c r="G51">
        <v>-9000</v>
      </c>
      <c r="H51">
        <v>9000</v>
      </c>
      <c r="I51">
        <v>-9000</v>
      </c>
      <c r="J51">
        <v>9000</v>
      </c>
      <c r="K51">
        <v>61899.199999999997</v>
      </c>
    </row>
    <row r="52" spans="1:11" x14ac:dyDescent="0.25">
      <c r="A52">
        <v>2024</v>
      </c>
      <c r="B52">
        <v>1</v>
      </c>
      <c r="C52" s="1">
        <v>45317</v>
      </c>
      <c r="D52" t="s">
        <v>158</v>
      </c>
      <c r="E52" t="s">
        <v>902</v>
      </c>
      <c r="G52">
        <v>-5.79</v>
      </c>
      <c r="H52">
        <v>5.79</v>
      </c>
      <c r="I52">
        <v>-5.79</v>
      </c>
      <c r="J52">
        <v>5.79</v>
      </c>
      <c r="K52">
        <v>27159.94</v>
      </c>
    </row>
    <row r="53" spans="1:11" x14ac:dyDescent="0.25">
      <c r="A53">
        <v>2024</v>
      </c>
      <c r="B53">
        <v>1</v>
      </c>
      <c r="C53" s="1">
        <v>45302</v>
      </c>
      <c r="D53" t="s">
        <v>135</v>
      </c>
      <c r="E53" t="s">
        <v>902</v>
      </c>
      <c r="G53">
        <v>-8099.74</v>
      </c>
      <c r="H53">
        <v>8099.74</v>
      </c>
      <c r="I53">
        <v>-8099.74</v>
      </c>
      <c r="J53">
        <v>8099.74</v>
      </c>
      <c r="K53">
        <v>37318.57</v>
      </c>
    </row>
    <row r="54" spans="1:11" x14ac:dyDescent="0.25">
      <c r="A54">
        <v>2024</v>
      </c>
      <c r="B54">
        <v>10</v>
      </c>
      <c r="C54" s="1">
        <v>45594</v>
      </c>
      <c r="D54" t="s">
        <v>695</v>
      </c>
      <c r="E54" t="s">
        <v>902</v>
      </c>
      <c r="G54">
        <v>-5.83</v>
      </c>
      <c r="H54">
        <v>5.83</v>
      </c>
      <c r="I54">
        <v>-5.83</v>
      </c>
      <c r="J54">
        <v>5.83</v>
      </c>
      <c r="K54">
        <v>74831.929999999993</v>
      </c>
    </row>
    <row r="55" spans="1:11" x14ac:dyDescent="0.25">
      <c r="A55">
        <v>2024</v>
      </c>
      <c r="B55">
        <v>10</v>
      </c>
      <c r="C55" s="1">
        <v>45567</v>
      </c>
      <c r="D55" t="s">
        <v>634</v>
      </c>
      <c r="E55" t="s">
        <v>902</v>
      </c>
      <c r="G55">
        <v>-8010</v>
      </c>
      <c r="H55">
        <v>8010</v>
      </c>
      <c r="I55">
        <v>-8010</v>
      </c>
      <c r="J55">
        <v>8010</v>
      </c>
      <c r="K55">
        <v>79214.41</v>
      </c>
    </row>
    <row r="56" spans="1:11" x14ac:dyDescent="0.25">
      <c r="A56">
        <v>2024</v>
      </c>
      <c r="B56">
        <v>10</v>
      </c>
      <c r="C56" s="1">
        <v>45569</v>
      </c>
      <c r="D56" t="s">
        <v>649</v>
      </c>
      <c r="E56" t="s">
        <v>902</v>
      </c>
      <c r="G56">
        <v>-7809.87</v>
      </c>
      <c r="H56">
        <v>7809.87</v>
      </c>
      <c r="I56">
        <v>-7809.87</v>
      </c>
      <c r="J56">
        <v>7809.87</v>
      </c>
      <c r="K56">
        <v>42160.77</v>
      </c>
    </row>
    <row r="57" spans="1:11" x14ac:dyDescent="0.25">
      <c r="A57">
        <v>2024</v>
      </c>
      <c r="B57">
        <v>8</v>
      </c>
      <c r="C57" s="1">
        <v>45509</v>
      </c>
      <c r="D57" t="s">
        <v>494</v>
      </c>
      <c r="E57" t="s">
        <v>902</v>
      </c>
      <c r="G57">
        <v>-6.36</v>
      </c>
      <c r="H57">
        <v>6.36</v>
      </c>
      <c r="I57">
        <v>-6.36</v>
      </c>
      <c r="J57">
        <v>6.36</v>
      </c>
      <c r="K57">
        <v>42052.24</v>
      </c>
    </row>
    <row r="58" spans="1:11" x14ac:dyDescent="0.25">
      <c r="A58">
        <v>2024</v>
      </c>
      <c r="B58">
        <v>7</v>
      </c>
      <c r="C58" s="1">
        <v>45478</v>
      </c>
      <c r="D58" t="s">
        <v>427</v>
      </c>
      <c r="E58" t="s">
        <v>902</v>
      </c>
      <c r="G58">
        <v>-6.36</v>
      </c>
      <c r="H58">
        <v>6.36</v>
      </c>
      <c r="I58">
        <v>-6.36</v>
      </c>
      <c r="J58">
        <v>6.36</v>
      </c>
      <c r="K58">
        <v>71665</v>
      </c>
    </row>
    <row r="59" spans="1:11" x14ac:dyDescent="0.25">
      <c r="A59">
        <v>2024</v>
      </c>
      <c r="B59">
        <v>6</v>
      </c>
      <c r="C59" s="1">
        <v>45449</v>
      </c>
      <c r="D59" t="s">
        <v>372</v>
      </c>
      <c r="E59" t="s">
        <v>902</v>
      </c>
      <c r="G59">
        <v>-6.36</v>
      </c>
      <c r="H59">
        <v>6.36</v>
      </c>
      <c r="I59">
        <v>-6.36</v>
      </c>
      <c r="J59">
        <v>6.36</v>
      </c>
      <c r="K59">
        <v>25335.4</v>
      </c>
    </row>
    <row r="60" spans="1:11" x14ac:dyDescent="0.25">
      <c r="A60">
        <v>2024</v>
      </c>
      <c r="B60">
        <v>5</v>
      </c>
      <c r="C60" s="1">
        <v>45418</v>
      </c>
      <c r="D60" t="s">
        <v>321</v>
      </c>
      <c r="E60" t="s">
        <v>902</v>
      </c>
      <c r="G60">
        <v>-6.36</v>
      </c>
      <c r="H60">
        <v>6.36</v>
      </c>
      <c r="I60">
        <v>-6.36</v>
      </c>
      <c r="J60">
        <v>6.36</v>
      </c>
      <c r="K60">
        <v>10121.01</v>
      </c>
    </row>
    <row r="61" spans="1:11" x14ac:dyDescent="0.25">
      <c r="A61">
        <v>2024</v>
      </c>
      <c r="B61">
        <v>8</v>
      </c>
      <c r="C61" s="1">
        <v>45512</v>
      </c>
      <c r="D61" t="s">
        <v>501</v>
      </c>
      <c r="E61" t="s">
        <v>902</v>
      </c>
      <c r="G61">
        <v>-7496.54</v>
      </c>
      <c r="H61">
        <v>7496.54</v>
      </c>
      <c r="I61">
        <v>-7496.54</v>
      </c>
      <c r="J61">
        <v>7496.54</v>
      </c>
      <c r="K61">
        <v>7931.15</v>
      </c>
    </row>
    <row r="62" spans="1:11" x14ac:dyDescent="0.25">
      <c r="A62">
        <v>2024</v>
      </c>
      <c r="B62">
        <v>9</v>
      </c>
      <c r="C62" s="1">
        <v>45554</v>
      </c>
      <c r="D62" t="s">
        <v>601</v>
      </c>
      <c r="E62" t="s">
        <v>902</v>
      </c>
      <c r="G62">
        <v>-7200</v>
      </c>
      <c r="H62">
        <v>7200</v>
      </c>
      <c r="I62">
        <v>-7200</v>
      </c>
      <c r="J62">
        <v>7200</v>
      </c>
      <c r="K62">
        <v>82534.31</v>
      </c>
    </row>
    <row r="63" spans="1:11" x14ac:dyDescent="0.25">
      <c r="A63">
        <v>2024</v>
      </c>
      <c r="B63">
        <v>3</v>
      </c>
      <c r="C63" s="1">
        <v>45357</v>
      </c>
      <c r="D63" t="s">
        <v>212</v>
      </c>
      <c r="E63" t="s">
        <v>902</v>
      </c>
      <c r="G63">
        <v>-6.36</v>
      </c>
      <c r="H63">
        <v>6.36</v>
      </c>
      <c r="I63">
        <v>-6.36</v>
      </c>
      <c r="J63">
        <v>6.36</v>
      </c>
      <c r="K63">
        <v>45815.360000000001</v>
      </c>
    </row>
    <row r="64" spans="1:11" x14ac:dyDescent="0.25">
      <c r="A64">
        <v>2024</v>
      </c>
      <c r="B64">
        <v>12</v>
      </c>
      <c r="C64" s="1">
        <v>45653</v>
      </c>
      <c r="D64" t="s">
        <v>798</v>
      </c>
      <c r="E64" t="s">
        <v>902</v>
      </c>
      <c r="G64">
        <v>-6916.83</v>
      </c>
      <c r="H64">
        <v>6916.83</v>
      </c>
      <c r="I64">
        <v>-6916.83</v>
      </c>
      <c r="J64">
        <v>6916.83</v>
      </c>
      <c r="K64">
        <v>136000.04999999999</v>
      </c>
    </row>
    <row r="65" spans="1:11" x14ac:dyDescent="0.25">
      <c r="A65">
        <v>2024</v>
      </c>
      <c r="B65">
        <v>10</v>
      </c>
      <c r="C65" s="1">
        <v>45583</v>
      </c>
      <c r="D65" t="s">
        <v>681</v>
      </c>
      <c r="E65" t="s">
        <v>902</v>
      </c>
      <c r="G65">
        <v>-6651.6</v>
      </c>
      <c r="H65">
        <v>6651.6</v>
      </c>
      <c r="I65">
        <v>-6651.6</v>
      </c>
      <c r="J65">
        <v>6651.6</v>
      </c>
      <c r="K65">
        <v>64336</v>
      </c>
    </row>
    <row r="66" spans="1:11" x14ac:dyDescent="0.25">
      <c r="A66">
        <v>2024</v>
      </c>
      <c r="B66">
        <v>8</v>
      </c>
      <c r="C66" s="1">
        <v>45527</v>
      </c>
      <c r="D66" t="s">
        <v>527</v>
      </c>
      <c r="E66" t="s">
        <v>902</v>
      </c>
      <c r="G66">
        <v>-6620.72</v>
      </c>
      <c r="H66">
        <v>6620.72</v>
      </c>
      <c r="I66">
        <v>-6620.72</v>
      </c>
      <c r="J66">
        <v>6620.72</v>
      </c>
      <c r="K66">
        <v>24043.8</v>
      </c>
    </row>
    <row r="67" spans="1:11" x14ac:dyDescent="0.25">
      <c r="A67">
        <v>2024</v>
      </c>
      <c r="B67">
        <v>8</v>
      </c>
      <c r="C67" s="1">
        <v>45509</v>
      </c>
      <c r="D67" t="s">
        <v>492</v>
      </c>
      <c r="E67" t="s">
        <v>902</v>
      </c>
      <c r="G67">
        <v>-6460.35</v>
      </c>
      <c r="H67">
        <v>6460.35</v>
      </c>
      <c r="I67">
        <v>-6460.35</v>
      </c>
      <c r="J67">
        <v>6460.35</v>
      </c>
      <c r="K67">
        <v>42776.94</v>
      </c>
    </row>
    <row r="68" spans="1:11" x14ac:dyDescent="0.25">
      <c r="A68">
        <v>2024</v>
      </c>
      <c r="B68">
        <v>7</v>
      </c>
      <c r="C68" s="1">
        <v>45502</v>
      </c>
      <c r="D68" t="s">
        <v>475</v>
      </c>
      <c r="E68" t="s">
        <v>902</v>
      </c>
      <c r="G68">
        <v>-7.28</v>
      </c>
      <c r="H68">
        <v>7.28</v>
      </c>
      <c r="I68">
        <v>-7.28</v>
      </c>
      <c r="J68">
        <v>7.28</v>
      </c>
      <c r="K68">
        <v>30466.26</v>
      </c>
    </row>
    <row r="69" spans="1:11" x14ac:dyDescent="0.25">
      <c r="A69">
        <v>2024</v>
      </c>
      <c r="B69">
        <v>12</v>
      </c>
      <c r="C69" s="1">
        <v>45653</v>
      </c>
      <c r="D69" t="s">
        <v>800</v>
      </c>
      <c r="E69" t="s">
        <v>902</v>
      </c>
      <c r="G69">
        <v>-6185.73</v>
      </c>
      <c r="H69">
        <v>6185.73</v>
      </c>
      <c r="I69">
        <v>-6185.73</v>
      </c>
      <c r="J69">
        <v>6185.73</v>
      </c>
      <c r="K69">
        <v>93344.73</v>
      </c>
    </row>
    <row r="70" spans="1:11" x14ac:dyDescent="0.25">
      <c r="A70">
        <v>2024</v>
      </c>
      <c r="B70">
        <v>12</v>
      </c>
      <c r="C70" s="1">
        <v>45631</v>
      </c>
      <c r="D70" t="s">
        <v>778</v>
      </c>
      <c r="E70" t="s">
        <v>902</v>
      </c>
      <c r="G70">
        <v>-7.53</v>
      </c>
      <c r="H70">
        <v>7.53</v>
      </c>
      <c r="I70">
        <v>-7.53</v>
      </c>
      <c r="J70">
        <v>7.53</v>
      </c>
      <c r="K70">
        <v>2049.19</v>
      </c>
    </row>
    <row r="71" spans="1:11" x14ac:dyDescent="0.25">
      <c r="A71">
        <v>2024</v>
      </c>
      <c r="B71">
        <v>9</v>
      </c>
      <c r="C71" s="1">
        <v>45541</v>
      </c>
      <c r="D71" t="s">
        <v>571</v>
      </c>
      <c r="E71" t="s">
        <v>902</v>
      </c>
      <c r="G71">
        <v>-6068.24</v>
      </c>
      <c r="H71">
        <v>6068.24</v>
      </c>
      <c r="I71">
        <v>-6068.24</v>
      </c>
      <c r="J71">
        <v>6068.24</v>
      </c>
      <c r="K71">
        <v>48827.59</v>
      </c>
    </row>
    <row r="72" spans="1:11" x14ac:dyDescent="0.25">
      <c r="A72">
        <v>2024</v>
      </c>
      <c r="B72">
        <v>6</v>
      </c>
      <c r="C72" s="1">
        <v>45470</v>
      </c>
      <c r="D72" t="s">
        <v>400</v>
      </c>
      <c r="E72" t="s">
        <v>902</v>
      </c>
      <c r="G72">
        <v>-5405.5</v>
      </c>
      <c r="H72">
        <v>5405.5</v>
      </c>
      <c r="I72">
        <v>-5405.5</v>
      </c>
      <c r="J72">
        <v>5405.5</v>
      </c>
      <c r="K72">
        <v>80397.17</v>
      </c>
    </row>
    <row r="73" spans="1:11" x14ac:dyDescent="0.25">
      <c r="A73">
        <v>2024</v>
      </c>
      <c r="B73">
        <v>3</v>
      </c>
      <c r="C73" s="1">
        <v>45379</v>
      </c>
      <c r="D73" t="s">
        <v>250</v>
      </c>
      <c r="E73" t="s">
        <v>902</v>
      </c>
      <c r="G73">
        <v>-8.5</v>
      </c>
      <c r="H73">
        <v>8.5</v>
      </c>
      <c r="I73">
        <v>-8.5</v>
      </c>
      <c r="J73">
        <v>8.5</v>
      </c>
      <c r="K73">
        <v>22566.78</v>
      </c>
    </row>
    <row r="74" spans="1:11" x14ac:dyDescent="0.25">
      <c r="A74">
        <v>2024</v>
      </c>
      <c r="B74">
        <v>9</v>
      </c>
      <c r="C74" s="1">
        <v>45562</v>
      </c>
      <c r="D74" t="s">
        <v>618</v>
      </c>
      <c r="E74" t="s">
        <v>902</v>
      </c>
      <c r="G74">
        <v>-5114.5</v>
      </c>
      <c r="H74">
        <v>5114.5</v>
      </c>
      <c r="I74">
        <v>-5114.5</v>
      </c>
      <c r="J74">
        <v>5114.5</v>
      </c>
      <c r="K74">
        <v>77664.75</v>
      </c>
    </row>
    <row r="75" spans="1:11" x14ac:dyDescent="0.25">
      <c r="A75">
        <v>2024</v>
      </c>
      <c r="B75">
        <v>12</v>
      </c>
      <c r="C75" s="1">
        <v>45628</v>
      </c>
      <c r="D75" t="s">
        <v>767</v>
      </c>
      <c r="E75" t="s">
        <v>902</v>
      </c>
      <c r="G75">
        <v>-8.51</v>
      </c>
      <c r="H75">
        <v>8.51</v>
      </c>
      <c r="I75">
        <v>-8.51</v>
      </c>
      <c r="J75">
        <v>8.51</v>
      </c>
      <c r="K75">
        <v>4390.6899999999996</v>
      </c>
    </row>
    <row r="76" spans="1:11" x14ac:dyDescent="0.25">
      <c r="A76">
        <v>2024</v>
      </c>
      <c r="B76">
        <v>9</v>
      </c>
      <c r="C76" s="1">
        <v>45538</v>
      </c>
      <c r="D76" t="s">
        <v>559</v>
      </c>
      <c r="E76" t="s">
        <v>902</v>
      </c>
      <c r="G76">
        <v>-10</v>
      </c>
      <c r="H76">
        <v>10</v>
      </c>
      <c r="I76">
        <v>-10</v>
      </c>
      <c r="J76">
        <v>10</v>
      </c>
      <c r="K76">
        <v>70190.820000000007</v>
      </c>
    </row>
    <row r="77" spans="1:11" x14ac:dyDescent="0.25">
      <c r="A77">
        <v>2024</v>
      </c>
      <c r="B77">
        <v>4</v>
      </c>
      <c r="C77" s="1">
        <v>45407</v>
      </c>
      <c r="D77" t="s">
        <v>299</v>
      </c>
      <c r="E77" t="s">
        <v>902</v>
      </c>
      <c r="G77">
        <v>-5000</v>
      </c>
      <c r="H77">
        <v>5000</v>
      </c>
      <c r="I77">
        <v>-5000</v>
      </c>
      <c r="J77">
        <v>5000</v>
      </c>
      <c r="K77">
        <v>6804.69</v>
      </c>
    </row>
    <row r="78" spans="1:11" x14ac:dyDescent="0.25">
      <c r="A78">
        <v>2024</v>
      </c>
      <c r="B78">
        <v>10</v>
      </c>
      <c r="C78" s="1">
        <v>45596</v>
      </c>
      <c r="D78" t="s">
        <v>708</v>
      </c>
      <c r="E78" t="s">
        <v>902</v>
      </c>
      <c r="G78">
        <v>-5000</v>
      </c>
      <c r="H78">
        <v>5000</v>
      </c>
      <c r="I78">
        <v>-5000</v>
      </c>
      <c r="J78">
        <v>5000</v>
      </c>
      <c r="K78">
        <v>66986.63</v>
      </c>
    </row>
    <row r="79" spans="1:11" x14ac:dyDescent="0.25">
      <c r="A79">
        <v>2024</v>
      </c>
      <c r="B79">
        <v>1</v>
      </c>
      <c r="C79" s="1">
        <v>45320</v>
      </c>
      <c r="D79" t="s">
        <v>162</v>
      </c>
      <c r="E79" t="s">
        <v>902</v>
      </c>
      <c r="G79">
        <v>-10</v>
      </c>
      <c r="H79">
        <v>10</v>
      </c>
      <c r="I79">
        <v>-10</v>
      </c>
      <c r="J79">
        <v>10</v>
      </c>
      <c r="K79">
        <v>26473.96</v>
      </c>
    </row>
    <row r="80" spans="1:11" x14ac:dyDescent="0.25">
      <c r="A80">
        <v>2024</v>
      </c>
      <c r="B80">
        <v>12</v>
      </c>
      <c r="C80" s="1">
        <v>45639</v>
      </c>
      <c r="D80" t="s">
        <v>787</v>
      </c>
      <c r="E80" t="s">
        <v>902</v>
      </c>
      <c r="G80">
        <v>-4964.04</v>
      </c>
      <c r="H80">
        <v>4964.04</v>
      </c>
      <c r="I80">
        <v>-4964.04</v>
      </c>
      <c r="J80">
        <v>4964.04</v>
      </c>
      <c r="K80">
        <v>1494.76</v>
      </c>
    </row>
    <row r="81" spans="1:11" x14ac:dyDescent="0.25">
      <c r="A81">
        <v>2024</v>
      </c>
      <c r="B81">
        <v>11</v>
      </c>
      <c r="C81" s="1">
        <v>45625</v>
      </c>
      <c r="D81" t="s">
        <v>764</v>
      </c>
      <c r="E81" t="s">
        <v>902</v>
      </c>
      <c r="G81">
        <v>-4934.7700000000004</v>
      </c>
      <c r="H81">
        <v>4934.7700000000004</v>
      </c>
      <c r="I81">
        <v>-4934.7700000000004</v>
      </c>
      <c r="J81">
        <v>4934.7700000000004</v>
      </c>
      <c r="K81">
        <v>1412.37</v>
      </c>
    </row>
    <row r="82" spans="1:11" x14ac:dyDescent="0.25">
      <c r="A82">
        <v>2024</v>
      </c>
      <c r="B82">
        <v>3</v>
      </c>
      <c r="C82" s="1">
        <v>45379</v>
      </c>
      <c r="D82" t="s">
        <v>252</v>
      </c>
      <c r="E82" t="s">
        <v>902</v>
      </c>
      <c r="G82">
        <v>-10.06</v>
      </c>
      <c r="H82">
        <v>10.06</v>
      </c>
      <c r="I82">
        <v>-10.06</v>
      </c>
      <c r="J82">
        <v>10.06</v>
      </c>
      <c r="K82">
        <v>22469.8</v>
      </c>
    </row>
    <row r="83" spans="1:11" x14ac:dyDescent="0.25">
      <c r="A83">
        <v>2024</v>
      </c>
      <c r="B83">
        <v>7</v>
      </c>
      <c r="C83" s="1">
        <v>45474</v>
      </c>
      <c r="D83" t="s">
        <v>418</v>
      </c>
      <c r="E83" t="s">
        <v>902</v>
      </c>
      <c r="G83">
        <v>-11.02</v>
      </c>
      <c r="H83">
        <v>11.02</v>
      </c>
      <c r="I83">
        <v>-11.02</v>
      </c>
      <c r="J83">
        <v>11.02</v>
      </c>
      <c r="K83">
        <v>60978.12</v>
      </c>
    </row>
    <row r="84" spans="1:11" x14ac:dyDescent="0.25">
      <c r="A84">
        <v>2024</v>
      </c>
      <c r="B84">
        <v>2</v>
      </c>
      <c r="C84" s="1">
        <v>45345</v>
      </c>
      <c r="D84" t="s">
        <v>194</v>
      </c>
      <c r="E84" t="s">
        <v>902</v>
      </c>
      <c r="G84">
        <v>-11.68</v>
      </c>
      <c r="H84">
        <v>11.68</v>
      </c>
      <c r="I84">
        <v>-11.68</v>
      </c>
      <c r="J84">
        <v>11.68</v>
      </c>
      <c r="K84">
        <v>17875.099999999999</v>
      </c>
    </row>
    <row r="85" spans="1:11" x14ac:dyDescent="0.25">
      <c r="A85">
        <v>2024</v>
      </c>
      <c r="B85">
        <v>1</v>
      </c>
      <c r="C85" s="1">
        <v>45293</v>
      </c>
      <c r="D85" t="s">
        <v>119</v>
      </c>
      <c r="E85" t="s">
        <v>902</v>
      </c>
      <c r="G85">
        <v>-4801</v>
      </c>
      <c r="H85">
        <v>4801</v>
      </c>
      <c r="I85">
        <v>-4801</v>
      </c>
      <c r="J85">
        <v>4801</v>
      </c>
      <c r="K85">
        <v>28687.93</v>
      </c>
    </row>
    <row r="86" spans="1:11" x14ac:dyDescent="0.25">
      <c r="A86">
        <v>2024</v>
      </c>
      <c r="B86">
        <v>2</v>
      </c>
      <c r="C86" s="1">
        <v>45323</v>
      </c>
      <c r="D86" t="s">
        <v>167</v>
      </c>
      <c r="E86" t="s">
        <v>902</v>
      </c>
      <c r="G86">
        <v>-4801</v>
      </c>
      <c r="H86">
        <v>4801</v>
      </c>
      <c r="I86">
        <v>-4801</v>
      </c>
      <c r="J86">
        <v>4801</v>
      </c>
      <c r="K86">
        <v>20827.05</v>
      </c>
    </row>
    <row r="87" spans="1:11" x14ac:dyDescent="0.25">
      <c r="A87">
        <v>2024</v>
      </c>
      <c r="B87">
        <v>3</v>
      </c>
      <c r="C87" s="1">
        <v>45352</v>
      </c>
      <c r="D87" t="s">
        <v>203</v>
      </c>
      <c r="E87" t="s">
        <v>902</v>
      </c>
      <c r="G87">
        <v>-4801</v>
      </c>
      <c r="H87">
        <v>4801</v>
      </c>
      <c r="I87">
        <v>-4801</v>
      </c>
      <c r="J87">
        <v>4801</v>
      </c>
      <c r="K87">
        <v>24299.040000000001</v>
      </c>
    </row>
    <row r="88" spans="1:11" x14ac:dyDescent="0.25">
      <c r="A88">
        <v>2024</v>
      </c>
      <c r="B88">
        <v>4</v>
      </c>
      <c r="C88" s="1">
        <v>45383</v>
      </c>
      <c r="D88" t="s">
        <v>259</v>
      </c>
      <c r="E88" t="s">
        <v>902</v>
      </c>
      <c r="G88">
        <v>-4801</v>
      </c>
      <c r="H88">
        <v>4801</v>
      </c>
      <c r="I88">
        <v>-4801</v>
      </c>
      <c r="J88">
        <v>4801</v>
      </c>
      <c r="K88">
        <v>19325.21</v>
      </c>
    </row>
    <row r="89" spans="1:11" x14ac:dyDescent="0.25">
      <c r="A89">
        <v>2024</v>
      </c>
      <c r="B89">
        <v>5</v>
      </c>
      <c r="C89" s="1">
        <v>45413</v>
      </c>
      <c r="D89" t="s">
        <v>307</v>
      </c>
      <c r="E89" t="s">
        <v>902</v>
      </c>
      <c r="G89">
        <v>-4801</v>
      </c>
      <c r="H89">
        <v>4801</v>
      </c>
      <c r="I89">
        <v>-4801</v>
      </c>
      <c r="J89">
        <v>4801</v>
      </c>
      <c r="K89">
        <v>15741.31</v>
      </c>
    </row>
    <row r="90" spans="1:11" x14ac:dyDescent="0.25">
      <c r="A90">
        <v>2024</v>
      </c>
      <c r="B90">
        <v>6</v>
      </c>
      <c r="C90" s="1">
        <v>45446</v>
      </c>
      <c r="D90" t="s">
        <v>365</v>
      </c>
      <c r="E90" t="s">
        <v>902</v>
      </c>
      <c r="G90">
        <v>-4801</v>
      </c>
      <c r="H90">
        <v>4801</v>
      </c>
      <c r="I90">
        <v>-4801</v>
      </c>
      <c r="J90">
        <v>4801</v>
      </c>
      <c r="K90">
        <v>5959.15</v>
      </c>
    </row>
    <row r="91" spans="1:11" x14ac:dyDescent="0.25">
      <c r="A91">
        <v>2024</v>
      </c>
      <c r="B91">
        <v>7</v>
      </c>
      <c r="C91" s="1">
        <v>45474</v>
      </c>
      <c r="D91" t="s">
        <v>416</v>
      </c>
      <c r="E91" t="s">
        <v>902</v>
      </c>
      <c r="G91">
        <v>-4801</v>
      </c>
      <c r="H91">
        <v>4801</v>
      </c>
      <c r="I91">
        <v>-4801</v>
      </c>
      <c r="J91">
        <v>4801</v>
      </c>
      <c r="K91">
        <v>62823.55</v>
      </c>
    </row>
    <row r="92" spans="1:11" x14ac:dyDescent="0.25">
      <c r="A92">
        <v>2024</v>
      </c>
      <c r="B92">
        <v>8</v>
      </c>
      <c r="C92" s="1">
        <v>45505</v>
      </c>
      <c r="D92" t="s">
        <v>481</v>
      </c>
      <c r="E92" t="s">
        <v>902</v>
      </c>
      <c r="G92">
        <v>-4801</v>
      </c>
      <c r="H92">
        <v>4801</v>
      </c>
      <c r="I92">
        <v>-4801</v>
      </c>
      <c r="J92">
        <v>4801</v>
      </c>
      <c r="K92">
        <v>42850.46</v>
      </c>
    </row>
    <row r="93" spans="1:11" x14ac:dyDescent="0.25">
      <c r="A93">
        <v>2024</v>
      </c>
      <c r="B93">
        <v>9</v>
      </c>
      <c r="C93" s="1">
        <v>45538</v>
      </c>
      <c r="D93" t="s">
        <v>556</v>
      </c>
      <c r="E93" t="s">
        <v>902</v>
      </c>
      <c r="G93">
        <v>-4801</v>
      </c>
      <c r="H93">
        <v>4801</v>
      </c>
      <c r="I93">
        <v>-4801</v>
      </c>
      <c r="J93">
        <v>4801</v>
      </c>
      <c r="K93">
        <v>71257.64</v>
      </c>
    </row>
    <row r="94" spans="1:11" x14ac:dyDescent="0.25">
      <c r="A94">
        <v>2024</v>
      </c>
      <c r="B94">
        <v>10</v>
      </c>
      <c r="C94" s="1">
        <v>45566</v>
      </c>
      <c r="D94" t="s">
        <v>631</v>
      </c>
      <c r="E94" t="s">
        <v>902</v>
      </c>
      <c r="G94">
        <v>-4801</v>
      </c>
      <c r="H94">
        <v>4801</v>
      </c>
      <c r="I94">
        <v>-4801</v>
      </c>
      <c r="J94">
        <v>4801</v>
      </c>
      <c r="K94">
        <v>89148.72</v>
      </c>
    </row>
    <row r="95" spans="1:11" x14ac:dyDescent="0.25">
      <c r="A95">
        <v>2024</v>
      </c>
      <c r="B95">
        <v>11</v>
      </c>
      <c r="C95" s="1">
        <v>45597</v>
      </c>
      <c r="D95" t="s">
        <v>710</v>
      </c>
      <c r="E95" t="s">
        <v>902</v>
      </c>
      <c r="G95">
        <v>-4801</v>
      </c>
      <c r="H95">
        <v>4801</v>
      </c>
      <c r="I95">
        <v>-4801</v>
      </c>
      <c r="J95">
        <v>4801</v>
      </c>
      <c r="K95">
        <v>62113</v>
      </c>
    </row>
    <row r="96" spans="1:11" x14ac:dyDescent="0.25">
      <c r="A96">
        <v>2024</v>
      </c>
      <c r="B96">
        <v>1</v>
      </c>
      <c r="C96" s="1">
        <v>45307</v>
      </c>
      <c r="D96" t="s">
        <v>144</v>
      </c>
      <c r="E96" t="s">
        <v>902</v>
      </c>
      <c r="G96">
        <v>-12.55</v>
      </c>
      <c r="H96">
        <v>12.55</v>
      </c>
      <c r="I96">
        <v>-12.55</v>
      </c>
      <c r="J96">
        <v>12.55</v>
      </c>
      <c r="K96">
        <v>20298.009999999998</v>
      </c>
    </row>
    <row r="97" spans="1:11" x14ac:dyDescent="0.25">
      <c r="A97">
        <v>2024</v>
      </c>
      <c r="B97">
        <v>9</v>
      </c>
      <c r="C97" s="1">
        <v>45544</v>
      </c>
      <c r="D97" t="s">
        <v>576</v>
      </c>
      <c r="E97" t="s">
        <v>902</v>
      </c>
      <c r="G97">
        <v>-12.57</v>
      </c>
      <c r="H97">
        <v>12.57</v>
      </c>
      <c r="I97">
        <v>-12.57</v>
      </c>
      <c r="J97">
        <v>12.57</v>
      </c>
      <c r="K97">
        <v>68006.240000000005</v>
      </c>
    </row>
    <row r="98" spans="1:11" x14ac:dyDescent="0.25">
      <c r="A98">
        <v>2024</v>
      </c>
      <c r="B98">
        <v>11</v>
      </c>
      <c r="C98" s="1">
        <v>45597</v>
      </c>
      <c r="D98" t="s">
        <v>712</v>
      </c>
      <c r="E98" t="s">
        <v>902</v>
      </c>
      <c r="G98">
        <v>-4714.6499999999996</v>
      </c>
      <c r="H98">
        <v>4714.6499999999996</v>
      </c>
      <c r="I98">
        <v>-4714.6499999999996</v>
      </c>
      <c r="J98">
        <v>4714.6499999999996</v>
      </c>
      <c r="K98">
        <v>31662.959999999999</v>
      </c>
    </row>
    <row r="99" spans="1:11" x14ac:dyDescent="0.25">
      <c r="A99">
        <v>2024</v>
      </c>
      <c r="B99">
        <v>8</v>
      </c>
      <c r="C99" s="1">
        <v>45530</v>
      </c>
      <c r="D99" t="s">
        <v>531</v>
      </c>
      <c r="E99" t="s">
        <v>902</v>
      </c>
      <c r="G99">
        <v>-4648.54</v>
      </c>
      <c r="H99">
        <v>4648.54</v>
      </c>
      <c r="I99">
        <v>-4648.54</v>
      </c>
      <c r="J99">
        <v>4648.54</v>
      </c>
      <c r="K99">
        <v>36750.33</v>
      </c>
    </row>
    <row r="100" spans="1:11" x14ac:dyDescent="0.25">
      <c r="A100">
        <v>2024</v>
      </c>
      <c r="B100">
        <v>11</v>
      </c>
      <c r="C100" s="1">
        <v>45611</v>
      </c>
      <c r="D100" t="s">
        <v>741</v>
      </c>
      <c r="E100" t="s">
        <v>902</v>
      </c>
      <c r="G100">
        <v>-4592.8500000000004</v>
      </c>
      <c r="H100">
        <v>4592.8500000000004</v>
      </c>
      <c r="I100">
        <v>-4592.8500000000004</v>
      </c>
      <c r="J100">
        <v>4592.8500000000004</v>
      </c>
      <c r="K100">
        <v>6575.45</v>
      </c>
    </row>
    <row r="101" spans="1:11" x14ac:dyDescent="0.25">
      <c r="A101">
        <v>2024</v>
      </c>
      <c r="B101">
        <v>9</v>
      </c>
      <c r="C101" s="1">
        <v>45555</v>
      </c>
      <c r="D101" t="s">
        <v>605</v>
      </c>
      <c r="E101" t="s">
        <v>902</v>
      </c>
      <c r="G101">
        <v>-4526.33</v>
      </c>
      <c r="H101">
        <v>4526.33</v>
      </c>
      <c r="I101">
        <v>-4526.33</v>
      </c>
      <c r="J101">
        <v>4526.33</v>
      </c>
      <c r="K101">
        <v>56603.79</v>
      </c>
    </row>
    <row r="102" spans="1:11" x14ac:dyDescent="0.25">
      <c r="A102">
        <v>2024</v>
      </c>
      <c r="B102">
        <v>11</v>
      </c>
      <c r="C102" s="1">
        <v>45609</v>
      </c>
      <c r="D102" t="s">
        <v>735</v>
      </c>
      <c r="E102" t="s">
        <v>902</v>
      </c>
      <c r="G102">
        <v>-4519.68</v>
      </c>
      <c r="H102">
        <v>4519.68</v>
      </c>
      <c r="I102">
        <v>-4519.68</v>
      </c>
      <c r="J102">
        <v>4519.68</v>
      </c>
      <c r="K102">
        <v>24081.81</v>
      </c>
    </row>
    <row r="103" spans="1:11" x14ac:dyDescent="0.25">
      <c r="A103">
        <v>2024</v>
      </c>
      <c r="B103">
        <v>3</v>
      </c>
      <c r="C103" s="1">
        <v>45358</v>
      </c>
      <c r="D103" t="s">
        <v>214</v>
      </c>
      <c r="E103" t="s">
        <v>902</v>
      </c>
      <c r="G103">
        <v>-4326.83</v>
      </c>
      <c r="H103">
        <v>4326.83</v>
      </c>
      <c r="I103">
        <v>-4326.83</v>
      </c>
      <c r="J103">
        <v>4326.83</v>
      </c>
      <c r="K103">
        <v>21752.17</v>
      </c>
    </row>
    <row r="104" spans="1:11" x14ac:dyDescent="0.25">
      <c r="A104">
        <v>2024</v>
      </c>
      <c r="B104">
        <v>4</v>
      </c>
      <c r="C104" s="1">
        <v>45393</v>
      </c>
      <c r="D104" t="s">
        <v>277</v>
      </c>
      <c r="E104" t="s">
        <v>902</v>
      </c>
      <c r="G104">
        <v>-13.13</v>
      </c>
      <c r="H104">
        <v>13.13</v>
      </c>
      <c r="I104">
        <v>-13.13</v>
      </c>
      <c r="J104">
        <v>13.13</v>
      </c>
      <c r="K104">
        <v>36707.279999999999</v>
      </c>
    </row>
    <row r="105" spans="1:11" x14ac:dyDescent="0.25">
      <c r="A105">
        <v>2024</v>
      </c>
      <c r="B105">
        <v>7</v>
      </c>
      <c r="C105" s="1">
        <v>45498</v>
      </c>
      <c r="D105" t="s">
        <v>459</v>
      </c>
      <c r="E105" t="s">
        <v>902</v>
      </c>
      <c r="G105">
        <v>-4106.3900000000003</v>
      </c>
      <c r="H105">
        <v>4106.3900000000003</v>
      </c>
      <c r="I105">
        <v>-4106.3900000000003</v>
      </c>
      <c r="J105">
        <v>4106.3900000000003</v>
      </c>
      <c r="K105">
        <v>44720.28</v>
      </c>
    </row>
    <row r="106" spans="1:11" x14ac:dyDescent="0.25">
      <c r="A106">
        <v>2024</v>
      </c>
      <c r="B106">
        <v>8</v>
      </c>
      <c r="C106" s="1">
        <v>45516</v>
      </c>
      <c r="D106" t="s">
        <v>507</v>
      </c>
      <c r="E106" t="s">
        <v>902</v>
      </c>
      <c r="G106">
        <v>-4106.3900000000003</v>
      </c>
      <c r="H106">
        <v>4106.3900000000003</v>
      </c>
      <c r="I106">
        <v>-4106.3900000000003</v>
      </c>
      <c r="J106">
        <v>4106.3900000000003</v>
      </c>
      <c r="K106">
        <v>25922.77</v>
      </c>
    </row>
    <row r="107" spans="1:11" x14ac:dyDescent="0.25">
      <c r="A107">
        <v>2024</v>
      </c>
      <c r="B107">
        <v>6</v>
      </c>
      <c r="C107" s="1">
        <v>45457</v>
      </c>
      <c r="D107" t="s">
        <v>385</v>
      </c>
      <c r="E107" t="s">
        <v>902</v>
      </c>
      <c r="G107">
        <v>-14</v>
      </c>
      <c r="H107">
        <v>14</v>
      </c>
      <c r="I107">
        <v>-14</v>
      </c>
      <c r="J107">
        <v>14</v>
      </c>
      <c r="K107">
        <v>19841.55</v>
      </c>
    </row>
    <row r="108" spans="1:11" x14ac:dyDescent="0.25">
      <c r="A108">
        <v>2024</v>
      </c>
      <c r="B108">
        <v>3</v>
      </c>
      <c r="C108" s="1">
        <v>45372</v>
      </c>
      <c r="D108" t="s">
        <v>239</v>
      </c>
      <c r="E108" t="s">
        <v>902</v>
      </c>
      <c r="G108">
        <v>-3779.49</v>
      </c>
      <c r="H108">
        <v>3779.49</v>
      </c>
      <c r="I108">
        <v>-3779.49</v>
      </c>
      <c r="J108">
        <v>3779.49</v>
      </c>
      <c r="K108">
        <v>4868.84</v>
      </c>
    </row>
    <row r="109" spans="1:11" x14ac:dyDescent="0.25">
      <c r="A109">
        <v>2024</v>
      </c>
      <c r="B109">
        <v>2</v>
      </c>
      <c r="C109" s="1">
        <v>45330</v>
      </c>
      <c r="D109" t="s">
        <v>180</v>
      </c>
      <c r="E109" t="s">
        <v>902</v>
      </c>
      <c r="G109">
        <v>-3772.27</v>
      </c>
      <c r="H109">
        <v>3772.27</v>
      </c>
      <c r="I109">
        <v>-3772.27</v>
      </c>
      <c r="J109">
        <v>3772.27</v>
      </c>
      <c r="K109">
        <v>20177.09</v>
      </c>
    </row>
    <row r="110" spans="1:11" x14ac:dyDescent="0.25">
      <c r="A110">
        <v>2024</v>
      </c>
      <c r="B110">
        <v>7</v>
      </c>
      <c r="C110" s="1">
        <v>45485</v>
      </c>
      <c r="D110" t="s">
        <v>435</v>
      </c>
      <c r="E110" t="s">
        <v>902</v>
      </c>
      <c r="G110">
        <v>-3761.56</v>
      </c>
      <c r="H110">
        <v>3761.56</v>
      </c>
      <c r="I110">
        <v>-3761.56</v>
      </c>
      <c r="J110">
        <v>3761.56</v>
      </c>
      <c r="K110">
        <v>59282.28</v>
      </c>
    </row>
    <row r="111" spans="1:11" x14ac:dyDescent="0.25">
      <c r="A111">
        <v>2024</v>
      </c>
      <c r="B111">
        <v>6</v>
      </c>
      <c r="C111" s="1">
        <v>45456</v>
      </c>
      <c r="D111" t="s">
        <v>381</v>
      </c>
      <c r="E111" t="s">
        <v>902</v>
      </c>
      <c r="G111">
        <v>-3748.21</v>
      </c>
      <c r="H111">
        <v>3748.21</v>
      </c>
      <c r="I111">
        <v>-3748.21</v>
      </c>
      <c r="J111">
        <v>3748.21</v>
      </c>
      <c r="K111">
        <v>20749.939999999999</v>
      </c>
    </row>
    <row r="112" spans="1:11" x14ac:dyDescent="0.25">
      <c r="A112">
        <v>2024</v>
      </c>
      <c r="B112">
        <v>7</v>
      </c>
      <c r="C112" s="1">
        <v>45498</v>
      </c>
      <c r="D112" t="s">
        <v>462</v>
      </c>
      <c r="E112" t="s">
        <v>902</v>
      </c>
      <c r="G112">
        <v>-3725.19</v>
      </c>
      <c r="H112">
        <v>3725.19</v>
      </c>
      <c r="I112">
        <v>-3725.19</v>
      </c>
      <c r="J112">
        <v>3725.19</v>
      </c>
      <c r="K112">
        <v>21672.59</v>
      </c>
    </row>
    <row r="113" spans="1:11" x14ac:dyDescent="0.25">
      <c r="A113">
        <v>2024</v>
      </c>
      <c r="B113">
        <v>5</v>
      </c>
      <c r="C113" s="1">
        <v>45443</v>
      </c>
      <c r="D113" t="s">
        <v>360</v>
      </c>
      <c r="E113" t="s">
        <v>902</v>
      </c>
      <c r="G113">
        <v>-3707.96</v>
      </c>
      <c r="H113">
        <v>3707.96</v>
      </c>
      <c r="I113">
        <v>-3707.96</v>
      </c>
      <c r="J113">
        <v>3707.96</v>
      </c>
      <c r="K113">
        <v>11111.92</v>
      </c>
    </row>
    <row r="114" spans="1:11" x14ac:dyDescent="0.25">
      <c r="A114">
        <v>2024</v>
      </c>
      <c r="B114">
        <v>1</v>
      </c>
      <c r="C114" s="1">
        <v>45316</v>
      </c>
      <c r="D114" t="s">
        <v>156</v>
      </c>
      <c r="E114" t="s">
        <v>902</v>
      </c>
      <c r="G114">
        <v>-3699.89</v>
      </c>
      <c r="H114">
        <v>3699.89</v>
      </c>
      <c r="I114">
        <v>-3699.89</v>
      </c>
      <c r="J114">
        <v>3699.89</v>
      </c>
      <c r="K114">
        <v>27411.9</v>
      </c>
    </row>
    <row r="115" spans="1:11" x14ac:dyDescent="0.25">
      <c r="A115">
        <v>2024</v>
      </c>
      <c r="B115">
        <v>6</v>
      </c>
      <c r="C115" s="1">
        <v>45446</v>
      </c>
      <c r="D115" t="s">
        <v>366</v>
      </c>
      <c r="E115" t="s">
        <v>902</v>
      </c>
      <c r="G115">
        <v>-14</v>
      </c>
      <c r="H115">
        <v>14</v>
      </c>
      <c r="I115">
        <v>-14</v>
      </c>
      <c r="J115">
        <v>14</v>
      </c>
      <c r="K115">
        <v>5918.54</v>
      </c>
    </row>
    <row r="116" spans="1:11" x14ac:dyDescent="0.25">
      <c r="A116">
        <v>2024</v>
      </c>
      <c r="B116">
        <v>4</v>
      </c>
      <c r="C116" s="1">
        <v>45387</v>
      </c>
      <c r="D116" t="s">
        <v>269</v>
      </c>
      <c r="E116" t="s">
        <v>902</v>
      </c>
      <c r="G116">
        <v>-3671.32</v>
      </c>
      <c r="H116">
        <v>3671.32</v>
      </c>
      <c r="I116">
        <v>-3671.32</v>
      </c>
      <c r="J116">
        <v>3671.32</v>
      </c>
      <c r="K116">
        <v>12159.85</v>
      </c>
    </row>
    <row r="117" spans="1:11" x14ac:dyDescent="0.25">
      <c r="A117">
        <v>2024</v>
      </c>
      <c r="B117">
        <v>2</v>
      </c>
      <c r="C117" s="1">
        <v>45344</v>
      </c>
      <c r="D117" t="s">
        <v>193</v>
      </c>
      <c r="E117" t="s">
        <v>902</v>
      </c>
      <c r="G117">
        <v>-3636.51</v>
      </c>
      <c r="H117">
        <v>3636.51</v>
      </c>
      <c r="I117">
        <v>-3636.51</v>
      </c>
      <c r="J117">
        <v>3636.51</v>
      </c>
      <c r="K117">
        <v>17886.78</v>
      </c>
    </row>
    <row r="118" spans="1:11" x14ac:dyDescent="0.25">
      <c r="A118">
        <v>2024</v>
      </c>
      <c r="B118">
        <v>5</v>
      </c>
      <c r="C118" s="1">
        <v>45415</v>
      </c>
      <c r="D118" t="s">
        <v>317</v>
      </c>
      <c r="E118" t="s">
        <v>902</v>
      </c>
      <c r="G118">
        <v>-3635.83</v>
      </c>
      <c r="H118">
        <v>3635.83</v>
      </c>
      <c r="I118">
        <v>-3635.83</v>
      </c>
      <c r="J118">
        <v>3635.83</v>
      </c>
      <c r="K118">
        <v>5023.24</v>
      </c>
    </row>
    <row r="119" spans="1:11" x14ac:dyDescent="0.25">
      <c r="A119">
        <v>2024</v>
      </c>
      <c r="B119">
        <v>5</v>
      </c>
      <c r="C119" s="1">
        <v>45419</v>
      </c>
      <c r="D119" t="s">
        <v>326</v>
      </c>
      <c r="E119" t="s">
        <v>902</v>
      </c>
      <c r="G119">
        <v>-14</v>
      </c>
      <c r="H119">
        <v>14</v>
      </c>
      <c r="I119">
        <v>-14</v>
      </c>
      <c r="J119">
        <v>14</v>
      </c>
      <c r="K119">
        <v>7413.48</v>
      </c>
    </row>
    <row r="120" spans="1:11" x14ac:dyDescent="0.25">
      <c r="A120">
        <v>2024</v>
      </c>
      <c r="B120">
        <v>12</v>
      </c>
      <c r="C120" s="1">
        <v>45638</v>
      </c>
      <c r="D120" t="s">
        <v>783</v>
      </c>
      <c r="E120" t="s">
        <v>902</v>
      </c>
      <c r="G120">
        <v>-3522.91</v>
      </c>
      <c r="H120">
        <v>3522.91</v>
      </c>
      <c r="I120">
        <v>-3522.91</v>
      </c>
      <c r="J120">
        <v>3522.91</v>
      </c>
      <c r="K120">
        <v>22874.75</v>
      </c>
    </row>
    <row r="121" spans="1:11" x14ac:dyDescent="0.25">
      <c r="A121">
        <v>2024</v>
      </c>
      <c r="B121">
        <v>4</v>
      </c>
      <c r="C121" s="1">
        <v>45400</v>
      </c>
      <c r="D121" t="s">
        <v>286</v>
      </c>
      <c r="E121" t="s">
        <v>902</v>
      </c>
      <c r="G121">
        <v>-3502.97</v>
      </c>
      <c r="H121">
        <v>3502.97</v>
      </c>
      <c r="I121">
        <v>-3502.97</v>
      </c>
      <c r="J121">
        <v>3502.97</v>
      </c>
      <c r="K121">
        <v>5402.46</v>
      </c>
    </row>
    <row r="122" spans="1:11" x14ac:dyDescent="0.25">
      <c r="A122">
        <v>2024</v>
      </c>
      <c r="B122">
        <v>6</v>
      </c>
      <c r="C122" s="1">
        <v>45470</v>
      </c>
      <c r="D122" t="s">
        <v>405</v>
      </c>
      <c r="E122" t="s">
        <v>902</v>
      </c>
      <c r="G122">
        <v>-3471.15</v>
      </c>
      <c r="H122">
        <v>3471.15</v>
      </c>
      <c r="I122">
        <v>-3471.15</v>
      </c>
      <c r="J122">
        <v>3471.15</v>
      </c>
      <c r="K122">
        <v>56579.21</v>
      </c>
    </row>
    <row r="123" spans="1:11" x14ac:dyDescent="0.25">
      <c r="A123">
        <v>2024</v>
      </c>
      <c r="B123">
        <v>1</v>
      </c>
      <c r="C123" s="1">
        <v>45303</v>
      </c>
      <c r="D123" t="s">
        <v>140</v>
      </c>
      <c r="E123" t="s">
        <v>902</v>
      </c>
      <c r="G123">
        <v>-3368</v>
      </c>
      <c r="H123">
        <v>3368</v>
      </c>
      <c r="I123">
        <v>-3368</v>
      </c>
      <c r="J123">
        <v>3368</v>
      </c>
      <c r="K123">
        <v>20891.169999999998</v>
      </c>
    </row>
    <row r="124" spans="1:11" x14ac:dyDescent="0.25">
      <c r="A124">
        <v>2024</v>
      </c>
      <c r="B124">
        <v>4</v>
      </c>
      <c r="C124" s="1">
        <v>45405</v>
      </c>
      <c r="D124" t="s">
        <v>296</v>
      </c>
      <c r="E124" t="s">
        <v>902</v>
      </c>
      <c r="G124">
        <v>-14</v>
      </c>
      <c r="H124">
        <v>14</v>
      </c>
      <c r="I124">
        <v>-14</v>
      </c>
      <c r="J124">
        <v>14</v>
      </c>
      <c r="K124">
        <v>12193.91</v>
      </c>
    </row>
    <row r="125" spans="1:11" x14ac:dyDescent="0.25">
      <c r="A125">
        <v>2024</v>
      </c>
      <c r="B125">
        <v>5</v>
      </c>
      <c r="C125" s="1">
        <v>45429</v>
      </c>
      <c r="D125" t="s">
        <v>339</v>
      </c>
      <c r="E125" t="s">
        <v>902</v>
      </c>
      <c r="G125">
        <v>-3280.27</v>
      </c>
      <c r="H125">
        <v>3280.27</v>
      </c>
      <c r="I125">
        <v>-3280.27</v>
      </c>
      <c r="J125">
        <v>3280.27</v>
      </c>
      <c r="K125">
        <v>9187.57</v>
      </c>
    </row>
    <row r="126" spans="1:11" x14ac:dyDescent="0.25">
      <c r="A126">
        <v>2024</v>
      </c>
      <c r="B126">
        <v>4</v>
      </c>
      <c r="C126" s="1">
        <v>45387</v>
      </c>
      <c r="D126" t="s">
        <v>271</v>
      </c>
      <c r="E126" t="s">
        <v>902</v>
      </c>
      <c r="G126">
        <v>-14</v>
      </c>
      <c r="H126">
        <v>14</v>
      </c>
      <c r="I126">
        <v>-14</v>
      </c>
      <c r="J126">
        <v>14</v>
      </c>
      <c r="K126">
        <v>12070.34</v>
      </c>
    </row>
    <row r="127" spans="1:11" x14ac:dyDescent="0.25">
      <c r="A127">
        <v>2024</v>
      </c>
      <c r="B127">
        <v>10</v>
      </c>
      <c r="C127" s="1">
        <v>45583</v>
      </c>
      <c r="D127" t="s">
        <v>679</v>
      </c>
      <c r="E127" t="s">
        <v>902</v>
      </c>
      <c r="G127">
        <v>-14.19</v>
      </c>
      <c r="H127">
        <v>14.19</v>
      </c>
      <c r="I127">
        <v>-14.19</v>
      </c>
      <c r="J127">
        <v>14.19</v>
      </c>
      <c r="K127">
        <v>96433.64</v>
      </c>
    </row>
    <row r="128" spans="1:11" x14ac:dyDescent="0.25">
      <c r="A128">
        <v>2024</v>
      </c>
      <c r="B128">
        <v>11</v>
      </c>
      <c r="C128" s="1">
        <v>45623</v>
      </c>
      <c r="D128" t="s">
        <v>760</v>
      </c>
      <c r="E128" t="s">
        <v>902</v>
      </c>
      <c r="G128">
        <v>-14.99</v>
      </c>
      <c r="H128">
        <v>14.99</v>
      </c>
      <c r="I128">
        <v>-14.99</v>
      </c>
      <c r="J128">
        <v>14.99</v>
      </c>
      <c r="K128">
        <v>19846.669999999998</v>
      </c>
    </row>
    <row r="129" spans="1:11" x14ac:dyDescent="0.25">
      <c r="A129">
        <v>2024</v>
      </c>
      <c r="B129">
        <v>4</v>
      </c>
      <c r="C129" s="1">
        <v>45401</v>
      </c>
      <c r="D129" t="s">
        <v>289</v>
      </c>
      <c r="E129" t="s">
        <v>902</v>
      </c>
      <c r="G129">
        <v>-3088</v>
      </c>
      <c r="H129">
        <v>3088</v>
      </c>
      <c r="I129">
        <v>-3088</v>
      </c>
      <c r="J129">
        <v>3088</v>
      </c>
      <c r="K129">
        <v>8600.19</v>
      </c>
    </row>
    <row r="130" spans="1:11" x14ac:dyDescent="0.25">
      <c r="A130">
        <v>2024</v>
      </c>
      <c r="B130">
        <v>10</v>
      </c>
      <c r="C130" s="1">
        <v>45593</v>
      </c>
      <c r="D130" t="s">
        <v>693</v>
      </c>
      <c r="E130" t="s">
        <v>902</v>
      </c>
      <c r="G130">
        <v>-14.99</v>
      </c>
      <c r="H130">
        <v>14.99</v>
      </c>
      <c r="I130">
        <v>-14.99</v>
      </c>
      <c r="J130">
        <v>14.99</v>
      </c>
      <c r="K130">
        <v>74749.119999999995</v>
      </c>
    </row>
    <row r="131" spans="1:11" x14ac:dyDescent="0.25">
      <c r="A131">
        <v>2024</v>
      </c>
      <c r="B131">
        <v>9</v>
      </c>
      <c r="C131" s="1">
        <v>45562</v>
      </c>
      <c r="D131" t="s">
        <v>619</v>
      </c>
      <c r="E131" t="s">
        <v>902</v>
      </c>
      <c r="G131">
        <v>-14.99</v>
      </c>
      <c r="H131">
        <v>14.99</v>
      </c>
      <c r="I131">
        <v>-14.99</v>
      </c>
      <c r="J131">
        <v>14.99</v>
      </c>
      <c r="K131">
        <v>77649.759999999995</v>
      </c>
    </row>
    <row r="132" spans="1:11" x14ac:dyDescent="0.25">
      <c r="A132">
        <v>2024</v>
      </c>
      <c r="B132">
        <v>8</v>
      </c>
      <c r="C132" s="1">
        <v>45531</v>
      </c>
      <c r="D132" t="s">
        <v>537</v>
      </c>
      <c r="E132" t="s">
        <v>902</v>
      </c>
      <c r="G132">
        <v>-14.99</v>
      </c>
      <c r="H132">
        <v>14.99</v>
      </c>
      <c r="I132">
        <v>-14.99</v>
      </c>
      <c r="J132">
        <v>14.99</v>
      </c>
      <c r="K132">
        <v>35250.080000000002</v>
      </c>
    </row>
    <row r="133" spans="1:11" x14ac:dyDescent="0.25">
      <c r="A133">
        <v>2024</v>
      </c>
      <c r="B133">
        <v>1</v>
      </c>
      <c r="C133" s="1">
        <v>45295</v>
      </c>
      <c r="D133" t="s">
        <v>125</v>
      </c>
      <c r="E133" t="s">
        <v>902</v>
      </c>
      <c r="G133">
        <v>-2993.94</v>
      </c>
      <c r="H133">
        <v>2993.94</v>
      </c>
      <c r="I133">
        <v>-2993.94</v>
      </c>
      <c r="J133">
        <v>2993.94</v>
      </c>
      <c r="K133">
        <v>24055.41</v>
      </c>
    </row>
    <row r="134" spans="1:11" x14ac:dyDescent="0.25">
      <c r="A134">
        <v>2024</v>
      </c>
      <c r="B134">
        <v>7</v>
      </c>
      <c r="C134" s="1">
        <v>45502</v>
      </c>
      <c r="D134" t="s">
        <v>471</v>
      </c>
      <c r="E134" t="s">
        <v>902</v>
      </c>
      <c r="G134">
        <v>-14.99</v>
      </c>
      <c r="H134">
        <v>14.99</v>
      </c>
      <c r="I134">
        <v>-14.99</v>
      </c>
      <c r="J134">
        <v>14.99</v>
      </c>
      <c r="K134">
        <v>30623.37</v>
      </c>
    </row>
    <row r="135" spans="1:11" x14ac:dyDescent="0.25">
      <c r="A135">
        <v>2024</v>
      </c>
      <c r="B135">
        <v>1</v>
      </c>
      <c r="C135" s="1">
        <v>45302</v>
      </c>
      <c r="D135" t="s">
        <v>137</v>
      </c>
      <c r="E135" t="s">
        <v>902</v>
      </c>
      <c r="G135">
        <v>-2968.53</v>
      </c>
      <c r="H135">
        <v>2968.53</v>
      </c>
      <c r="I135">
        <v>-2968.53</v>
      </c>
      <c r="J135">
        <v>2968.53</v>
      </c>
      <c r="K135">
        <v>34007.54</v>
      </c>
    </row>
    <row r="136" spans="1:11" x14ac:dyDescent="0.25">
      <c r="A136">
        <v>2024</v>
      </c>
      <c r="B136">
        <v>6</v>
      </c>
      <c r="C136" s="1">
        <v>45470</v>
      </c>
      <c r="D136" t="s">
        <v>403</v>
      </c>
      <c r="E136" t="s">
        <v>902</v>
      </c>
      <c r="G136">
        <v>-14.99</v>
      </c>
      <c r="H136">
        <v>14.99</v>
      </c>
      <c r="I136">
        <v>-14.99</v>
      </c>
      <c r="J136">
        <v>14.99</v>
      </c>
      <c r="K136">
        <v>78408.36</v>
      </c>
    </row>
    <row r="137" spans="1:11" x14ac:dyDescent="0.25">
      <c r="A137">
        <v>2024</v>
      </c>
      <c r="B137">
        <v>10</v>
      </c>
      <c r="C137" s="1">
        <v>45596</v>
      </c>
      <c r="D137" t="s">
        <v>705</v>
      </c>
      <c r="E137" t="s">
        <v>902</v>
      </c>
      <c r="G137">
        <v>-2865.03</v>
      </c>
      <c r="H137">
        <v>2865.03</v>
      </c>
      <c r="I137">
        <v>-2865.03</v>
      </c>
      <c r="J137">
        <v>2865.03</v>
      </c>
      <c r="K137">
        <v>72343.8</v>
      </c>
    </row>
    <row r="138" spans="1:11" x14ac:dyDescent="0.25">
      <c r="A138">
        <v>2024</v>
      </c>
      <c r="B138">
        <v>5</v>
      </c>
      <c r="C138" s="1">
        <v>45440</v>
      </c>
      <c r="D138" t="s">
        <v>355</v>
      </c>
      <c r="E138" t="s">
        <v>902</v>
      </c>
      <c r="G138">
        <v>-14.99</v>
      </c>
      <c r="H138">
        <v>14.99</v>
      </c>
      <c r="I138">
        <v>-14.99</v>
      </c>
      <c r="J138">
        <v>14.99</v>
      </c>
      <c r="K138">
        <v>26195.54</v>
      </c>
    </row>
    <row r="139" spans="1:11" x14ac:dyDescent="0.25">
      <c r="A139">
        <v>2024</v>
      </c>
      <c r="B139">
        <v>4</v>
      </c>
      <c r="C139" s="1">
        <v>45411</v>
      </c>
      <c r="D139" t="s">
        <v>304</v>
      </c>
      <c r="E139" t="s">
        <v>902</v>
      </c>
      <c r="G139">
        <v>-14.99</v>
      </c>
      <c r="H139">
        <v>14.99</v>
      </c>
      <c r="I139">
        <v>-14.99</v>
      </c>
      <c r="J139">
        <v>14.99</v>
      </c>
      <c r="K139">
        <v>21872.23</v>
      </c>
    </row>
    <row r="140" spans="1:11" x14ac:dyDescent="0.25">
      <c r="A140">
        <v>2024</v>
      </c>
      <c r="B140">
        <v>3</v>
      </c>
      <c r="C140" s="1">
        <v>45378</v>
      </c>
      <c r="D140" t="s">
        <v>245</v>
      </c>
      <c r="E140" t="s">
        <v>902</v>
      </c>
      <c r="G140">
        <v>-14.99</v>
      </c>
      <c r="H140">
        <v>14.99</v>
      </c>
      <c r="I140">
        <v>-14.99</v>
      </c>
      <c r="J140">
        <v>14.99</v>
      </c>
      <c r="K140">
        <v>7554.66</v>
      </c>
    </row>
    <row r="141" spans="1:11" x14ac:dyDescent="0.25">
      <c r="A141">
        <v>2024</v>
      </c>
      <c r="B141">
        <v>6</v>
      </c>
      <c r="C141" s="1">
        <v>45456</v>
      </c>
      <c r="D141" t="s">
        <v>378</v>
      </c>
      <c r="E141" t="s">
        <v>902</v>
      </c>
      <c r="G141">
        <v>-2722.64</v>
      </c>
      <c r="H141">
        <v>2722.64</v>
      </c>
      <c r="I141">
        <v>-2722.64</v>
      </c>
      <c r="J141">
        <v>2722.64</v>
      </c>
      <c r="K141">
        <v>44879.66</v>
      </c>
    </row>
    <row r="142" spans="1:11" x14ac:dyDescent="0.25">
      <c r="A142">
        <v>2024</v>
      </c>
      <c r="B142">
        <v>6</v>
      </c>
      <c r="C142" s="1">
        <v>45463</v>
      </c>
      <c r="D142" t="s">
        <v>395</v>
      </c>
      <c r="E142" t="s">
        <v>902</v>
      </c>
      <c r="G142">
        <v>-2700</v>
      </c>
      <c r="H142">
        <v>2700</v>
      </c>
      <c r="I142">
        <v>-2700</v>
      </c>
      <c r="J142">
        <v>2700</v>
      </c>
      <c r="K142">
        <v>53125.599999999999</v>
      </c>
    </row>
    <row r="143" spans="1:11" x14ac:dyDescent="0.25">
      <c r="A143">
        <v>2024</v>
      </c>
      <c r="B143">
        <v>10</v>
      </c>
      <c r="C143" s="1">
        <v>45580</v>
      </c>
      <c r="D143" t="s">
        <v>667</v>
      </c>
      <c r="E143" t="s">
        <v>902</v>
      </c>
      <c r="G143">
        <v>-2566.5</v>
      </c>
      <c r="H143">
        <v>2566.5</v>
      </c>
      <c r="I143">
        <v>-2566.5</v>
      </c>
      <c r="J143">
        <v>2566.5</v>
      </c>
      <c r="K143">
        <v>101401.88</v>
      </c>
    </row>
    <row r="144" spans="1:11" x14ac:dyDescent="0.25">
      <c r="A144">
        <v>2024</v>
      </c>
      <c r="B144">
        <v>11</v>
      </c>
      <c r="C144" s="1">
        <v>45609</v>
      </c>
      <c r="D144" t="s">
        <v>735</v>
      </c>
      <c r="E144" t="s">
        <v>902</v>
      </c>
      <c r="G144">
        <v>-2566.44</v>
      </c>
      <c r="H144">
        <v>2566.44</v>
      </c>
      <c r="I144">
        <v>-2566.44</v>
      </c>
      <c r="J144">
        <v>2566.44</v>
      </c>
      <c r="K144">
        <v>30141.43</v>
      </c>
    </row>
    <row r="145" spans="1:11" x14ac:dyDescent="0.25">
      <c r="A145">
        <v>2024</v>
      </c>
      <c r="B145">
        <v>8</v>
      </c>
      <c r="C145" s="1">
        <v>45530</v>
      </c>
      <c r="D145" t="s">
        <v>530</v>
      </c>
      <c r="E145" t="s">
        <v>902</v>
      </c>
      <c r="G145">
        <v>-2512</v>
      </c>
      <c r="H145">
        <v>2512</v>
      </c>
      <c r="I145">
        <v>-2512</v>
      </c>
      <c r="J145">
        <v>2512</v>
      </c>
      <c r="K145">
        <v>41398.870000000003</v>
      </c>
    </row>
    <row r="146" spans="1:11" x14ac:dyDescent="0.25">
      <c r="A146">
        <v>2024</v>
      </c>
      <c r="B146">
        <v>10</v>
      </c>
      <c r="C146" s="1">
        <v>45574</v>
      </c>
      <c r="D146" t="s">
        <v>660</v>
      </c>
      <c r="E146" t="s">
        <v>902</v>
      </c>
      <c r="G146">
        <v>-2476.88</v>
      </c>
      <c r="H146">
        <v>2476.88</v>
      </c>
      <c r="I146">
        <v>-2476.88</v>
      </c>
      <c r="J146">
        <v>2476.88</v>
      </c>
      <c r="K146">
        <v>66770.28</v>
      </c>
    </row>
    <row r="147" spans="1:11" x14ac:dyDescent="0.25">
      <c r="A147">
        <v>2024</v>
      </c>
      <c r="B147">
        <v>2</v>
      </c>
      <c r="C147" s="1">
        <v>45349</v>
      </c>
      <c r="D147" t="s">
        <v>198</v>
      </c>
      <c r="E147" t="s">
        <v>902</v>
      </c>
      <c r="G147">
        <v>-14.99</v>
      </c>
      <c r="H147">
        <v>14.99</v>
      </c>
      <c r="I147">
        <v>-14.99</v>
      </c>
      <c r="J147">
        <v>14.99</v>
      </c>
      <c r="K147">
        <v>24151.16</v>
      </c>
    </row>
    <row r="148" spans="1:11" x14ac:dyDescent="0.25">
      <c r="A148">
        <v>2024</v>
      </c>
      <c r="B148">
        <v>10</v>
      </c>
      <c r="C148" s="1">
        <v>45595</v>
      </c>
      <c r="D148" t="s">
        <v>698</v>
      </c>
      <c r="E148" t="s">
        <v>902</v>
      </c>
      <c r="G148">
        <v>-2313.0500000000002</v>
      </c>
      <c r="H148">
        <v>2313.0500000000002</v>
      </c>
      <c r="I148">
        <v>-2313.0500000000002</v>
      </c>
      <c r="J148">
        <v>2313.0500000000002</v>
      </c>
      <c r="K148">
        <v>75208.86</v>
      </c>
    </row>
    <row r="149" spans="1:11" x14ac:dyDescent="0.25">
      <c r="A149">
        <v>2024</v>
      </c>
      <c r="B149">
        <v>1</v>
      </c>
      <c r="C149" s="1">
        <v>45300</v>
      </c>
      <c r="D149" t="s">
        <v>130</v>
      </c>
      <c r="E149" t="s">
        <v>902</v>
      </c>
      <c r="G149">
        <v>-2255</v>
      </c>
      <c r="H149">
        <v>2255</v>
      </c>
      <c r="I149">
        <v>-2255</v>
      </c>
      <c r="J149">
        <v>2255</v>
      </c>
      <c r="K149">
        <v>48216.42</v>
      </c>
    </row>
    <row r="150" spans="1:11" x14ac:dyDescent="0.25">
      <c r="A150">
        <v>2024</v>
      </c>
      <c r="B150">
        <v>1</v>
      </c>
      <c r="C150" s="1">
        <v>45320</v>
      </c>
      <c r="D150" t="s">
        <v>160</v>
      </c>
      <c r="E150" t="s">
        <v>902</v>
      </c>
      <c r="G150">
        <v>-14.99</v>
      </c>
      <c r="H150">
        <v>14.99</v>
      </c>
      <c r="I150">
        <v>-14.99</v>
      </c>
      <c r="J150">
        <v>14.99</v>
      </c>
      <c r="K150">
        <v>26577.42</v>
      </c>
    </row>
    <row r="151" spans="1:11" x14ac:dyDescent="0.25">
      <c r="A151">
        <v>2024</v>
      </c>
      <c r="B151">
        <v>9</v>
      </c>
      <c r="C151" s="1">
        <v>45540</v>
      </c>
      <c r="D151" t="s">
        <v>564</v>
      </c>
      <c r="E151" t="s">
        <v>902</v>
      </c>
      <c r="G151">
        <v>-2115.81</v>
      </c>
      <c r="H151">
        <v>2115.81</v>
      </c>
      <c r="I151">
        <v>-2115.81</v>
      </c>
      <c r="J151">
        <v>2115.81</v>
      </c>
      <c r="K151">
        <v>80279.11</v>
      </c>
    </row>
    <row r="152" spans="1:11" x14ac:dyDescent="0.25">
      <c r="A152">
        <v>2024</v>
      </c>
      <c r="B152">
        <v>3</v>
      </c>
      <c r="C152" s="1">
        <v>45376</v>
      </c>
      <c r="D152" t="s">
        <v>243</v>
      </c>
      <c r="E152" t="s">
        <v>902</v>
      </c>
      <c r="G152">
        <v>-2053.81</v>
      </c>
      <c r="H152">
        <v>2053.81</v>
      </c>
      <c r="I152">
        <v>-2053.81</v>
      </c>
      <c r="J152">
        <v>2053.81</v>
      </c>
      <c r="K152">
        <v>7585.65</v>
      </c>
    </row>
    <row r="153" spans="1:11" x14ac:dyDescent="0.25">
      <c r="A153">
        <v>2024</v>
      </c>
      <c r="B153">
        <v>9</v>
      </c>
      <c r="C153" s="1">
        <v>45547</v>
      </c>
      <c r="D153" t="s">
        <v>581</v>
      </c>
      <c r="E153" t="s">
        <v>902</v>
      </c>
      <c r="G153">
        <v>-2053.2199999999998</v>
      </c>
      <c r="H153">
        <v>2053.2199999999998</v>
      </c>
      <c r="I153">
        <v>-2053.2199999999998</v>
      </c>
      <c r="J153">
        <v>2053.2199999999998</v>
      </c>
      <c r="K153">
        <v>67558.8</v>
      </c>
    </row>
    <row r="154" spans="1:11" x14ac:dyDescent="0.25">
      <c r="A154">
        <v>2024</v>
      </c>
      <c r="B154">
        <v>9</v>
      </c>
      <c r="C154" s="1">
        <v>45547</v>
      </c>
      <c r="D154" t="s">
        <v>581</v>
      </c>
      <c r="E154" t="s">
        <v>902</v>
      </c>
      <c r="G154">
        <v>-2053.17</v>
      </c>
      <c r="H154">
        <v>2053.17</v>
      </c>
      <c r="I154">
        <v>-2053.17</v>
      </c>
      <c r="J154">
        <v>2053.17</v>
      </c>
      <c r="K154">
        <v>65505.63</v>
      </c>
    </row>
    <row r="155" spans="1:11" x14ac:dyDescent="0.25">
      <c r="A155">
        <v>2024</v>
      </c>
      <c r="B155">
        <v>5</v>
      </c>
      <c r="C155" s="1">
        <v>45418</v>
      </c>
      <c r="D155" t="s">
        <v>324</v>
      </c>
      <c r="E155" t="s">
        <v>902</v>
      </c>
      <c r="G155">
        <v>-2000</v>
      </c>
      <c r="H155">
        <v>2000</v>
      </c>
      <c r="I155">
        <v>-2000</v>
      </c>
      <c r="J155">
        <v>2000</v>
      </c>
      <c r="K155">
        <v>7480.44</v>
      </c>
    </row>
    <row r="156" spans="1:11" x14ac:dyDescent="0.25">
      <c r="A156">
        <v>2024</v>
      </c>
      <c r="B156">
        <v>10</v>
      </c>
      <c r="C156" s="1">
        <v>45595</v>
      </c>
      <c r="D156" t="s">
        <v>700</v>
      </c>
      <c r="E156" t="s">
        <v>902</v>
      </c>
      <c r="G156">
        <v>-2000</v>
      </c>
      <c r="H156">
        <v>2000</v>
      </c>
      <c r="I156">
        <v>-2000</v>
      </c>
      <c r="J156">
        <v>2000</v>
      </c>
      <c r="K156">
        <v>72008.86</v>
      </c>
    </row>
    <row r="157" spans="1:11" x14ac:dyDescent="0.25">
      <c r="A157">
        <v>2024</v>
      </c>
      <c r="B157">
        <v>10</v>
      </c>
      <c r="C157" s="1">
        <v>45573</v>
      </c>
      <c r="D157" t="s">
        <v>654</v>
      </c>
      <c r="E157" t="s">
        <v>902</v>
      </c>
      <c r="G157">
        <v>-15.03</v>
      </c>
      <c r="H157">
        <v>15.03</v>
      </c>
      <c r="I157">
        <v>-15.03</v>
      </c>
      <c r="J157">
        <v>15.03</v>
      </c>
      <c r="K157">
        <v>69743.649999999994</v>
      </c>
    </row>
    <row r="158" spans="1:11" x14ac:dyDescent="0.25">
      <c r="A158">
        <v>2024</v>
      </c>
      <c r="B158">
        <v>7</v>
      </c>
      <c r="C158" s="1">
        <v>45481</v>
      </c>
      <c r="D158" t="s">
        <v>429</v>
      </c>
      <c r="E158" t="s">
        <v>902</v>
      </c>
      <c r="G158">
        <v>-1971.41</v>
      </c>
      <c r="H158">
        <v>1971.41</v>
      </c>
      <c r="I158">
        <v>-1971.41</v>
      </c>
      <c r="J158">
        <v>1971.41</v>
      </c>
      <c r="K158">
        <v>82863.16</v>
      </c>
    </row>
    <row r="159" spans="1:11" x14ac:dyDescent="0.25">
      <c r="A159">
        <v>2024</v>
      </c>
      <c r="B159">
        <v>4</v>
      </c>
      <c r="C159" s="1">
        <v>45400</v>
      </c>
      <c r="D159" t="s">
        <v>284</v>
      </c>
      <c r="E159" t="s">
        <v>902</v>
      </c>
      <c r="G159">
        <v>-15.37</v>
      </c>
      <c r="H159">
        <v>15.37</v>
      </c>
      <c r="I159">
        <v>-15.37</v>
      </c>
      <c r="J159">
        <v>15.37</v>
      </c>
      <c r="K159">
        <v>27112.71</v>
      </c>
    </row>
    <row r="160" spans="1:11" x14ac:dyDescent="0.25">
      <c r="A160">
        <v>2024</v>
      </c>
      <c r="B160">
        <v>6</v>
      </c>
      <c r="C160" s="1">
        <v>45471</v>
      </c>
      <c r="D160" t="s">
        <v>411</v>
      </c>
      <c r="E160" t="s">
        <v>902</v>
      </c>
      <c r="G160">
        <v>-1948.66</v>
      </c>
      <c r="H160">
        <v>1948.66</v>
      </c>
      <c r="I160">
        <v>-1948.66</v>
      </c>
      <c r="J160">
        <v>1948.66</v>
      </c>
      <c r="K160">
        <v>63356.25</v>
      </c>
    </row>
    <row r="161" spans="1:11" x14ac:dyDescent="0.25">
      <c r="A161">
        <v>2024</v>
      </c>
      <c r="B161">
        <v>2</v>
      </c>
      <c r="C161" s="1">
        <v>45324</v>
      </c>
      <c r="D161" t="s">
        <v>170</v>
      </c>
      <c r="E161" t="s">
        <v>902</v>
      </c>
      <c r="G161">
        <v>-15.56</v>
      </c>
      <c r="H161">
        <v>15.56</v>
      </c>
      <c r="I161">
        <v>-15.56</v>
      </c>
      <c r="J161">
        <v>15.56</v>
      </c>
      <c r="K161">
        <v>36540.6</v>
      </c>
    </row>
    <row r="162" spans="1:11" x14ac:dyDescent="0.25">
      <c r="A162">
        <v>2024</v>
      </c>
      <c r="B162">
        <v>12</v>
      </c>
      <c r="C162" s="1">
        <v>45656</v>
      </c>
      <c r="D162" t="s">
        <v>804</v>
      </c>
      <c r="E162" t="s">
        <v>902</v>
      </c>
      <c r="G162">
        <v>-16</v>
      </c>
      <c r="H162">
        <v>16</v>
      </c>
      <c r="I162">
        <v>-16</v>
      </c>
      <c r="J162">
        <v>16</v>
      </c>
      <c r="K162">
        <v>144366.10999999999</v>
      </c>
    </row>
    <row r="163" spans="1:11" x14ac:dyDescent="0.25">
      <c r="A163">
        <v>2024</v>
      </c>
      <c r="B163">
        <v>8</v>
      </c>
      <c r="C163" s="1">
        <v>45532</v>
      </c>
      <c r="D163" t="s">
        <v>539</v>
      </c>
      <c r="E163" t="s">
        <v>902</v>
      </c>
      <c r="G163">
        <v>-1775.67</v>
      </c>
      <c r="H163">
        <v>1775.67</v>
      </c>
      <c r="I163">
        <v>-1775.67</v>
      </c>
      <c r="J163">
        <v>1775.67</v>
      </c>
      <c r="K163">
        <v>33326.720000000001</v>
      </c>
    </row>
    <row r="164" spans="1:11" x14ac:dyDescent="0.25">
      <c r="A164">
        <v>2024</v>
      </c>
      <c r="B164">
        <v>12</v>
      </c>
      <c r="C164" s="1">
        <v>45629</v>
      </c>
      <c r="D164" t="s">
        <v>775</v>
      </c>
      <c r="E164" t="s">
        <v>902</v>
      </c>
      <c r="G164">
        <v>-16</v>
      </c>
      <c r="H164">
        <v>16</v>
      </c>
      <c r="I164">
        <v>-16</v>
      </c>
      <c r="J164">
        <v>16</v>
      </c>
      <c r="K164">
        <v>3156.27</v>
      </c>
    </row>
    <row r="165" spans="1:11" x14ac:dyDescent="0.25">
      <c r="A165">
        <v>2024</v>
      </c>
      <c r="B165">
        <v>2</v>
      </c>
      <c r="C165" s="1">
        <v>45335</v>
      </c>
      <c r="D165" t="s">
        <v>183</v>
      </c>
      <c r="E165" t="s">
        <v>902</v>
      </c>
      <c r="G165">
        <v>-1677.56</v>
      </c>
      <c r="H165">
        <v>1677.56</v>
      </c>
      <c r="I165">
        <v>-1677.56</v>
      </c>
      <c r="J165">
        <v>1677.56</v>
      </c>
      <c r="K165">
        <v>18118.669999999998</v>
      </c>
    </row>
    <row r="166" spans="1:11" x14ac:dyDescent="0.25">
      <c r="A166">
        <v>2024</v>
      </c>
      <c r="B166">
        <v>9</v>
      </c>
      <c r="C166" s="1">
        <v>45541</v>
      </c>
      <c r="D166" t="s">
        <v>573</v>
      </c>
      <c r="E166" t="s">
        <v>902</v>
      </c>
      <c r="G166">
        <v>-16</v>
      </c>
      <c r="H166">
        <v>16</v>
      </c>
      <c r="I166">
        <v>-16</v>
      </c>
      <c r="J166">
        <v>16</v>
      </c>
      <c r="K166">
        <v>48686.81</v>
      </c>
    </row>
    <row r="167" spans="1:11" x14ac:dyDescent="0.25">
      <c r="A167">
        <v>2024</v>
      </c>
      <c r="B167">
        <v>7</v>
      </c>
      <c r="C167" s="1">
        <v>45492</v>
      </c>
      <c r="D167" t="s">
        <v>449</v>
      </c>
      <c r="E167" t="s">
        <v>902</v>
      </c>
      <c r="G167">
        <v>-1640.36</v>
      </c>
      <c r="H167">
        <v>1640.36</v>
      </c>
      <c r="I167">
        <v>-1640.36</v>
      </c>
      <c r="J167">
        <v>1640.36</v>
      </c>
      <c r="K167">
        <v>49112.63</v>
      </c>
    </row>
    <row r="168" spans="1:11" x14ac:dyDescent="0.25">
      <c r="A168">
        <v>2024</v>
      </c>
      <c r="B168">
        <v>3</v>
      </c>
      <c r="C168" s="1">
        <v>45376</v>
      </c>
      <c r="D168" t="s">
        <v>244</v>
      </c>
      <c r="E168" t="s">
        <v>902</v>
      </c>
      <c r="G168">
        <v>-16</v>
      </c>
      <c r="H168">
        <v>16</v>
      </c>
      <c r="I168">
        <v>-16</v>
      </c>
      <c r="J168">
        <v>16</v>
      </c>
      <c r="K168">
        <v>7569.65</v>
      </c>
    </row>
    <row r="169" spans="1:11" x14ac:dyDescent="0.25">
      <c r="A169">
        <v>2024</v>
      </c>
      <c r="B169">
        <v>11</v>
      </c>
      <c r="C169" s="1">
        <v>45614</v>
      </c>
      <c r="D169" t="s">
        <v>748</v>
      </c>
      <c r="E169" t="s">
        <v>902</v>
      </c>
      <c r="G169">
        <v>-1601.1</v>
      </c>
      <c r="H169">
        <v>1601.1</v>
      </c>
      <c r="I169">
        <v>-1601.1</v>
      </c>
      <c r="J169">
        <v>1601.1</v>
      </c>
      <c r="K169">
        <v>4633.67</v>
      </c>
    </row>
    <row r="170" spans="1:11" x14ac:dyDescent="0.25">
      <c r="A170">
        <v>2024</v>
      </c>
      <c r="B170">
        <v>8</v>
      </c>
      <c r="C170" s="1">
        <v>45506</v>
      </c>
      <c r="D170" t="s">
        <v>487</v>
      </c>
      <c r="E170" t="s">
        <v>902</v>
      </c>
      <c r="G170">
        <v>-1598</v>
      </c>
      <c r="H170">
        <v>1598</v>
      </c>
      <c r="I170">
        <v>-1598</v>
      </c>
      <c r="J170">
        <v>1598</v>
      </c>
      <c r="K170">
        <v>44088.15</v>
      </c>
    </row>
    <row r="171" spans="1:11" x14ac:dyDescent="0.25">
      <c r="A171">
        <v>2024</v>
      </c>
      <c r="B171">
        <v>10</v>
      </c>
      <c r="C171" s="1">
        <v>45566</v>
      </c>
      <c r="D171" t="s">
        <v>308</v>
      </c>
      <c r="E171" t="s">
        <v>902</v>
      </c>
      <c r="G171">
        <v>-1573.87</v>
      </c>
      <c r="H171">
        <v>1573.87</v>
      </c>
      <c r="I171">
        <v>-1573.87</v>
      </c>
      <c r="J171">
        <v>1573.87</v>
      </c>
      <c r="K171">
        <v>87574.85</v>
      </c>
    </row>
    <row r="172" spans="1:11" x14ac:dyDescent="0.25">
      <c r="A172">
        <v>2024</v>
      </c>
      <c r="B172">
        <v>11</v>
      </c>
      <c r="C172" s="1">
        <v>45609</v>
      </c>
      <c r="D172" t="s">
        <v>735</v>
      </c>
      <c r="E172" t="s">
        <v>902</v>
      </c>
      <c r="G172">
        <v>-1539.94</v>
      </c>
      <c r="H172">
        <v>1539.94</v>
      </c>
      <c r="I172">
        <v>-1539.94</v>
      </c>
      <c r="J172">
        <v>1539.94</v>
      </c>
      <c r="K172">
        <v>28601.49</v>
      </c>
    </row>
    <row r="173" spans="1:11" x14ac:dyDescent="0.25">
      <c r="A173">
        <v>2024</v>
      </c>
      <c r="B173">
        <v>7</v>
      </c>
      <c r="C173" s="1">
        <v>45495</v>
      </c>
      <c r="D173" t="s">
        <v>453</v>
      </c>
      <c r="E173" t="s">
        <v>902</v>
      </c>
      <c r="G173">
        <v>-1524.69</v>
      </c>
      <c r="H173">
        <v>1524.69</v>
      </c>
      <c r="I173">
        <v>-1524.69</v>
      </c>
      <c r="J173">
        <v>1524.69</v>
      </c>
      <c r="K173">
        <v>50258.79</v>
      </c>
    </row>
    <row r="174" spans="1:11" x14ac:dyDescent="0.25">
      <c r="A174">
        <v>2024</v>
      </c>
      <c r="B174">
        <v>8</v>
      </c>
      <c r="C174" s="1">
        <v>45524</v>
      </c>
      <c r="D174" t="s">
        <v>521</v>
      </c>
      <c r="E174" t="s">
        <v>902</v>
      </c>
      <c r="G174">
        <v>-1512.13</v>
      </c>
      <c r="H174">
        <v>1512.13</v>
      </c>
      <c r="I174">
        <v>-1512.13</v>
      </c>
      <c r="J174">
        <v>1512.13</v>
      </c>
      <c r="K174">
        <v>60337.07</v>
      </c>
    </row>
    <row r="175" spans="1:11" x14ac:dyDescent="0.25">
      <c r="A175">
        <v>2024</v>
      </c>
      <c r="B175">
        <v>9</v>
      </c>
      <c r="C175" s="1">
        <v>45541</v>
      </c>
      <c r="D175" t="s">
        <v>569</v>
      </c>
      <c r="E175" t="s">
        <v>902</v>
      </c>
      <c r="G175">
        <v>-1500</v>
      </c>
      <c r="H175">
        <v>1500</v>
      </c>
      <c r="I175">
        <v>-1500</v>
      </c>
      <c r="J175">
        <v>1500</v>
      </c>
      <c r="K175">
        <v>78496.95</v>
      </c>
    </row>
    <row r="176" spans="1:11" x14ac:dyDescent="0.25">
      <c r="A176">
        <v>2024</v>
      </c>
      <c r="B176">
        <v>7</v>
      </c>
      <c r="C176" s="1">
        <v>45504</v>
      </c>
      <c r="D176" t="s">
        <v>478</v>
      </c>
      <c r="E176" t="s">
        <v>902</v>
      </c>
      <c r="G176">
        <v>-16.12</v>
      </c>
      <c r="H176">
        <v>16.12</v>
      </c>
      <c r="I176">
        <v>-16.12</v>
      </c>
      <c r="J176">
        <v>16.12</v>
      </c>
      <c r="K176">
        <v>31476.95</v>
      </c>
    </row>
    <row r="177" spans="1:11" x14ac:dyDescent="0.25">
      <c r="A177">
        <v>2024</v>
      </c>
      <c r="B177">
        <v>6</v>
      </c>
      <c r="C177" s="1">
        <v>45456</v>
      </c>
      <c r="D177" t="s">
        <v>379</v>
      </c>
      <c r="E177" t="s">
        <v>902</v>
      </c>
      <c r="G177">
        <v>-1484.4</v>
      </c>
      <c r="H177">
        <v>1484.4</v>
      </c>
      <c r="I177">
        <v>-1484.4</v>
      </c>
      <c r="J177">
        <v>1484.4</v>
      </c>
      <c r="K177">
        <v>43395.26</v>
      </c>
    </row>
    <row r="178" spans="1:11" x14ac:dyDescent="0.25">
      <c r="A178">
        <v>2024</v>
      </c>
      <c r="B178">
        <v>7</v>
      </c>
      <c r="C178" s="1">
        <v>45499</v>
      </c>
      <c r="D178" t="s">
        <v>465</v>
      </c>
      <c r="E178" t="s">
        <v>902</v>
      </c>
      <c r="G178">
        <v>-1479.22</v>
      </c>
      <c r="H178">
        <v>1479.22</v>
      </c>
      <c r="I178">
        <v>-1479.22</v>
      </c>
      <c r="J178">
        <v>1479.22</v>
      </c>
      <c r="K178">
        <v>19993.009999999998</v>
      </c>
    </row>
    <row r="179" spans="1:11" x14ac:dyDescent="0.25">
      <c r="A179">
        <v>2024</v>
      </c>
      <c r="B179">
        <v>6</v>
      </c>
      <c r="C179" s="1">
        <v>45470</v>
      </c>
      <c r="D179" t="s">
        <v>401</v>
      </c>
      <c r="E179" t="s">
        <v>902</v>
      </c>
      <c r="G179">
        <v>-1478</v>
      </c>
      <c r="H179">
        <v>1478</v>
      </c>
      <c r="I179">
        <v>-1478</v>
      </c>
      <c r="J179">
        <v>1478</v>
      </c>
      <c r="K179">
        <v>78919.17</v>
      </c>
    </row>
    <row r="180" spans="1:11" x14ac:dyDescent="0.25">
      <c r="A180">
        <v>2024</v>
      </c>
      <c r="B180">
        <v>9</v>
      </c>
      <c r="C180" s="1">
        <v>45561</v>
      </c>
      <c r="D180" t="s">
        <v>614</v>
      </c>
      <c r="E180" t="s">
        <v>902</v>
      </c>
      <c r="G180">
        <v>-1445</v>
      </c>
      <c r="H180">
        <v>1445</v>
      </c>
      <c r="I180">
        <v>-1445</v>
      </c>
      <c r="J180">
        <v>1445</v>
      </c>
      <c r="K180">
        <v>81530.55</v>
      </c>
    </row>
    <row r="181" spans="1:11" x14ac:dyDescent="0.25">
      <c r="A181">
        <v>2024</v>
      </c>
      <c r="B181">
        <v>5</v>
      </c>
      <c r="C181" s="1">
        <v>45441</v>
      </c>
      <c r="D181" t="s">
        <v>356</v>
      </c>
      <c r="E181" t="s">
        <v>902</v>
      </c>
      <c r="G181">
        <v>-1428</v>
      </c>
      <c r="H181">
        <v>1428</v>
      </c>
      <c r="I181">
        <v>-1428</v>
      </c>
      <c r="J181">
        <v>1428</v>
      </c>
      <c r="K181">
        <v>24717.54</v>
      </c>
    </row>
    <row r="182" spans="1:11" x14ac:dyDescent="0.25">
      <c r="A182">
        <v>2024</v>
      </c>
      <c r="B182">
        <v>3</v>
      </c>
      <c r="C182" s="1">
        <v>45380</v>
      </c>
      <c r="D182" t="s">
        <v>256</v>
      </c>
      <c r="E182" t="s">
        <v>902</v>
      </c>
      <c r="G182">
        <v>-17.010000000000002</v>
      </c>
      <c r="H182">
        <v>17.010000000000002</v>
      </c>
      <c r="I182">
        <v>-17.010000000000002</v>
      </c>
      <c r="J182">
        <v>17.010000000000002</v>
      </c>
      <c r="K182">
        <v>21459.55</v>
      </c>
    </row>
    <row r="183" spans="1:11" x14ac:dyDescent="0.25">
      <c r="A183">
        <v>2024</v>
      </c>
      <c r="B183">
        <v>2</v>
      </c>
      <c r="C183" s="1">
        <v>45349</v>
      </c>
      <c r="D183" t="s">
        <v>199</v>
      </c>
      <c r="E183" t="s">
        <v>902</v>
      </c>
      <c r="G183">
        <v>-1388.76</v>
      </c>
      <c r="H183">
        <v>1388.76</v>
      </c>
      <c r="I183">
        <v>-1388.76</v>
      </c>
      <c r="J183">
        <v>1388.76</v>
      </c>
      <c r="K183">
        <v>22762.400000000001</v>
      </c>
    </row>
    <row r="184" spans="1:11" x14ac:dyDescent="0.25">
      <c r="A184">
        <v>2024</v>
      </c>
      <c r="B184">
        <v>2</v>
      </c>
      <c r="C184" s="1">
        <v>45349</v>
      </c>
      <c r="D184" t="s">
        <v>197</v>
      </c>
      <c r="E184" t="s">
        <v>902</v>
      </c>
      <c r="G184">
        <v>-1384.18</v>
      </c>
      <c r="H184">
        <v>1384.18</v>
      </c>
      <c r="I184">
        <v>-1384.18</v>
      </c>
      <c r="J184">
        <v>1384.18</v>
      </c>
      <c r="K184">
        <v>25002.44</v>
      </c>
    </row>
    <row r="185" spans="1:11" x14ac:dyDescent="0.25">
      <c r="A185">
        <v>2024</v>
      </c>
      <c r="B185">
        <v>11</v>
      </c>
      <c r="C185" s="1">
        <v>45597</v>
      </c>
      <c r="D185" t="s">
        <v>308</v>
      </c>
      <c r="E185" t="s">
        <v>902</v>
      </c>
      <c r="G185">
        <v>-1355.56</v>
      </c>
      <c r="H185">
        <v>1355.56</v>
      </c>
      <c r="I185">
        <v>-1355.56</v>
      </c>
      <c r="J185">
        <v>1355.56</v>
      </c>
      <c r="K185">
        <v>30307.4</v>
      </c>
    </row>
    <row r="186" spans="1:11" x14ac:dyDescent="0.25">
      <c r="A186">
        <v>2024</v>
      </c>
      <c r="B186">
        <v>8</v>
      </c>
      <c r="C186" s="1">
        <v>45534</v>
      </c>
      <c r="D186" t="s">
        <v>545</v>
      </c>
      <c r="E186" t="s">
        <v>902</v>
      </c>
      <c r="G186">
        <v>-1347.12</v>
      </c>
      <c r="H186">
        <v>1347.12</v>
      </c>
      <c r="I186">
        <v>-1347.12</v>
      </c>
      <c r="J186">
        <v>1347.12</v>
      </c>
      <c r="K186">
        <v>31350.45</v>
      </c>
    </row>
    <row r="187" spans="1:11" x14ac:dyDescent="0.25">
      <c r="A187">
        <v>2024</v>
      </c>
      <c r="B187">
        <v>4</v>
      </c>
      <c r="C187" s="1">
        <v>45405</v>
      </c>
      <c r="D187" t="s">
        <v>295</v>
      </c>
      <c r="E187" t="s">
        <v>902</v>
      </c>
      <c r="G187">
        <v>-1317.99</v>
      </c>
      <c r="H187">
        <v>1317.99</v>
      </c>
      <c r="I187">
        <v>-1317.99</v>
      </c>
      <c r="J187">
        <v>1317.99</v>
      </c>
      <c r="K187">
        <v>12207.91</v>
      </c>
    </row>
    <row r="188" spans="1:11" x14ac:dyDescent="0.25">
      <c r="A188">
        <v>2024</v>
      </c>
      <c r="B188">
        <v>11</v>
      </c>
      <c r="C188" s="1">
        <v>45614</v>
      </c>
      <c r="D188" t="s">
        <v>749</v>
      </c>
      <c r="E188" t="s">
        <v>902</v>
      </c>
      <c r="G188">
        <v>-18</v>
      </c>
      <c r="H188">
        <v>18</v>
      </c>
      <c r="I188">
        <v>-18</v>
      </c>
      <c r="J188">
        <v>18</v>
      </c>
      <c r="K188">
        <v>4615.67</v>
      </c>
    </row>
    <row r="189" spans="1:11" x14ac:dyDescent="0.25">
      <c r="A189">
        <v>2024</v>
      </c>
      <c r="B189">
        <v>2</v>
      </c>
      <c r="C189" s="1">
        <v>45327</v>
      </c>
      <c r="D189" t="s">
        <v>173</v>
      </c>
      <c r="E189" t="s">
        <v>902</v>
      </c>
      <c r="G189">
        <v>-1311.14</v>
      </c>
      <c r="H189">
        <v>1311.14</v>
      </c>
      <c r="I189">
        <v>-1311.14</v>
      </c>
      <c r="J189">
        <v>1311.14</v>
      </c>
      <c r="K189">
        <v>35192.76</v>
      </c>
    </row>
    <row r="190" spans="1:11" x14ac:dyDescent="0.25">
      <c r="A190">
        <v>2024</v>
      </c>
      <c r="B190">
        <v>5</v>
      </c>
      <c r="C190" s="1">
        <v>45436</v>
      </c>
      <c r="D190" t="s">
        <v>347</v>
      </c>
      <c r="E190" t="s">
        <v>902</v>
      </c>
      <c r="G190">
        <v>-1280.52</v>
      </c>
      <c r="H190">
        <v>1280.52</v>
      </c>
      <c r="I190">
        <v>-1280.52</v>
      </c>
      <c r="J190">
        <v>1280.52</v>
      </c>
      <c r="K190">
        <v>17254.349999999999</v>
      </c>
    </row>
    <row r="191" spans="1:11" x14ac:dyDescent="0.25">
      <c r="A191">
        <v>2024</v>
      </c>
      <c r="B191">
        <v>11</v>
      </c>
      <c r="C191" s="1">
        <v>45600</v>
      </c>
      <c r="D191" t="s">
        <v>722</v>
      </c>
      <c r="E191" t="s">
        <v>902</v>
      </c>
      <c r="G191">
        <v>-18</v>
      </c>
      <c r="H191">
        <v>18</v>
      </c>
      <c r="I191">
        <v>-18</v>
      </c>
      <c r="J191">
        <v>18</v>
      </c>
      <c r="K191">
        <v>40741.26</v>
      </c>
    </row>
    <row r="192" spans="1:11" x14ac:dyDescent="0.25">
      <c r="A192">
        <v>2024</v>
      </c>
      <c r="B192">
        <v>6</v>
      </c>
      <c r="C192" s="1">
        <v>45471</v>
      </c>
      <c r="D192" t="s">
        <v>409</v>
      </c>
      <c r="E192" t="s">
        <v>902</v>
      </c>
      <c r="G192">
        <v>-1270.3900000000001</v>
      </c>
      <c r="H192">
        <v>1270.3900000000001</v>
      </c>
      <c r="I192">
        <v>-1270.3900000000001</v>
      </c>
      <c r="J192">
        <v>1270.3900000000001</v>
      </c>
      <c r="K192">
        <v>65435.71</v>
      </c>
    </row>
    <row r="193" spans="1:11" x14ac:dyDescent="0.25">
      <c r="A193">
        <v>2024</v>
      </c>
      <c r="B193">
        <v>6</v>
      </c>
      <c r="C193" s="1">
        <v>45460</v>
      </c>
      <c r="D193" t="s">
        <v>389</v>
      </c>
      <c r="E193" t="s">
        <v>902</v>
      </c>
      <c r="G193">
        <v>-1261.74</v>
      </c>
      <c r="H193">
        <v>1261.74</v>
      </c>
      <c r="I193">
        <v>-1261.74</v>
      </c>
      <c r="J193">
        <v>1261.74</v>
      </c>
      <c r="K193">
        <v>33137.72</v>
      </c>
    </row>
    <row r="194" spans="1:11" x14ac:dyDescent="0.25">
      <c r="A194">
        <v>2024</v>
      </c>
      <c r="B194">
        <v>9</v>
      </c>
      <c r="C194" s="1">
        <v>45553</v>
      </c>
      <c r="D194" t="s">
        <v>596</v>
      </c>
      <c r="E194" t="s">
        <v>902</v>
      </c>
      <c r="G194">
        <v>-1260.4100000000001</v>
      </c>
      <c r="H194">
        <v>1260.4100000000001</v>
      </c>
      <c r="I194">
        <v>-1260.4100000000001</v>
      </c>
      <c r="J194">
        <v>1260.4100000000001</v>
      </c>
      <c r="K194">
        <v>84212.75</v>
      </c>
    </row>
    <row r="195" spans="1:11" x14ac:dyDescent="0.25">
      <c r="A195">
        <v>2024</v>
      </c>
      <c r="B195">
        <v>10</v>
      </c>
      <c r="C195" s="1">
        <v>45586</v>
      </c>
      <c r="D195" t="s">
        <v>688</v>
      </c>
      <c r="E195" t="s">
        <v>902</v>
      </c>
      <c r="G195">
        <v>-18</v>
      </c>
      <c r="H195">
        <v>18</v>
      </c>
      <c r="I195">
        <v>-18</v>
      </c>
      <c r="J195">
        <v>18</v>
      </c>
      <c r="K195">
        <v>72412.73</v>
      </c>
    </row>
    <row r="196" spans="1:11" x14ac:dyDescent="0.25">
      <c r="A196">
        <v>2024</v>
      </c>
      <c r="B196">
        <v>4</v>
      </c>
      <c r="C196" s="1">
        <v>45411</v>
      </c>
      <c r="D196" t="s">
        <v>305</v>
      </c>
      <c r="E196" t="s">
        <v>902</v>
      </c>
      <c r="G196">
        <v>-1248.1199999999999</v>
      </c>
      <c r="H196">
        <v>1248.1199999999999</v>
      </c>
      <c r="I196">
        <v>-1248.1199999999999</v>
      </c>
      <c r="J196">
        <v>1248.1199999999999</v>
      </c>
      <c r="K196">
        <v>20624.11</v>
      </c>
    </row>
    <row r="197" spans="1:11" x14ac:dyDescent="0.25">
      <c r="A197">
        <v>2024</v>
      </c>
      <c r="B197">
        <v>9</v>
      </c>
      <c r="C197" s="1">
        <v>45552</v>
      </c>
      <c r="D197" t="s">
        <v>592</v>
      </c>
      <c r="E197" t="s">
        <v>902</v>
      </c>
      <c r="G197">
        <v>-1200</v>
      </c>
      <c r="H197">
        <v>1200</v>
      </c>
      <c r="I197">
        <v>-1200</v>
      </c>
      <c r="J197">
        <v>1200</v>
      </c>
      <c r="K197">
        <v>85813.48</v>
      </c>
    </row>
    <row r="198" spans="1:11" x14ac:dyDescent="0.25">
      <c r="A198">
        <v>2024</v>
      </c>
      <c r="B198">
        <v>10</v>
      </c>
      <c r="C198" s="1">
        <v>45567</v>
      </c>
      <c r="D198" t="s">
        <v>635</v>
      </c>
      <c r="E198" t="s">
        <v>902</v>
      </c>
      <c r="G198">
        <v>-1200</v>
      </c>
      <c r="H198">
        <v>1200</v>
      </c>
      <c r="I198">
        <v>-1200</v>
      </c>
      <c r="J198">
        <v>1200</v>
      </c>
      <c r="K198">
        <v>78014.41</v>
      </c>
    </row>
    <row r="199" spans="1:11" x14ac:dyDescent="0.25">
      <c r="A199">
        <v>2024</v>
      </c>
      <c r="B199">
        <v>10</v>
      </c>
      <c r="C199" s="1">
        <v>45581</v>
      </c>
      <c r="D199" t="s">
        <v>675</v>
      </c>
      <c r="E199" t="s">
        <v>902</v>
      </c>
      <c r="G199">
        <v>-1200</v>
      </c>
      <c r="H199">
        <v>1200</v>
      </c>
      <c r="I199">
        <v>-1200</v>
      </c>
      <c r="J199">
        <v>1200</v>
      </c>
      <c r="K199">
        <v>96852.800000000003</v>
      </c>
    </row>
    <row r="200" spans="1:11" x14ac:dyDescent="0.25">
      <c r="A200">
        <v>2024</v>
      </c>
      <c r="B200">
        <v>10</v>
      </c>
      <c r="C200" s="1">
        <v>45595</v>
      </c>
      <c r="D200" t="s">
        <v>699</v>
      </c>
      <c r="E200" t="s">
        <v>902</v>
      </c>
      <c r="G200">
        <v>-1200</v>
      </c>
      <c r="H200">
        <v>1200</v>
      </c>
      <c r="I200">
        <v>-1200</v>
      </c>
      <c r="J200">
        <v>1200</v>
      </c>
      <c r="K200">
        <v>74008.86</v>
      </c>
    </row>
    <row r="201" spans="1:11" x14ac:dyDescent="0.25">
      <c r="A201">
        <v>2024</v>
      </c>
      <c r="B201">
        <v>10</v>
      </c>
      <c r="C201" s="1">
        <v>45569</v>
      </c>
      <c r="D201" t="s">
        <v>651</v>
      </c>
      <c r="E201" t="s">
        <v>902</v>
      </c>
      <c r="G201">
        <v>-18</v>
      </c>
      <c r="H201">
        <v>18</v>
      </c>
      <c r="I201">
        <v>-18</v>
      </c>
      <c r="J201">
        <v>18</v>
      </c>
      <c r="K201">
        <v>41953.77</v>
      </c>
    </row>
    <row r="202" spans="1:11" x14ac:dyDescent="0.25">
      <c r="A202">
        <v>2024</v>
      </c>
      <c r="B202">
        <v>7</v>
      </c>
      <c r="C202" s="1">
        <v>45474</v>
      </c>
      <c r="D202" t="s">
        <v>308</v>
      </c>
      <c r="E202" t="s">
        <v>902</v>
      </c>
      <c r="G202">
        <v>-1151.3699999999999</v>
      </c>
      <c r="H202">
        <v>1151.3699999999999</v>
      </c>
      <c r="I202">
        <v>-1151.3699999999999</v>
      </c>
      <c r="J202">
        <v>1151.3699999999999</v>
      </c>
      <c r="K202">
        <v>61672.18</v>
      </c>
    </row>
    <row r="203" spans="1:11" x14ac:dyDescent="0.25">
      <c r="A203">
        <v>2024</v>
      </c>
      <c r="B203">
        <v>9</v>
      </c>
      <c r="C203" s="1">
        <v>45555</v>
      </c>
      <c r="D203" t="s">
        <v>607</v>
      </c>
      <c r="E203" t="s">
        <v>902</v>
      </c>
      <c r="G203">
        <v>-18</v>
      </c>
      <c r="H203">
        <v>18</v>
      </c>
      <c r="I203">
        <v>-18</v>
      </c>
      <c r="J203">
        <v>18</v>
      </c>
      <c r="K203">
        <v>56494.22</v>
      </c>
    </row>
    <row r="204" spans="1:11" x14ac:dyDescent="0.25">
      <c r="A204">
        <v>2024</v>
      </c>
      <c r="B204">
        <v>2</v>
      </c>
      <c r="C204" s="1">
        <v>45335</v>
      </c>
      <c r="D204" t="s">
        <v>184</v>
      </c>
      <c r="E204" t="s">
        <v>902</v>
      </c>
      <c r="G204">
        <v>-1120</v>
      </c>
      <c r="H204">
        <v>1120</v>
      </c>
      <c r="I204">
        <v>-1120</v>
      </c>
      <c r="J204">
        <v>1120</v>
      </c>
      <c r="K204">
        <v>16998.669999999998</v>
      </c>
    </row>
    <row r="205" spans="1:11" x14ac:dyDescent="0.25">
      <c r="A205">
        <v>2024</v>
      </c>
      <c r="B205">
        <v>10</v>
      </c>
      <c r="C205" s="1">
        <v>45583</v>
      </c>
      <c r="D205" t="s">
        <v>682</v>
      </c>
      <c r="E205" t="s">
        <v>902</v>
      </c>
      <c r="G205">
        <v>-1095.83</v>
      </c>
      <c r="H205">
        <v>1095.83</v>
      </c>
      <c r="I205">
        <v>-1095.83</v>
      </c>
      <c r="J205">
        <v>1095.83</v>
      </c>
      <c r="K205">
        <v>63240.17</v>
      </c>
    </row>
    <row r="206" spans="1:11" x14ac:dyDescent="0.25">
      <c r="A206">
        <v>2024</v>
      </c>
      <c r="B206">
        <v>4</v>
      </c>
      <c r="C206" s="1">
        <v>45400</v>
      </c>
      <c r="D206" t="s">
        <v>287</v>
      </c>
      <c r="E206" t="s">
        <v>902</v>
      </c>
      <c r="G206">
        <v>-1076.3</v>
      </c>
      <c r="H206">
        <v>1076.3</v>
      </c>
      <c r="I206">
        <v>-1076.3</v>
      </c>
      <c r="J206">
        <v>1076.3</v>
      </c>
      <c r="K206">
        <v>4326.16</v>
      </c>
    </row>
    <row r="207" spans="1:11" x14ac:dyDescent="0.25">
      <c r="A207">
        <v>2024</v>
      </c>
      <c r="B207">
        <v>1</v>
      </c>
      <c r="C207" s="1">
        <v>45300</v>
      </c>
      <c r="D207" t="s">
        <v>131</v>
      </c>
      <c r="E207" t="s">
        <v>902</v>
      </c>
      <c r="G207">
        <v>-1076.05</v>
      </c>
      <c r="H207">
        <v>1076.05</v>
      </c>
      <c r="I207">
        <v>-1076.05</v>
      </c>
      <c r="J207">
        <v>1076.05</v>
      </c>
      <c r="K207">
        <v>47140.37</v>
      </c>
    </row>
    <row r="208" spans="1:11" x14ac:dyDescent="0.25">
      <c r="A208">
        <v>2024</v>
      </c>
      <c r="B208">
        <v>8</v>
      </c>
      <c r="C208" s="1">
        <v>45527</v>
      </c>
      <c r="D208" t="s">
        <v>525</v>
      </c>
      <c r="E208" t="s">
        <v>902</v>
      </c>
      <c r="G208">
        <v>-1062.97</v>
      </c>
      <c r="H208">
        <v>1062.97</v>
      </c>
      <c r="I208">
        <v>-1062.97</v>
      </c>
      <c r="J208">
        <v>1062.97</v>
      </c>
      <c r="K208">
        <v>55602.23</v>
      </c>
    </row>
    <row r="209" spans="1:11" x14ac:dyDescent="0.25">
      <c r="A209">
        <v>2024</v>
      </c>
      <c r="B209">
        <v>5</v>
      </c>
      <c r="C209" s="1">
        <v>45429</v>
      </c>
      <c r="D209" t="s">
        <v>340</v>
      </c>
      <c r="E209" t="s">
        <v>902</v>
      </c>
      <c r="G209">
        <v>-1054.1300000000001</v>
      </c>
      <c r="H209">
        <v>1054.1300000000001</v>
      </c>
      <c r="I209">
        <v>-1054.1300000000001</v>
      </c>
      <c r="J209">
        <v>1054.1300000000001</v>
      </c>
      <c r="K209">
        <v>8133.44</v>
      </c>
    </row>
    <row r="210" spans="1:11" x14ac:dyDescent="0.25">
      <c r="A210">
        <v>2024</v>
      </c>
      <c r="B210">
        <v>1</v>
      </c>
      <c r="C210" s="1">
        <v>45295</v>
      </c>
      <c r="D210" t="s">
        <v>124</v>
      </c>
      <c r="E210" t="s">
        <v>902</v>
      </c>
      <c r="G210">
        <v>-1050.6099999999999</v>
      </c>
      <c r="H210">
        <v>1050.6099999999999</v>
      </c>
      <c r="I210">
        <v>-1050.6099999999999</v>
      </c>
      <c r="J210">
        <v>1050.6099999999999</v>
      </c>
      <c r="K210">
        <v>27049.35</v>
      </c>
    </row>
    <row r="211" spans="1:11" x14ac:dyDescent="0.25">
      <c r="A211">
        <v>2024</v>
      </c>
      <c r="B211">
        <v>10</v>
      </c>
      <c r="C211" s="1">
        <v>45580</v>
      </c>
      <c r="D211" t="s">
        <v>667</v>
      </c>
      <c r="E211" t="s">
        <v>902</v>
      </c>
      <c r="G211">
        <v>-1026.56</v>
      </c>
      <c r="H211">
        <v>1026.56</v>
      </c>
      <c r="I211">
        <v>-1026.56</v>
      </c>
      <c r="J211">
        <v>1026.56</v>
      </c>
      <c r="K211">
        <v>100375.32</v>
      </c>
    </row>
    <row r="212" spans="1:11" x14ac:dyDescent="0.25">
      <c r="A212">
        <v>2024</v>
      </c>
      <c r="B212">
        <v>2</v>
      </c>
      <c r="C212" s="1">
        <v>45337</v>
      </c>
      <c r="D212" t="s">
        <v>187</v>
      </c>
      <c r="E212" t="s">
        <v>902</v>
      </c>
      <c r="G212">
        <v>-1022.45</v>
      </c>
      <c r="H212">
        <v>1022.45</v>
      </c>
      <c r="I212">
        <v>-1022.45</v>
      </c>
      <c r="J212">
        <v>1022.45</v>
      </c>
      <c r="K212">
        <v>15531.86</v>
      </c>
    </row>
    <row r="213" spans="1:11" x14ac:dyDescent="0.25">
      <c r="A213">
        <v>2024</v>
      </c>
      <c r="B213">
        <v>3</v>
      </c>
      <c r="C213" s="1">
        <v>45359</v>
      </c>
      <c r="D213" t="s">
        <v>218</v>
      </c>
      <c r="E213" t="s">
        <v>902</v>
      </c>
      <c r="G213">
        <v>-1014</v>
      </c>
      <c r="H213">
        <v>1014</v>
      </c>
      <c r="I213">
        <v>-1014</v>
      </c>
      <c r="J213">
        <v>1014</v>
      </c>
      <c r="K213">
        <v>20531.61</v>
      </c>
    </row>
    <row r="214" spans="1:11" x14ac:dyDescent="0.25">
      <c r="A214">
        <v>2024</v>
      </c>
      <c r="B214">
        <v>7</v>
      </c>
      <c r="C214" s="1">
        <v>45502</v>
      </c>
      <c r="D214" t="s">
        <v>473</v>
      </c>
      <c r="E214" t="s">
        <v>902</v>
      </c>
      <c r="G214">
        <v>-18.05</v>
      </c>
      <c r="H214">
        <v>18.05</v>
      </c>
      <c r="I214">
        <v>-18.05</v>
      </c>
      <c r="J214">
        <v>18.05</v>
      </c>
      <c r="K214">
        <v>30526.639999999999</v>
      </c>
    </row>
    <row r="215" spans="1:11" x14ac:dyDescent="0.25">
      <c r="A215">
        <v>2024</v>
      </c>
      <c r="B215">
        <v>7</v>
      </c>
      <c r="C215" s="1">
        <v>45499</v>
      </c>
      <c r="D215" t="s">
        <v>468</v>
      </c>
      <c r="E215" t="s">
        <v>902</v>
      </c>
      <c r="G215">
        <v>-19</v>
      </c>
      <c r="H215">
        <v>19</v>
      </c>
      <c r="I215">
        <v>-19</v>
      </c>
      <c r="J215">
        <v>19</v>
      </c>
      <c r="K215">
        <v>19345.05</v>
      </c>
    </row>
    <row r="216" spans="1:11" x14ac:dyDescent="0.25">
      <c r="A216">
        <v>2024</v>
      </c>
      <c r="B216">
        <v>3</v>
      </c>
      <c r="C216" s="1">
        <v>45369</v>
      </c>
      <c r="D216" t="s">
        <v>235</v>
      </c>
      <c r="E216" t="s">
        <v>902</v>
      </c>
      <c r="G216">
        <v>-990.74</v>
      </c>
      <c r="H216">
        <v>990.74</v>
      </c>
      <c r="I216">
        <v>-990.74</v>
      </c>
      <c r="J216">
        <v>990.74</v>
      </c>
      <c r="K216">
        <v>27783.8</v>
      </c>
    </row>
    <row r="217" spans="1:11" x14ac:dyDescent="0.25">
      <c r="A217">
        <v>2024</v>
      </c>
      <c r="B217">
        <v>1</v>
      </c>
      <c r="C217" s="1">
        <v>45309</v>
      </c>
      <c r="D217" t="s">
        <v>148</v>
      </c>
      <c r="E217" t="s">
        <v>902</v>
      </c>
      <c r="G217">
        <v>-985.16</v>
      </c>
      <c r="H217">
        <v>985.16</v>
      </c>
      <c r="I217">
        <v>-985.16</v>
      </c>
      <c r="J217">
        <v>985.16</v>
      </c>
      <c r="K217">
        <v>18384.68</v>
      </c>
    </row>
    <row r="218" spans="1:11" x14ac:dyDescent="0.25">
      <c r="A218">
        <v>2024</v>
      </c>
      <c r="B218">
        <v>4</v>
      </c>
      <c r="C218" s="1">
        <v>45397</v>
      </c>
      <c r="D218" t="s">
        <v>281</v>
      </c>
      <c r="E218" t="s">
        <v>902</v>
      </c>
      <c r="G218">
        <v>-984</v>
      </c>
      <c r="H218">
        <v>984</v>
      </c>
      <c r="I218">
        <v>-984</v>
      </c>
      <c r="J218">
        <v>984</v>
      </c>
      <c r="K218">
        <v>47222.76</v>
      </c>
    </row>
    <row r="219" spans="1:11" x14ac:dyDescent="0.25">
      <c r="A219">
        <v>2024</v>
      </c>
      <c r="B219">
        <v>9</v>
      </c>
      <c r="C219" s="1">
        <v>45562</v>
      </c>
      <c r="D219" t="s">
        <v>620</v>
      </c>
      <c r="E219" t="s">
        <v>902</v>
      </c>
      <c r="G219">
        <v>-982.16</v>
      </c>
      <c r="H219">
        <v>982.16</v>
      </c>
      <c r="I219">
        <v>-982.16</v>
      </c>
      <c r="J219">
        <v>982.16</v>
      </c>
      <c r="K219">
        <v>76667.600000000006</v>
      </c>
    </row>
    <row r="220" spans="1:11" x14ac:dyDescent="0.25">
      <c r="A220">
        <v>2024</v>
      </c>
      <c r="B220">
        <v>7</v>
      </c>
      <c r="C220" s="1">
        <v>45489</v>
      </c>
      <c r="D220" t="s">
        <v>444</v>
      </c>
      <c r="E220" t="s">
        <v>902</v>
      </c>
      <c r="G220">
        <v>-979.48</v>
      </c>
      <c r="H220">
        <v>979.48</v>
      </c>
      <c r="I220">
        <v>-979.48</v>
      </c>
      <c r="J220">
        <v>979.48</v>
      </c>
      <c r="K220">
        <v>51276.94</v>
      </c>
    </row>
    <row r="221" spans="1:11" x14ac:dyDescent="0.25">
      <c r="A221">
        <v>2024</v>
      </c>
      <c r="B221">
        <v>9</v>
      </c>
      <c r="C221" s="1">
        <v>45565</v>
      </c>
      <c r="D221" t="s">
        <v>626</v>
      </c>
      <c r="E221" t="s">
        <v>902</v>
      </c>
      <c r="G221">
        <v>-976</v>
      </c>
      <c r="H221">
        <v>976</v>
      </c>
      <c r="I221">
        <v>-976</v>
      </c>
      <c r="J221">
        <v>976</v>
      </c>
      <c r="K221">
        <v>95077.39</v>
      </c>
    </row>
    <row r="222" spans="1:11" x14ac:dyDescent="0.25">
      <c r="A222">
        <v>2024</v>
      </c>
      <c r="B222">
        <v>6</v>
      </c>
      <c r="C222" s="1">
        <v>45470</v>
      </c>
      <c r="D222" t="s">
        <v>406</v>
      </c>
      <c r="E222" t="s">
        <v>902</v>
      </c>
      <c r="G222">
        <v>-19</v>
      </c>
      <c r="H222">
        <v>19</v>
      </c>
      <c r="I222">
        <v>-19</v>
      </c>
      <c r="J222">
        <v>19</v>
      </c>
      <c r="K222">
        <v>56560.21</v>
      </c>
    </row>
    <row r="223" spans="1:11" x14ac:dyDescent="0.25">
      <c r="A223">
        <v>2024</v>
      </c>
      <c r="B223">
        <v>11</v>
      </c>
      <c r="C223" s="1">
        <v>45611</v>
      </c>
      <c r="D223" t="s">
        <v>742</v>
      </c>
      <c r="E223" t="s">
        <v>902</v>
      </c>
      <c r="G223">
        <v>-961.91</v>
      </c>
      <c r="H223">
        <v>961.91</v>
      </c>
      <c r="I223">
        <v>-961.91</v>
      </c>
      <c r="J223">
        <v>961.91</v>
      </c>
      <c r="K223">
        <v>5613.54</v>
      </c>
    </row>
    <row r="224" spans="1:11" x14ac:dyDescent="0.25">
      <c r="A224">
        <v>2024</v>
      </c>
      <c r="B224">
        <v>7</v>
      </c>
      <c r="C224" s="1">
        <v>45489</v>
      </c>
      <c r="D224" t="s">
        <v>443</v>
      </c>
      <c r="E224" t="s">
        <v>902</v>
      </c>
      <c r="G224">
        <v>-952.02</v>
      </c>
      <c r="H224">
        <v>952.02</v>
      </c>
      <c r="I224">
        <v>-952.02</v>
      </c>
      <c r="J224">
        <v>952.02</v>
      </c>
      <c r="K224">
        <v>52256.42</v>
      </c>
    </row>
    <row r="225" spans="1:11" x14ac:dyDescent="0.25">
      <c r="A225">
        <v>2024</v>
      </c>
      <c r="B225">
        <v>3</v>
      </c>
      <c r="C225" s="1">
        <v>45362</v>
      </c>
      <c r="D225" t="s">
        <v>223</v>
      </c>
      <c r="E225" t="s">
        <v>902</v>
      </c>
      <c r="G225">
        <v>-948</v>
      </c>
      <c r="H225">
        <v>948</v>
      </c>
      <c r="I225">
        <v>-948</v>
      </c>
      <c r="J225">
        <v>948</v>
      </c>
      <c r="K225">
        <v>27661.96</v>
      </c>
    </row>
    <row r="226" spans="1:11" x14ac:dyDescent="0.25">
      <c r="A226">
        <v>2024</v>
      </c>
      <c r="B226">
        <v>3</v>
      </c>
      <c r="C226" s="1">
        <v>45355</v>
      </c>
      <c r="D226" t="s">
        <v>207</v>
      </c>
      <c r="E226" t="s">
        <v>902</v>
      </c>
      <c r="G226">
        <v>-19.13</v>
      </c>
      <c r="H226">
        <v>19.13</v>
      </c>
      <c r="I226">
        <v>-19.13</v>
      </c>
      <c r="J226">
        <v>19.13</v>
      </c>
      <c r="K226">
        <v>28356.92</v>
      </c>
    </row>
    <row r="227" spans="1:11" x14ac:dyDescent="0.25">
      <c r="A227">
        <v>2024</v>
      </c>
      <c r="B227">
        <v>9</v>
      </c>
      <c r="C227" s="1">
        <v>45548</v>
      </c>
      <c r="D227" t="s">
        <v>584</v>
      </c>
      <c r="E227" t="s">
        <v>902</v>
      </c>
      <c r="G227">
        <v>-913.14</v>
      </c>
      <c r="H227">
        <v>913.14</v>
      </c>
      <c r="I227">
        <v>-913.14</v>
      </c>
      <c r="J227">
        <v>913.14</v>
      </c>
      <c r="K227">
        <v>73905.89</v>
      </c>
    </row>
    <row r="228" spans="1:11" x14ac:dyDescent="0.25">
      <c r="A228">
        <v>2024</v>
      </c>
      <c r="B228">
        <v>2</v>
      </c>
      <c r="C228" s="1">
        <v>45324</v>
      </c>
      <c r="D228" t="s">
        <v>169</v>
      </c>
      <c r="E228" t="s">
        <v>902</v>
      </c>
      <c r="G228">
        <v>-19.13</v>
      </c>
      <c r="H228">
        <v>19.13</v>
      </c>
      <c r="I228">
        <v>-19.13</v>
      </c>
      <c r="J228">
        <v>19.13</v>
      </c>
      <c r="K228">
        <v>36556.160000000003</v>
      </c>
    </row>
    <row r="229" spans="1:11" x14ac:dyDescent="0.25">
      <c r="A229">
        <v>2024</v>
      </c>
      <c r="B229">
        <v>12</v>
      </c>
      <c r="C229" s="1">
        <v>45643</v>
      </c>
      <c r="D229" t="s">
        <v>793</v>
      </c>
      <c r="E229" t="s">
        <v>902</v>
      </c>
      <c r="G229">
        <v>-893.23</v>
      </c>
      <c r="H229">
        <v>893.23</v>
      </c>
      <c r="I229">
        <v>-893.23</v>
      </c>
      <c r="J229">
        <v>893.23</v>
      </c>
      <c r="K229">
        <v>39792.92</v>
      </c>
    </row>
    <row r="230" spans="1:11" x14ac:dyDescent="0.25">
      <c r="A230">
        <v>2024</v>
      </c>
      <c r="B230">
        <v>1</v>
      </c>
      <c r="C230" s="1">
        <v>45293</v>
      </c>
      <c r="D230" t="s">
        <v>118</v>
      </c>
      <c r="E230" t="s">
        <v>902</v>
      </c>
      <c r="G230">
        <v>-19.13</v>
      </c>
      <c r="H230">
        <v>19.13</v>
      </c>
      <c r="I230">
        <v>-19.13</v>
      </c>
      <c r="J230">
        <v>19.13</v>
      </c>
      <c r="K230">
        <v>33488.93</v>
      </c>
    </row>
    <row r="231" spans="1:11" x14ac:dyDescent="0.25">
      <c r="A231">
        <v>2024</v>
      </c>
      <c r="B231">
        <v>1</v>
      </c>
      <c r="C231" s="1">
        <v>45315</v>
      </c>
      <c r="D231" t="s">
        <v>153</v>
      </c>
      <c r="E231" t="s">
        <v>902</v>
      </c>
      <c r="G231">
        <v>-865.87</v>
      </c>
      <c r="H231">
        <v>865.87</v>
      </c>
      <c r="I231">
        <v>-865.87</v>
      </c>
      <c r="J231">
        <v>865.87</v>
      </c>
      <c r="K231">
        <v>42038.57</v>
      </c>
    </row>
    <row r="232" spans="1:11" x14ac:dyDescent="0.25">
      <c r="A232">
        <v>2024</v>
      </c>
      <c r="B232">
        <v>7</v>
      </c>
      <c r="C232" s="1">
        <v>45482</v>
      </c>
      <c r="D232" t="s">
        <v>432</v>
      </c>
      <c r="E232" t="s">
        <v>902</v>
      </c>
      <c r="G232">
        <v>-863.55</v>
      </c>
      <c r="H232">
        <v>863.55</v>
      </c>
      <c r="I232">
        <v>-863.55</v>
      </c>
      <c r="J232">
        <v>863.55</v>
      </c>
      <c r="K232">
        <v>81443.75</v>
      </c>
    </row>
    <row r="233" spans="1:11" x14ac:dyDescent="0.25">
      <c r="A233">
        <v>2024</v>
      </c>
      <c r="B233">
        <v>9</v>
      </c>
      <c r="C233" s="1">
        <v>45565</v>
      </c>
      <c r="D233" t="s">
        <v>627</v>
      </c>
      <c r="E233" t="s">
        <v>902</v>
      </c>
      <c r="G233">
        <v>-849</v>
      </c>
      <c r="H233">
        <v>849</v>
      </c>
      <c r="I233">
        <v>-849</v>
      </c>
      <c r="J233">
        <v>849</v>
      </c>
      <c r="K233">
        <v>94228.39</v>
      </c>
    </row>
    <row r="234" spans="1:11" x14ac:dyDescent="0.25">
      <c r="A234">
        <v>2024</v>
      </c>
      <c r="B234">
        <v>8</v>
      </c>
      <c r="C234" s="1">
        <v>45530</v>
      </c>
      <c r="D234" t="s">
        <v>532</v>
      </c>
      <c r="E234" t="s">
        <v>902</v>
      </c>
      <c r="G234">
        <v>-20</v>
      </c>
      <c r="H234">
        <v>20</v>
      </c>
      <c r="I234">
        <v>-20</v>
      </c>
      <c r="J234">
        <v>20</v>
      </c>
      <c r="K234">
        <v>36730.33</v>
      </c>
    </row>
    <row r="235" spans="1:11" x14ac:dyDescent="0.25">
      <c r="A235">
        <v>2024</v>
      </c>
      <c r="B235">
        <v>8</v>
      </c>
      <c r="C235" s="1">
        <v>45513</v>
      </c>
      <c r="D235" t="s">
        <v>505</v>
      </c>
      <c r="E235" t="s">
        <v>902</v>
      </c>
      <c r="G235">
        <v>-20</v>
      </c>
      <c r="H235">
        <v>20</v>
      </c>
      <c r="I235">
        <v>-20</v>
      </c>
      <c r="J235">
        <v>20</v>
      </c>
      <c r="K235">
        <v>16532.16</v>
      </c>
    </row>
    <row r="236" spans="1:11" x14ac:dyDescent="0.25">
      <c r="A236">
        <v>2024</v>
      </c>
      <c r="B236">
        <v>10</v>
      </c>
      <c r="C236" s="1">
        <v>45568</v>
      </c>
      <c r="D236" t="s">
        <v>642</v>
      </c>
      <c r="E236" t="s">
        <v>902</v>
      </c>
      <c r="G236">
        <v>-766.8</v>
      </c>
      <c r="H236">
        <v>766.8</v>
      </c>
      <c r="I236">
        <v>-766.8</v>
      </c>
      <c r="J236">
        <v>766.8</v>
      </c>
      <c r="K236">
        <v>88311.24</v>
      </c>
    </row>
    <row r="237" spans="1:11" x14ac:dyDescent="0.25">
      <c r="A237">
        <v>2024</v>
      </c>
      <c r="B237">
        <v>2</v>
      </c>
      <c r="C237" s="1">
        <v>45349</v>
      </c>
      <c r="D237" t="s">
        <v>197</v>
      </c>
      <c r="E237" t="s">
        <v>902</v>
      </c>
      <c r="G237">
        <v>-756.25</v>
      </c>
      <c r="H237">
        <v>756.25</v>
      </c>
      <c r="I237">
        <v>-756.25</v>
      </c>
      <c r="J237">
        <v>756.25</v>
      </c>
      <c r="K237">
        <v>24246.19</v>
      </c>
    </row>
    <row r="238" spans="1:11" x14ac:dyDescent="0.25">
      <c r="A238">
        <v>2024</v>
      </c>
      <c r="B238">
        <v>6</v>
      </c>
      <c r="C238" s="1">
        <v>45457</v>
      </c>
      <c r="D238" t="s">
        <v>382</v>
      </c>
      <c r="E238" t="s">
        <v>902</v>
      </c>
      <c r="G238">
        <v>-753.4</v>
      </c>
      <c r="H238">
        <v>753.4</v>
      </c>
      <c r="I238">
        <v>-753.4</v>
      </c>
      <c r="J238">
        <v>753.4</v>
      </c>
      <c r="K238">
        <v>20296.54</v>
      </c>
    </row>
    <row r="239" spans="1:11" x14ac:dyDescent="0.25">
      <c r="A239">
        <v>2024</v>
      </c>
      <c r="B239">
        <v>8</v>
      </c>
      <c r="C239" s="1">
        <v>45533</v>
      </c>
      <c r="D239" t="s">
        <v>543</v>
      </c>
      <c r="E239" t="s">
        <v>902</v>
      </c>
      <c r="G239">
        <v>-749.78</v>
      </c>
      <c r="H239">
        <v>749.78</v>
      </c>
      <c r="I239">
        <v>-749.78</v>
      </c>
      <c r="J239">
        <v>749.78</v>
      </c>
      <c r="K239">
        <v>43477.57</v>
      </c>
    </row>
    <row r="240" spans="1:11" x14ac:dyDescent="0.25">
      <c r="A240">
        <v>2024</v>
      </c>
      <c r="B240">
        <v>8</v>
      </c>
      <c r="C240" s="1">
        <v>45527</v>
      </c>
      <c r="D240" t="s">
        <v>524</v>
      </c>
      <c r="E240" t="s">
        <v>902</v>
      </c>
      <c r="G240">
        <v>-743.95</v>
      </c>
      <c r="H240">
        <v>743.95</v>
      </c>
      <c r="I240">
        <v>-743.95</v>
      </c>
      <c r="J240">
        <v>743.95</v>
      </c>
      <c r="K240">
        <v>56665.2</v>
      </c>
    </row>
    <row r="241" spans="1:11" x14ac:dyDescent="0.25">
      <c r="A241">
        <v>2024</v>
      </c>
      <c r="B241">
        <v>5</v>
      </c>
      <c r="C241" s="1">
        <v>45440</v>
      </c>
      <c r="D241" t="s">
        <v>351</v>
      </c>
      <c r="E241" t="s">
        <v>902</v>
      </c>
      <c r="G241">
        <v>-724.85</v>
      </c>
      <c r="H241">
        <v>724.85</v>
      </c>
      <c r="I241">
        <v>-724.85</v>
      </c>
      <c r="J241">
        <v>724.85</v>
      </c>
      <c r="K241">
        <v>27069.54</v>
      </c>
    </row>
    <row r="242" spans="1:11" x14ac:dyDescent="0.25">
      <c r="A242">
        <v>2024</v>
      </c>
      <c r="B242">
        <v>1</v>
      </c>
      <c r="C242" s="1">
        <v>45315</v>
      </c>
      <c r="D242" t="s">
        <v>154</v>
      </c>
      <c r="E242" t="s">
        <v>902</v>
      </c>
      <c r="G242">
        <v>-724.56</v>
      </c>
      <c r="H242">
        <v>724.56</v>
      </c>
      <c r="I242">
        <v>-724.56</v>
      </c>
      <c r="J242">
        <v>724.56</v>
      </c>
      <c r="K242">
        <v>41314.01</v>
      </c>
    </row>
    <row r="243" spans="1:11" x14ac:dyDescent="0.25">
      <c r="A243">
        <v>2024</v>
      </c>
      <c r="B243">
        <v>7</v>
      </c>
      <c r="C243" s="1">
        <v>45488</v>
      </c>
      <c r="D243" t="s">
        <v>441</v>
      </c>
      <c r="E243" t="s">
        <v>902</v>
      </c>
      <c r="G243">
        <v>-20</v>
      </c>
      <c r="H243">
        <v>20</v>
      </c>
      <c r="I243">
        <v>-20</v>
      </c>
      <c r="J243">
        <v>20</v>
      </c>
      <c r="K243">
        <v>63533.69</v>
      </c>
    </row>
    <row r="244" spans="1:11" x14ac:dyDescent="0.25">
      <c r="A244">
        <v>2024</v>
      </c>
      <c r="B244">
        <v>8</v>
      </c>
      <c r="C244" s="1">
        <v>45509</v>
      </c>
      <c r="D244" t="s">
        <v>493</v>
      </c>
      <c r="E244" t="s">
        <v>902</v>
      </c>
      <c r="G244">
        <v>-718.34</v>
      </c>
      <c r="H244">
        <v>718.34</v>
      </c>
      <c r="I244">
        <v>-718.34</v>
      </c>
      <c r="J244">
        <v>718.34</v>
      </c>
      <c r="K244">
        <v>42058.6</v>
      </c>
    </row>
    <row r="245" spans="1:11" x14ac:dyDescent="0.25">
      <c r="A245">
        <v>2024</v>
      </c>
      <c r="B245">
        <v>8</v>
      </c>
      <c r="C245" s="1">
        <v>45532</v>
      </c>
      <c r="D245" t="s">
        <v>540</v>
      </c>
      <c r="E245" t="s">
        <v>902</v>
      </c>
      <c r="G245">
        <v>-20.16</v>
      </c>
      <c r="H245">
        <v>20.16</v>
      </c>
      <c r="I245">
        <v>-20.16</v>
      </c>
      <c r="J245">
        <v>20.16</v>
      </c>
      <c r="K245">
        <v>33306.559999999998</v>
      </c>
    </row>
    <row r="246" spans="1:11" x14ac:dyDescent="0.25">
      <c r="A246">
        <v>2024</v>
      </c>
      <c r="B246">
        <v>4</v>
      </c>
      <c r="C246" s="1">
        <v>45384</v>
      </c>
      <c r="D246" t="s">
        <v>262</v>
      </c>
      <c r="E246" t="s">
        <v>902</v>
      </c>
      <c r="G246">
        <v>-20.23</v>
      </c>
      <c r="H246">
        <v>20.23</v>
      </c>
      <c r="I246">
        <v>-20.23</v>
      </c>
      <c r="J246">
        <v>20.23</v>
      </c>
      <c r="K246">
        <v>34874.86</v>
      </c>
    </row>
    <row r="247" spans="1:11" x14ac:dyDescent="0.25">
      <c r="A247">
        <v>2024</v>
      </c>
      <c r="B247">
        <v>9</v>
      </c>
      <c r="C247" s="1">
        <v>45538</v>
      </c>
      <c r="D247" t="s">
        <v>308</v>
      </c>
      <c r="E247" t="s">
        <v>902</v>
      </c>
      <c r="G247">
        <v>-691.83</v>
      </c>
      <c r="H247">
        <v>691.83</v>
      </c>
      <c r="I247">
        <v>-691.83</v>
      </c>
      <c r="J247">
        <v>691.83</v>
      </c>
      <c r="K247">
        <v>70460.52</v>
      </c>
    </row>
    <row r="248" spans="1:11" x14ac:dyDescent="0.25">
      <c r="A248">
        <v>2024</v>
      </c>
      <c r="B248">
        <v>10</v>
      </c>
      <c r="C248" s="1">
        <v>45596</v>
      </c>
      <c r="D248" t="s">
        <v>703</v>
      </c>
      <c r="E248" t="s">
        <v>902</v>
      </c>
      <c r="G248">
        <v>-689.43</v>
      </c>
      <c r="H248">
        <v>689.43</v>
      </c>
      <c r="I248">
        <v>-689.43</v>
      </c>
      <c r="J248">
        <v>689.43</v>
      </c>
      <c r="K248">
        <v>75666.09</v>
      </c>
    </row>
    <row r="249" spans="1:11" x14ac:dyDescent="0.25">
      <c r="A249">
        <v>2024</v>
      </c>
      <c r="B249">
        <v>7</v>
      </c>
      <c r="C249" s="1">
        <v>45474</v>
      </c>
      <c r="D249" t="s">
        <v>417</v>
      </c>
      <c r="E249" t="s">
        <v>902</v>
      </c>
      <c r="G249">
        <v>-683.04</v>
      </c>
      <c r="H249">
        <v>683.04</v>
      </c>
      <c r="I249">
        <v>-683.04</v>
      </c>
      <c r="J249">
        <v>683.04</v>
      </c>
      <c r="K249">
        <v>60989.14</v>
      </c>
    </row>
    <row r="250" spans="1:11" x14ac:dyDescent="0.25">
      <c r="A250">
        <v>2024</v>
      </c>
      <c r="B250">
        <v>11</v>
      </c>
      <c r="C250" s="1">
        <v>45608</v>
      </c>
      <c r="D250" t="s">
        <v>731</v>
      </c>
      <c r="E250" t="s">
        <v>902</v>
      </c>
      <c r="G250">
        <v>-20.37</v>
      </c>
      <c r="H250">
        <v>20.37</v>
      </c>
      <c r="I250">
        <v>-20.37</v>
      </c>
      <c r="J250">
        <v>20.37</v>
      </c>
      <c r="K250">
        <v>50220.18</v>
      </c>
    </row>
    <row r="251" spans="1:11" x14ac:dyDescent="0.25">
      <c r="A251">
        <v>2024</v>
      </c>
      <c r="B251">
        <v>7</v>
      </c>
      <c r="C251" s="1">
        <v>45496</v>
      </c>
      <c r="D251" t="s">
        <v>455</v>
      </c>
      <c r="E251" t="s">
        <v>902</v>
      </c>
      <c r="G251">
        <v>-656.69</v>
      </c>
      <c r="H251">
        <v>656.69</v>
      </c>
      <c r="I251">
        <v>-656.69</v>
      </c>
      <c r="J251">
        <v>656.69</v>
      </c>
      <c r="K251">
        <v>49248.4</v>
      </c>
    </row>
    <row r="252" spans="1:11" x14ac:dyDescent="0.25">
      <c r="A252">
        <v>2024</v>
      </c>
      <c r="B252">
        <v>9</v>
      </c>
      <c r="C252" s="1">
        <v>45565</v>
      </c>
      <c r="D252" t="s">
        <v>625</v>
      </c>
      <c r="E252" t="s">
        <v>902</v>
      </c>
      <c r="G252">
        <v>-20.53</v>
      </c>
      <c r="H252">
        <v>20.53</v>
      </c>
      <c r="I252">
        <v>-20.53</v>
      </c>
      <c r="J252">
        <v>20.53</v>
      </c>
      <c r="K252">
        <v>96053.39</v>
      </c>
    </row>
    <row r="253" spans="1:11" x14ac:dyDescent="0.25">
      <c r="A253">
        <v>2024</v>
      </c>
      <c r="B253">
        <v>3</v>
      </c>
      <c r="C253" s="1">
        <v>45359</v>
      </c>
      <c r="D253" t="s">
        <v>221</v>
      </c>
      <c r="E253" t="s">
        <v>902</v>
      </c>
      <c r="G253">
        <v>-21</v>
      </c>
      <c r="H253">
        <v>21</v>
      </c>
      <c r="I253">
        <v>-21</v>
      </c>
      <c r="J253">
        <v>21</v>
      </c>
      <c r="K253">
        <v>20218.96</v>
      </c>
    </row>
    <row r="254" spans="1:11" x14ac:dyDescent="0.25">
      <c r="A254">
        <v>2024</v>
      </c>
      <c r="B254">
        <v>10</v>
      </c>
      <c r="C254" s="1">
        <v>45580</v>
      </c>
      <c r="D254" t="s">
        <v>673</v>
      </c>
      <c r="E254" t="s">
        <v>902</v>
      </c>
      <c r="G254">
        <v>-21.26</v>
      </c>
      <c r="H254">
        <v>21.26</v>
      </c>
      <c r="I254">
        <v>-21.26</v>
      </c>
      <c r="J254">
        <v>21.26</v>
      </c>
      <c r="K254">
        <v>98227.5</v>
      </c>
    </row>
    <row r="255" spans="1:11" x14ac:dyDescent="0.25">
      <c r="A255">
        <v>2024</v>
      </c>
      <c r="B255">
        <v>8</v>
      </c>
      <c r="C255" s="1">
        <v>45523</v>
      </c>
      <c r="D255" t="s">
        <v>517</v>
      </c>
      <c r="E255" t="s">
        <v>902</v>
      </c>
      <c r="G255">
        <v>-21.26</v>
      </c>
      <c r="H255">
        <v>21.26</v>
      </c>
      <c r="I255">
        <v>-21.26</v>
      </c>
      <c r="J255">
        <v>21.26</v>
      </c>
      <c r="K255">
        <v>71614.13</v>
      </c>
    </row>
    <row r="256" spans="1:11" x14ac:dyDescent="0.25">
      <c r="A256">
        <v>2024</v>
      </c>
      <c r="B256">
        <v>12</v>
      </c>
      <c r="C256" s="1">
        <v>45630</v>
      </c>
      <c r="D256" t="s">
        <v>777</v>
      </c>
      <c r="E256" t="s">
        <v>902</v>
      </c>
      <c r="G256">
        <v>-574.55999999999995</v>
      </c>
      <c r="H256">
        <v>574.55999999999995</v>
      </c>
      <c r="I256">
        <v>-574.55999999999995</v>
      </c>
      <c r="J256">
        <v>574.55999999999995</v>
      </c>
      <c r="K256">
        <v>2056.7199999999998</v>
      </c>
    </row>
    <row r="257" spans="1:11" x14ac:dyDescent="0.25">
      <c r="A257">
        <v>2024</v>
      </c>
      <c r="B257">
        <v>1</v>
      </c>
      <c r="C257" s="1">
        <v>45320</v>
      </c>
      <c r="D257" t="s">
        <v>159</v>
      </c>
      <c r="E257" t="s">
        <v>902</v>
      </c>
      <c r="G257">
        <v>-567.53</v>
      </c>
      <c r="H257">
        <v>567.53</v>
      </c>
      <c r="I257">
        <v>-567.53</v>
      </c>
      <c r="J257">
        <v>567.53</v>
      </c>
      <c r="K257">
        <v>26592.41</v>
      </c>
    </row>
    <row r="258" spans="1:11" x14ac:dyDescent="0.25">
      <c r="A258">
        <v>2024</v>
      </c>
      <c r="B258">
        <v>11</v>
      </c>
      <c r="C258" s="1">
        <v>45623</v>
      </c>
      <c r="D258" t="s">
        <v>759</v>
      </c>
      <c r="E258" t="s">
        <v>902</v>
      </c>
      <c r="G258">
        <v>-562.20000000000005</v>
      </c>
      <c r="H258">
        <v>562.20000000000005</v>
      </c>
      <c r="I258">
        <v>-562.20000000000005</v>
      </c>
      <c r="J258">
        <v>562.20000000000005</v>
      </c>
      <c r="K258">
        <v>20402.3</v>
      </c>
    </row>
    <row r="259" spans="1:11" x14ac:dyDescent="0.25">
      <c r="A259">
        <v>2024</v>
      </c>
      <c r="B259">
        <v>8</v>
      </c>
      <c r="C259" s="1">
        <v>45505</v>
      </c>
      <c r="D259" t="s">
        <v>308</v>
      </c>
      <c r="E259" t="s">
        <v>902</v>
      </c>
      <c r="G259">
        <v>-550.58000000000004</v>
      </c>
      <c r="H259">
        <v>550.58000000000004</v>
      </c>
      <c r="I259">
        <v>-550.58000000000004</v>
      </c>
      <c r="J259">
        <v>550.58000000000004</v>
      </c>
      <c r="K259">
        <v>42299.88</v>
      </c>
    </row>
    <row r="260" spans="1:11" x14ac:dyDescent="0.25">
      <c r="A260">
        <v>2024</v>
      </c>
      <c r="B260">
        <v>4</v>
      </c>
      <c r="C260" s="1">
        <v>45397</v>
      </c>
      <c r="D260" t="s">
        <v>280</v>
      </c>
      <c r="E260" t="s">
        <v>902</v>
      </c>
      <c r="G260">
        <v>-549.52</v>
      </c>
      <c r="H260">
        <v>549.52</v>
      </c>
      <c r="I260">
        <v>-549.52</v>
      </c>
      <c r="J260">
        <v>549.52</v>
      </c>
      <c r="K260">
        <v>48206.76</v>
      </c>
    </row>
    <row r="261" spans="1:11" x14ac:dyDescent="0.25">
      <c r="A261">
        <v>2024</v>
      </c>
      <c r="B261">
        <v>10</v>
      </c>
      <c r="C261" s="1">
        <v>45589</v>
      </c>
      <c r="D261" t="s">
        <v>690</v>
      </c>
      <c r="E261" t="s">
        <v>902</v>
      </c>
      <c r="G261">
        <v>-548.94000000000005</v>
      </c>
      <c r="H261">
        <v>548.94000000000005</v>
      </c>
      <c r="I261">
        <v>-548.94000000000005</v>
      </c>
      <c r="J261">
        <v>548.94000000000005</v>
      </c>
      <c r="K261">
        <v>71723.8</v>
      </c>
    </row>
    <row r="262" spans="1:11" x14ac:dyDescent="0.25">
      <c r="A262">
        <v>2024</v>
      </c>
      <c r="B262">
        <v>6</v>
      </c>
      <c r="C262" s="1">
        <v>45461</v>
      </c>
      <c r="D262" t="s">
        <v>390</v>
      </c>
      <c r="E262" t="s">
        <v>902</v>
      </c>
      <c r="G262">
        <v>-544.13</v>
      </c>
      <c r="H262">
        <v>544.13</v>
      </c>
      <c r="I262">
        <v>-544.13</v>
      </c>
      <c r="J262">
        <v>544.13</v>
      </c>
      <c r="K262">
        <v>32695.79</v>
      </c>
    </row>
    <row r="263" spans="1:11" x14ac:dyDescent="0.25">
      <c r="A263">
        <v>2024</v>
      </c>
      <c r="B263">
        <v>3</v>
      </c>
      <c r="C263" s="1">
        <v>45376</v>
      </c>
      <c r="D263" t="s">
        <v>242</v>
      </c>
      <c r="E263" t="s">
        <v>902</v>
      </c>
      <c r="G263">
        <v>-543.55999999999995</v>
      </c>
      <c r="H263">
        <v>543.55999999999995</v>
      </c>
      <c r="I263">
        <v>-543.55999999999995</v>
      </c>
      <c r="J263">
        <v>543.55999999999995</v>
      </c>
      <c r="K263">
        <v>9639.4599999999991</v>
      </c>
    </row>
    <row r="264" spans="1:11" x14ac:dyDescent="0.25">
      <c r="A264">
        <v>2024</v>
      </c>
      <c r="B264">
        <v>5</v>
      </c>
      <c r="C264" s="1">
        <v>45440</v>
      </c>
      <c r="D264" t="s">
        <v>353</v>
      </c>
      <c r="E264" t="s">
        <v>902</v>
      </c>
      <c r="G264">
        <v>-542.53</v>
      </c>
      <c r="H264">
        <v>542.53</v>
      </c>
      <c r="I264">
        <v>-542.53</v>
      </c>
      <c r="J264">
        <v>542.53</v>
      </c>
      <c r="K264">
        <v>26358.22</v>
      </c>
    </row>
    <row r="265" spans="1:11" x14ac:dyDescent="0.25">
      <c r="A265">
        <v>2024</v>
      </c>
      <c r="B265">
        <v>6</v>
      </c>
      <c r="C265" s="1">
        <v>45469</v>
      </c>
      <c r="D265" t="s">
        <v>398</v>
      </c>
      <c r="E265" t="s">
        <v>902</v>
      </c>
      <c r="G265">
        <v>-542.44000000000005</v>
      </c>
      <c r="H265">
        <v>542.44000000000005</v>
      </c>
      <c r="I265">
        <v>-542.44000000000005</v>
      </c>
      <c r="J265">
        <v>542.44000000000005</v>
      </c>
      <c r="K265">
        <v>86312.02</v>
      </c>
    </row>
    <row r="266" spans="1:11" x14ac:dyDescent="0.25">
      <c r="A266">
        <v>2024</v>
      </c>
      <c r="B266">
        <v>11</v>
      </c>
      <c r="C266" s="1">
        <v>45623</v>
      </c>
      <c r="D266" t="s">
        <v>759</v>
      </c>
      <c r="E266" t="s">
        <v>902</v>
      </c>
      <c r="G266">
        <v>-540.64</v>
      </c>
      <c r="H266">
        <v>540.64</v>
      </c>
      <c r="I266">
        <v>-540.64</v>
      </c>
      <c r="J266">
        <v>540.64</v>
      </c>
      <c r="K266">
        <v>19861.66</v>
      </c>
    </row>
    <row r="267" spans="1:11" x14ac:dyDescent="0.25">
      <c r="A267">
        <v>2024</v>
      </c>
      <c r="B267">
        <v>7</v>
      </c>
      <c r="C267" s="1">
        <v>45499</v>
      </c>
      <c r="D267" t="s">
        <v>466</v>
      </c>
      <c r="E267" t="s">
        <v>902</v>
      </c>
      <c r="G267">
        <v>-536.41999999999996</v>
      </c>
      <c r="H267">
        <v>536.41999999999996</v>
      </c>
      <c r="I267">
        <v>-536.41999999999996</v>
      </c>
      <c r="J267">
        <v>536.41999999999996</v>
      </c>
      <c r="K267">
        <v>19456.59</v>
      </c>
    </row>
    <row r="268" spans="1:11" x14ac:dyDescent="0.25">
      <c r="A268">
        <v>2024</v>
      </c>
      <c r="B268">
        <v>4</v>
      </c>
      <c r="C268" s="1">
        <v>45408</v>
      </c>
      <c r="D268" t="s">
        <v>300</v>
      </c>
      <c r="E268" t="s">
        <v>902</v>
      </c>
      <c r="G268">
        <v>-535.91</v>
      </c>
      <c r="H268">
        <v>535.91</v>
      </c>
      <c r="I268">
        <v>-535.91</v>
      </c>
      <c r="J268">
        <v>535.91</v>
      </c>
      <c r="K268">
        <v>6268.78</v>
      </c>
    </row>
    <row r="269" spans="1:11" x14ac:dyDescent="0.25">
      <c r="A269">
        <v>2024</v>
      </c>
      <c r="B269">
        <v>8</v>
      </c>
      <c r="C269" s="1">
        <v>45531</v>
      </c>
      <c r="D269" t="s">
        <v>533</v>
      </c>
      <c r="E269" t="s">
        <v>902</v>
      </c>
      <c r="G269">
        <v>-535.49</v>
      </c>
      <c r="H269">
        <v>535.49</v>
      </c>
      <c r="I269">
        <v>-535.49</v>
      </c>
      <c r="J269">
        <v>535.49</v>
      </c>
      <c r="K269">
        <v>36322.839999999997</v>
      </c>
    </row>
    <row r="270" spans="1:11" x14ac:dyDescent="0.25">
      <c r="A270">
        <v>2024</v>
      </c>
      <c r="B270">
        <v>11</v>
      </c>
      <c r="C270" s="1">
        <v>45616</v>
      </c>
      <c r="D270" t="s">
        <v>751</v>
      </c>
      <c r="E270" t="s">
        <v>902</v>
      </c>
      <c r="G270">
        <v>-533.13</v>
      </c>
      <c r="H270">
        <v>533.13</v>
      </c>
      <c r="I270">
        <v>-533.13</v>
      </c>
      <c r="J270">
        <v>533.13</v>
      </c>
      <c r="K270">
        <v>3788.59</v>
      </c>
    </row>
    <row r="271" spans="1:11" x14ac:dyDescent="0.25">
      <c r="A271">
        <v>2024</v>
      </c>
      <c r="B271">
        <v>9</v>
      </c>
      <c r="C271" s="1">
        <v>45562</v>
      </c>
      <c r="D271" t="s">
        <v>616</v>
      </c>
      <c r="E271" t="s">
        <v>902</v>
      </c>
      <c r="G271">
        <v>-531.32000000000005</v>
      </c>
      <c r="H271">
        <v>531.32000000000005</v>
      </c>
      <c r="I271">
        <v>-531.32000000000005</v>
      </c>
      <c r="J271">
        <v>531.32000000000005</v>
      </c>
      <c r="K271">
        <v>83133.820000000007</v>
      </c>
    </row>
    <row r="272" spans="1:11" x14ac:dyDescent="0.25">
      <c r="A272">
        <v>2024</v>
      </c>
      <c r="B272">
        <v>9</v>
      </c>
      <c r="C272" s="1">
        <v>45555</v>
      </c>
      <c r="D272" t="s">
        <v>603</v>
      </c>
      <c r="E272" t="s">
        <v>902</v>
      </c>
      <c r="G272">
        <v>-523.59</v>
      </c>
      <c r="H272">
        <v>523.59</v>
      </c>
      <c r="I272">
        <v>-523.59</v>
      </c>
      <c r="J272">
        <v>523.59</v>
      </c>
      <c r="K272">
        <v>82771.460000000006</v>
      </c>
    </row>
    <row r="273" spans="1:11" x14ac:dyDescent="0.25">
      <c r="A273">
        <v>2024</v>
      </c>
      <c r="B273">
        <v>9</v>
      </c>
      <c r="C273" s="1">
        <v>45559</v>
      </c>
      <c r="D273" t="s">
        <v>611</v>
      </c>
      <c r="E273" t="s">
        <v>902</v>
      </c>
      <c r="G273">
        <v>-515.87</v>
      </c>
      <c r="H273">
        <v>515.87</v>
      </c>
      <c r="I273">
        <v>-515.87</v>
      </c>
      <c r="J273">
        <v>515.87</v>
      </c>
      <c r="K273">
        <v>66112.460000000006</v>
      </c>
    </row>
    <row r="274" spans="1:11" x14ac:dyDescent="0.25">
      <c r="A274">
        <v>2024</v>
      </c>
      <c r="B274">
        <v>1</v>
      </c>
      <c r="C274" s="1">
        <v>45302</v>
      </c>
      <c r="D274" t="s">
        <v>134</v>
      </c>
      <c r="E274" t="s">
        <v>902</v>
      </c>
      <c r="G274">
        <v>-515.63</v>
      </c>
      <c r="H274">
        <v>515.63</v>
      </c>
      <c r="I274">
        <v>-515.63</v>
      </c>
      <c r="J274">
        <v>515.63</v>
      </c>
      <c r="K274">
        <v>45418.31</v>
      </c>
    </row>
    <row r="275" spans="1:11" x14ac:dyDescent="0.25">
      <c r="A275">
        <v>2024</v>
      </c>
      <c r="B275">
        <v>5</v>
      </c>
      <c r="C275" s="1">
        <v>45418</v>
      </c>
      <c r="D275" t="s">
        <v>322</v>
      </c>
      <c r="E275" t="s">
        <v>902</v>
      </c>
      <c r="G275">
        <v>-514.01</v>
      </c>
      <c r="H275">
        <v>514.01</v>
      </c>
      <c r="I275">
        <v>-514.01</v>
      </c>
      <c r="J275">
        <v>514.01</v>
      </c>
      <c r="K275">
        <v>9607</v>
      </c>
    </row>
    <row r="276" spans="1:11" x14ac:dyDescent="0.25">
      <c r="A276">
        <v>2024</v>
      </c>
      <c r="B276">
        <v>10</v>
      </c>
      <c r="C276" s="1">
        <v>45580</v>
      </c>
      <c r="D276" t="s">
        <v>667</v>
      </c>
      <c r="E276" t="s">
        <v>902</v>
      </c>
      <c r="G276">
        <v>-513.33000000000004</v>
      </c>
      <c r="H276">
        <v>513.33000000000004</v>
      </c>
      <c r="I276">
        <v>-513.33000000000004</v>
      </c>
      <c r="J276">
        <v>513.33000000000004</v>
      </c>
      <c r="K276">
        <v>103968.38</v>
      </c>
    </row>
    <row r="277" spans="1:11" x14ac:dyDescent="0.25">
      <c r="A277">
        <v>2024</v>
      </c>
      <c r="B277">
        <v>5</v>
      </c>
      <c r="C277" s="1">
        <v>45440</v>
      </c>
      <c r="D277" t="s">
        <v>350</v>
      </c>
      <c r="E277" t="s">
        <v>902</v>
      </c>
      <c r="G277">
        <v>-21.4</v>
      </c>
      <c r="H277">
        <v>21.4</v>
      </c>
      <c r="I277">
        <v>-21.4</v>
      </c>
      <c r="J277">
        <v>21.4</v>
      </c>
      <c r="K277">
        <v>27794.39</v>
      </c>
    </row>
    <row r="278" spans="1:11" x14ac:dyDescent="0.25">
      <c r="A278">
        <v>2024</v>
      </c>
      <c r="B278">
        <v>1</v>
      </c>
      <c r="C278" s="1">
        <v>45299</v>
      </c>
      <c r="D278" t="s">
        <v>128</v>
      </c>
      <c r="E278" t="s">
        <v>902</v>
      </c>
      <c r="G278">
        <v>-21.72</v>
      </c>
      <c r="H278">
        <v>21.72</v>
      </c>
      <c r="I278">
        <v>-21.72</v>
      </c>
      <c r="J278">
        <v>21.72</v>
      </c>
      <c r="K278">
        <v>50527.28</v>
      </c>
    </row>
    <row r="279" spans="1:11" x14ac:dyDescent="0.25">
      <c r="A279">
        <v>2024</v>
      </c>
      <c r="B279">
        <v>6</v>
      </c>
      <c r="C279" s="1">
        <v>45469</v>
      </c>
      <c r="D279" t="s">
        <v>399</v>
      </c>
      <c r="E279" t="s">
        <v>902</v>
      </c>
      <c r="G279">
        <v>-509.35</v>
      </c>
      <c r="H279">
        <v>509.35</v>
      </c>
      <c r="I279">
        <v>-509.35</v>
      </c>
      <c r="J279">
        <v>509.35</v>
      </c>
      <c r="K279">
        <v>85802.67</v>
      </c>
    </row>
    <row r="280" spans="1:11" x14ac:dyDescent="0.25">
      <c r="A280">
        <v>2024</v>
      </c>
      <c r="B280">
        <v>2</v>
      </c>
      <c r="C280" s="1">
        <v>45350</v>
      </c>
      <c r="D280" t="s">
        <v>201</v>
      </c>
      <c r="E280" t="s">
        <v>902</v>
      </c>
      <c r="G280">
        <v>-500</v>
      </c>
      <c r="H280">
        <v>500</v>
      </c>
      <c r="I280">
        <v>-500</v>
      </c>
      <c r="J280">
        <v>500</v>
      </c>
      <c r="K280">
        <v>29322.400000000001</v>
      </c>
    </row>
    <row r="281" spans="1:11" x14ac:dyDescent="0.25">
      <c r="A281">
        <v>2024</v>
      </c>
      <c r="B281">
        <v>3</v>
      </c>
      <c r="C281" s="1">
        <v>45363</v>
      </c>
      <c r="D281" t="s">
        <v>228</v>
      </c>
      <c r="E281" t="s">
        <v>902</v>
      </c>
      <c r="G281">
        <v>-500</v>
      </c>
      <c r="H281">
        <v>500</v>
      </c>
      <c r="I281">
        <v>-500</v>
      </c>
      <c r="J281">
        <v>500</v>
      </c>
      <c r="K281">
        <v>26536.66</v>
      </c>
    </row>
    <row r="282" spans="1:11" x14ac:dyDescent="0.25">
      <c r="A282">
        <v>2024</v>
      </c>
      <c r="B282">
        <v>6</v>
      </c>
      <c r="C282" s="1">
        <v>45460</v>
      </c>
      <c r="D282" t="s">
        <v>388</v>
      </c>
      <c r="E282" t="s">
        <v>902</v>
      </c>
      <c r="G282">
        <v>-500</v>
      </c>
      <c r="H282">
        <v>500</v>
      </c>
      <c r="I282">
        <v>-500</v>
      </c>
      <c r="J282">
        <v>500</v>
      </c>
      <c r="K282">
        <v>34399.46</v>
      </c>
    </row>
    <row r="283" spans="1:11" x14ac:dyDescent="0.25">
      <c r="A283">
        <v>2024</v>
      </c>
      <c r="B283">
        <v>6</v>
      </c>
      <c r="C283" s="1">
        <v>45467</v>
      </c>
      <c r="D283" t="s">
        <v>397</v>
      </c>
      <c r="E283" t="s">
        <v>902</v>
      </c>
      <c r="G283">
        <v>-500</v>
      </c>
      <c r="H283">
        <v>500</v>
      </c>
      <c r="I283">
        <v>-500</v>
      </c>
      <c r="J283">
        <v>500</v>
      </c>
      <c r="K283">
        <v>74758.460000000006</v>
      </c>
    </row>
    <row r="284" spans="1:11" x14ac:dyDescent="0.25">
      <c r="A284">
        <v>2024</v>
      </c>
      <c r="B284">
        <v>7</v>
      </c>
      <c r="C284" s="1">
        <v>45482</v>
      </c>
      <c r="D284" t="s">
        <v>431</v>
      </c>
      <c r="E284" t="s">
        <v>902</v>
      </c>
      <c r="G284">
        <v>-500</v>
      </c>
      <c r="H284">
        <v>500</v>
      </c>
      <c r="I284">
        <v>-500</v>
      </c>
      <c r="J284">
        <v>500</v>
      </c>
      <c r="K284">
        <v>82307.3</v>
      </c>
    </row>
    <row r="285" spans="1:11" x14ac:dyDescent="0.25">
      <c r="A285">
        <v>2024</v>
      </c>
      <c r="B285">
        <v>7</v>
      </c>
      <c r="C285" s="1">
        <v>45488</v>
      </c>
      <c r="D285" t="s">
        <v>439</v>
      </c>
      <c r="E285" t="s">
        <v>902</v>
      </c>
      <c r="G285">
        <v>-500</v>
      </c>
      <c r="H285">
        <v>500</v>
      </c>
      <c r="I285">
        <v>-500</v>
      </c>
      <c r="J285">
        <v>500</v>
      </c>
      <c r="K285">
        <v>63756.63</v>
      </c>
    </row>
    <row r="286" spans="1:11" x14ac:dyDescent="0.25">
      <c r="A286">
        <v>2024</v>
      </c>
      <c r="B286">
        <v>12</v>
      </c>
      <c r="C286" s="1">
        <v>45628</v>
      </c>
      <c r="D286" t="s">
        <v>769</v>
      </c>
      <c r="E286" t="s">
        <v>902</v>
      </c>
      <c r="G286">
        <v>-22.95</v>
      </c>
      <c r="H286">
        <v>22.95</v>
      </c>
      <c r="I286">
        <v>-22.95</v>
      </c>
      <c r="J286">
        <v>22.95</v>
      </c>
      <c r="K286">
        <v>4221.88</v>
      </c>
    </row>
    <row r="287" spans="1:11" x14ac:dyDescent="0.25">
      <c r="A287">
        <v>2024</v>
      </c>
      <c r="B287">
        <v>7</v>
      </c>
      <c r="C287" s="1">
        <v>45475</v>
      </c>
      <c r="D287" t="s">
        <v>422</v>
      </c>
      <c r="E287" t="s">
        <v>902</v>
      </c>
      <c r="G287">
        <v>-498.8</v>
      </c>
      <c r="H287">
        <v>498.8</v>
      </c>
      <c r="I287">
        <v>-498.8</v>
      </c>
      <c r="J287">
        <v>498.8</v>
      </c>
      <c r="K287">
        <v>72075.259999999995</v>
      </c>
    </row>
    <row r="288" spans="1:11" x14ac:dyDescent="0.25">
      <c r="A288">
        <v>2024</v>
      </c>
      <c r="B288">
        <v>6</v>
      </c>
      <c r="C288" s="1">
        <v>45470</v>
      </c>
      <c r="D288" t="s">
        <v>402</v>
      </c>
      <c r="E288" t="s">
        <v>902</v>
      </c>
      <c r="G288">
        <v>-495.82</v>
      </c>
      <c r="H288">
        <v>495.82</v>
      </c>
      <c r="I288">
        <v>-495.82</v>
      </c>
      <c r="J288">
        <v>495.82</v>
      </c>
      <c r="K288">
        <v>78423.350000000006</v>
      </c>
    </row>
    <row r="289" spans="1:11" x14ac:dyDescent="0.25">
      <c r="A289">
        <v>2024</v>
      </c>
      <c r="B289">
        <v>8</v>
      </c>
      <c r="C289" s="1">
        <v>45531</v>
      </c>
      <c r="D289" t="s">
        <v>536</v>
      </c>
      <c r="E289" t="s">
        <v>902</v>
      </c>
      <c r="G289">
        <v>-492.36</v>
      </c>
      <c r="H289">
        <v>492.36</v>
      </c>
      <c r="I289">
        <v>-492.36</v>
      </c>
      <c r="J289">
        <v>492.36</v>
      </c>
      <c r="K289">
        <v>35265.07</v>
      </c>
    </row>
    <row r="290" spans="1:11" x14ac:dyDescent="0.25">
      <c r="A290">
        <v>2024</v>
      </c>
      <c r="B290">
        <v>1</v>
      </c>
      <c r="C290" s="1">
        <v>45308</v>
      </c>
      <c r="D290" t="s">
        <v>146</v>
      </c>
      <c r="E290" t="s">
        <v>902</v>
      </c>
      <c r="G290">
        <v>-488.71</v>
      </c>
      <c r="H290">
        <v>488.71</v>
      </c>
      <c r="I290">
        <v>-488.71</v>
      </c>
      <c r="J290">
        <v>488.71</v>
      </c>
      <c r="K290">
        <v>19504.84</v>
      </c>
    </row>
    <row r="291" spans="1:11" x14ac:dyDescent="0.25">
      <c r="A291">
        <v>2024</v>
      </c>
      <c r="B291">
        <v>1</v>
      </c>
      <c r="C291" s="1">
        <v>45307</v>
      </c>
      <c r="D291" t="s">
        <v>141</v>
      </c>
      <c r="E291" t="s">
        <v>902</v>
      </c>
      <c r="G291">
        <v>-480.3</v>
      </c>
      <c r="H291">
        <v>480.3</v>
      </c>
      <c r="I291">
        <v>-480.3</v>
      </c>
      <c r="J291">
        <v>480.3</v>
      </c>
      <c r="K291">
        <v>20410.87</v>
      </c>
    </row>
    <row r="292" spans="1:11" x14ac:dyDescent="0.25">
      <c r="A292">
        <v>2024</v>
      </c>
      <c r="B292">
        <v>11</v>
      </c>
      <c r="C292" s="1">
        <v>45600</v>
      </c>
      <c r="D292" t="s">
        <v>716</v>
      </c>
      <c r="E292" t="s">
        <v>902</v>
      </c>
      <c r="G292">
        <v>-22.95</v>
      </c>
      <c r="H292">
        <v>22.95</v>
      </c>
      <c r="I292">
        <v>-22.95</v>
      </c>
      <c r="J292">
        <v>22.95</v>
      </c>
      <c r="K292">
        <v>42020.17</v>
      </c>
    </row>
    <row r="293" spans="1:11" x14ac:dyDescent="0.25">
      <c r="A293">
        <v>2024</v>
      </c>
      <c r="B293">
        <v>11</v>
      </c>
      <c r="C293" s="1">
        <v>45611</v>
      </c>
      <c r="D293" t="s">
        <v>739</v>
      </c>
      <c r="E293" t="s">
        <v>902</v>
      </c>
      <c r="G293">
        <v>-466.84</v>
      </c>
      <c r="H293">
        <v>466.84</v>
      </c>
      <c r="I293">
        <v>-466.84</v>
      </c>
      <c r="J293">
        <v>466.84</v>
      </c>
      <c r="K293">
        <v>32809.01</v>
      </c>
    </row>
    <row r="294" spans="1:11" x14ac:dyDescent="0.25">
      <c r="A294">
        <v>2024</v>
      </c>
      <c r="B294">
        <v>8</v>
      </c>
      <c r="C294" s="1">
        <v>45523</v>
      </c>
      <c r="D294" t="s">
        <v>518</v>
      </c>
      <c r="E294" t="s">
        <v>902</v>
      </c>
      <c r="G294">
        <v>-465.56</v>
      </c>
      <c r="H294">
        <v>465.56</v>
      </c>
      <c r="I294">
        <v>-465.56</v>
      </c>
      <c r="J294">
        <v>465.56</v>
      </c>
      <c r="K294">
        <v>71148.570000000007</v>
      </c>
    </row>
    <row r="295" spans="1:11" x14ac:dyDescent="0.25">
      <c r="A295">
        <v>2024</v>
      </c>
      <c r="B295">
        <v>10</v>
      </c>
      <c r="C295" s="1">
        <v>45567</v>
      </c>
      <c r="D295" t="s">
        <v>632</v>
      </c>
      <c r="E295" t="s">
        <v>902</v>
      </c>
      <c r="G295">
        <v>-22.95</v>
      </c>
      <c r="H295">
        <v>22.95</v>
      </c>
      <c r="I295">
        <v>-22.95</v>
      </c>
      <c r="J295">
        <v>22.95</v>
      </c>
      <c r="K295">
        <v>87679.43</v>
      </c>
    </row>
    <row r="296" spans="1:11" x14ac:dyDescent="0.25">
      <c r="A296">
        <v>2024</v>
      </c>
      <c r="B296">
        <v>3</v>
      </c>
      <c r="C296" s="1">
        <v>45379</v>
      </c>
      <c r="D296" t="s">
        <v>252</v>
      </c>
      <c r="E296" t="s">
        <v>902</v>
      </c>
      <c r="G296">
        <v>-457.41</v>
      </c>
      <c r="H296">
        <v>457.41</v>
      </c>
      <c r="I296">
        <v>-457.41</v>
      </c>
      <c r="J296">
        <v>457.41</v>
      </c>
      <c r="K296">
        <v>22012.39</v>
      </c>
    </row>
    <row r="297" spans="1:11" x14ac:dyDescent="0.25">
      <c r="A297">
        <v>2024</v>
      </c>
      <c r="B297">
        <v>3</v>
      </c>
      <c r="C297" s="1">
        <v>45366</v>
      </c>
      <c r="D297" t="s">
        <v>230</v>
      </c>
      <c r="E297" t="s">
        <v>902</v>
      </c>
      <c r="G297">
        <v>-456</v>
      </c>
      <c r="H297">
        <v>456</v>
      </c>
      <c r="I297">
        <v>-456</v>
      </c>
      <c r="J297">
        <v>456</v>
      </c>
      <c r="K297">
        <v>25976.959999999999</v>
      </c>
    </row>
    <row r="298" spans="1:11" x14ac:dyDescent="0.25">
      <c r="A298">
        <v>2024</v>
      </c>
      <c r="B298">
        <v>9</v>
      </c>
      <c r="C298" s="1">
        <v>45553</v>
      </c>
      <c r="D298" t="s">
        <v>597</v>
      </c>
      <c r="E298" t="s">
        <v>902</v>
      </c>
      <c r="G298">
        <v>-456</v>
      </c>
      <c r="H298">
        <v>456</v>
      </c>
      <c r="I298">
        <v>-456</v>
      </c>
      <c r="J298">
        <v>456</v>
      </c>
      <c r="K298">
        <v>83756.75</v>
      </c>
    </row>
    <row r="299" spans="1:11" x14ac:dyDescent="0.25">
      <c r="A299">
        <v>2024</v>
      </c>
      <c r="B299">
        <v>10</v>
      </c>
      <c r="C299" s="1">
        <v>45567</v>
      </c>
      <c r="D299" t="s">
        <v>633</v>
      </c>
      <c r="E299" t="s">
        <v>902</v>
      </c>
      <c r="G299">
        <v>-455.02</v>
      </c>
      <c r="H299">
        <v>455.02</v>
      </c>
      <c r="I299">
        <v>-455.02</v>
      </c>
      <c r="J299">
        <v>455.02</v>
      </c>
      <c r="K299">
        <v>87224.41</v>
      </c>
    </row>
    <row r="300" spans="1:11" x14ac:dyDescent="0.25">
      <c r="A300">
        <v>2024</v>
      </c>
      <c r="B300">
        <v>8</v>
      </c>
      <c r="C300" s="1">
        <v>45506</v>
      </c>
      <c r="D300" t="s">
        <v>484</v>
      </c>
      <c r="E300" t="s">
        <v>902</v>
      </c>
      <c r="G300">
        <v>-22.95</v>
      </c>
      <c r="H300">
        <v>22.95</v>
      </c>
      <c r="I300">
        <v>-22.95</v>
      </c>
      <c r="J300">
        <v>22.95</v>
      </c>
      <c r="K300">
        <v>45906.76</v>
      </c>
    </row>
    <row r="301" spans="1:11" x14ac:dyDescent="0.25">
      <c r="A301">
        <v>2024</v>
      </c>
      <c r="B301">
        <v>7</v>
      </c>
      <c r="C301" s="1">
        <v>45475</v>
      </c>
      <c r="D301" t="s">
        <v>421</v>
      </c>
      <c r="E301" t="s">
        <v>902</v>
      </c>
      <c r="G301">
        <v>-22.95</v>
      </c>
      <c r="H301">
        <v>22.95</v>
      </c>
      <c r="I301">
        <v>-22.95</v>
      </c>
      <c r="J301">
        <v>22.95</v>
      </c>
      <c r="K301">
        <v>72574.06</v>
      </c>
    </row>
    <row r="302" spans="1:11" x14ac:dyDescent="0.25">
      <c r="A302">
        <v>2024</v>
      </c>
      <c r="B302">
        <v>10</v>
      </c>
      <c r="C302" s="1">
        <v>45567</v>
      </c>
      <c r="D302" t="s">
        <v>636</v>
      </c>
      <c r="E302" t="s">
        <v>902</v>
      </c>
      <c r="G302">
        <v>-433.73</v>
      </c>
      <c r="H302">
        <v>433.73</v>
      </c>
      <c r="I302">
        <v>-433.73</v>
      </c>
      <c r="J302">
        <v>433.73</v>
      </c>
      <c r="K302">
        <v>77580.679999999993</v>
      </c>
    </row>
    <row r="303" spans="1:11" x14ac:dyDescent="0.25">
      <c r="A303">
        <v>2024</v>
      </c>
      <c r="B303">
        <v>6</v>
      </c>
      <c r="C303" s="1">
        <v>45446</v>
      </c>
      <c r="D303" t="s">
        <v>363</v>
      </c>
      <c r="E303" t="s">
        <v>902</v>
      </c>
      <c r="G303">
        <v>-22.95</v>
      </c>
      <c r="H303">
        <v>22.95</v>
      </c>
      <c r="I303">
        <v>-22.95</v>
      </c>
      <c r="J303">
        <v>22.95</v>
      </c>
      <c r="K303">
        <v>10894.98</v>
      </c>
    </row>
    <row r="304" spans="1:11" x14ac:dyDescent="0.25">
      <c r="A304">
        <v>2024</v>
      </c>
      <c r="B304">
        <v>5</v>
      </c>
      <c r="C304" s="1">
        <v>45414</v>
      </c>
      <c r="D304" t="s">
        <v>313</v>
      </c>
      <c r="E304" t="s">
        <v>902</v>
      </c>
      <c r="G304">
        <v>-22.95</v>
      </c>
      <c r="H304">
        <v>22.95</v>
      </c>
      <c r="I304">
        <v>-22.95</v>
      </c>
      <c r="J304">
        <v>22.95</v>
      </c>
      <c r="K304">
        <v>27271.26</v>
      </c>
    </row>
    <row r="305" spans="1:11" x14ac:dyDescent="0.25">
      <c r="A305">
        <v>2024</v>
      </c>
      <c r="B305">
        <v>9</v>
      </c>
      <c r="C305" s="1">
        <v>45561</v>
      </c>
      <c r="D305" t="s">
        <v>615</v>
      </c>
      <c r="E305" t="s">
        <v>902</v>
      </c>
      <c r="G305">
        <v>-424.2</v>
      </c>
      <c r="H305">
        <v>424.2</v>
      </c>
      <c r="I305">
        <v>-424.2</v>
      </c>
      <c r="J305">
        <v>424.2</v>
      </c>
      <c r="K305">
        <v>81106.350000000006</v>
      </c>
    </row>
    <row r="306" spans="1:11" x14ac:dyDescent="0.25">
      <c r="A306">
        <v>2024</v>
      </c>
      <c r="B306">
        <v>10</v>
      </c>
      <c r="C306" s="1">
        <v>45586</v>
      </c>
      <c r="D306" t="s">
        <v>686</v>
      </c>
      <c r="E306" t="s">
        <v>902</v>
      </c>
      <c r="G306">
        <v>-23.15</v>
      </c>
      <c r="H306">
        <v>23.15</v>
      </c>
      <c r="I306">
        <v>-23.15</v>
      </c>
      <c r="J306">
        <v>23.15</v>
      </c>
      <c r="K306">
        <v>72461.89</v>
      </c>
    </row>
    <row r="307" spans="1:11" x14ac:dyDescent="0.25">
      <c r="A307">
        <v>2024</v>
      </c>
      <c r="B307">
        <v>1</v>
      </c>
      <c r="C307" s="1">
        <v>45313</v>
      </c>
      <c r="D307" t="s">
        <v>127</v>
      </c>
      <c r="E307" t="s">
        <v>902</v>
      </c>
      <c r="G307">
        <v>-24</v>
      </c>
      <c r="H307">
        <v>24</v>
      </c>
      <c r="I307">
        <v>-24</v>
      </c>
      <c r="J307">
        <v>24</v>
      </c>
      <c r="K307">
        <v>17978.87</v>
      </c>
    </row>
    <row r="308" spans="1:11" x14ac:dyDescent="0.25">
      <c r="A308">
        <v>2024</v>
      </c>
      <c r="B308">
        <v>2</v>
      </c>
      <c r="C308" s="1">
        <v>45345</v>
      </c>
      <c r="D308" t="s">
        <v>195</v>
      </c>
      <c r="E308" t="s">
        <v>902</v>
      </c>
      <c r="G308">
        <v>-421.48</v>
      </c>
      <c r="H308">
        <v>421.48</v>
      </c>
      <c r="I308">
        <v>-421.48</v>
      </c>
      <c r="J308">
        <v>421.48</v>
      </c>
      <c r="K308">
        <v>17453.62</v>
      </c>
    </row>
    <row r="309" spans="1:11" x14ac:dyDescent="0.25">
      <c r="A309">
        <v>2024</v>
      </c>
      <c r="B309">
        <v>9</v>
      </c>
      <c r="C309" s="1">
        <v>45551</v>
      </c>
      <c r="D309" t="s">
        <v>588</v>
      </c>
      <c r="E309" t="s">
        <v>902</v>
      </c>
      <c r="G309">
        <v>-410.49</v>
      </c>
      <c r="H309">
        <v>410.49</v>
      </c>
      <c r="I309">
        <v>-410.49</v>
      </c>
      <c r="J309">
        <v>410.49</v>
      </c>
      <c r="K309">
        <v>87509.7</v>
      </c>
    </row>
    <row r="310" spans="1:11" x14ac:dyDescent="0.25">
      <c r="A310">
        <v>2024</v>
      </c>
      <c r="B310">
        <v>3</v>
      </c>
      <c r="C310" s="1">
        <v>45359</v>
      </c>
      <c r="D310" t="s">
        <v>217</v>
      </c>
      <c r="E310" t="s">
        <v>902</v>
      </c>
      <c r="G310">
        <v>-24.14</v>
      </c>
      <c r="H310">
        <v>24.14</v>
      </c>
      <c r="I310">
        <v>-24.14</v>
      </c>
      <c r="J310">
        <v>24.14</v>
      </c>
      <c r="K310">
        <v>21545.61</v>
      </c>
    </row>
    <row r="311" spans="1:11" x14ac:dyDescent="0.25">
      <c r="A311">
        <v>2024</v>
      </c>
      <c r="B311">
        <v>8</v>
      </c>
      <c r="C311" s="1">
        <v>45531</v>
      </c>
      <c r="D311" t="s">
        <v>535</v>
      </c>
      <c r="E311" t="s">
        <v>902</v>
      </c>
      <c r="G311">
        <v>-401.63</v>
      </c>
      <c r="H311">
        <v>401.63</v>
      </c>
      <c r="I311">
        <v>-401.63</v>
      </c>
      <c r="J311">
        <v>401.63</v>
      </c>
      <c r="K311">
        <v>35757.43</v>
      </c>
    </row>
    <row r="312" spans="1:11" x14ac:dyDescent="0.25">
      <c r="A312">
        <v>2024</v>
      </c>
      <c r="B312">
        <v>12</v>
      </c>
      <c r="C312" s="1">
        <v>45653</v>
      </c>
      <c r="D312" t="s">
        <v>797</v>
      </c>
      <c r="E312" t="s">
        <v>902</v>
      </c>
      <c r="G312">
        <v>-401.63</v>
      </c>
      <c r="H312">
        <v>401.63</v>
      </c>
      <c r="I312">
        <v>-401.63</v>
      </c>
      <c r="J312">
        <v>401.63</v>
      </c>
      <c r="K312">
        <v>142916.88</v>
      </c>
    </row>
    <row r="313" spans="1:11" x14ac:dyDescent="0.25">
      <c r="A313">
        <v>2024</v>
      </c>
      <c r="B313">
        <v>1</v>
      </c>
      <c r="C313" s="1">
        <v>45315</v>
      </c>
      <c r="D313" t="s">
        <v>152</v>
      </c>
      <c r="E313" t="s">
        <v>902</v>
      </c>
      <c r="G313">
        <v>-24.43</v>
      </c>
      <c r="H313">
        <v>24.43</v>
      </c>
      <c r="I313">
        <v>-24.43</v>
      </c>
      <c r="J313">
        <v>24.43</v>
      </c>
      <c r="K313">
        <v>42904.44</v>
      </c>
    </row>
    <row r="314" spans="1:11" x14ac:dyDescent="0.25">
      <c r="A314">
        <v>2024</v>
      </c>
      <c r="B314">
        <v>12</v>
      </c>
      <c r="C314" s="1">
        <v>45643</v>
      </c>
      <c r="D314" t="s">
        <v>794</v>
      </c>
      <c r="E314" t="s">
        <v>902</v>
      </c>
      <c r="G314">
        <v>-25</v>
      </c>
      <c r="H314">
        <v>25</v>
      </c>
      <c r="I314">
        <v>-25</v>
      </c>
      <c r="J314">
        <v>25</v>
      </c>
      <c r="K314">
        <v>39767.919999999998</v>
      </c>
    </row>
    <row r="315" spans="1:11" x14ac:dyDescent="0.25">
      <c r="A315">
        <v>2024</v>
      </c>
      <c r="B315">
        <v>9</v>
      </c>
      <c r="C315" s="1">
        <v>45547</v>
      </c>
      <c r="D315" t="s">
        <v>582</v>
      </c>
      <c r="E315" t="s">
        <v>902</v>
      </c>
      <c r="G315">
        <v>-397.91</v>
      </c>
      <c r="H315">
        <v>397.91</v>
      </c>
      <c r="I315">
        <v>-397.91</v>
      </c>
      <c r="J315">
        <v>397.91</v>
      </c>
      <c r="K315">
        <v>65107.72</v>
      </c>
    </row>
    <row r="316" spans="1:11" x14ac:dyDescent="0.25">
      <c r="A316">
        <v>2024</v>
      </c>
      <c r="B316">
        <v>12</v>
      </c>
      <c r="C316" s="1">
        <v>45657</v>
      </c>
      <c r="D316" t="s">
        <v>806</v>
      </c>
      <c r="E316" t="s">
        <v>902</v>
      </c>
      <c r="G316">
        <v>-395.42</v>
      </c>
      <c r="H316">
        <v>395.42</v>
      </c>
      <c r="I316">
        <v>-395.42</v>
      </c>
      <c r="J316">
        <v>395.42</v>
      </c>
      <c r="K316">
        <v>143579.95000000001</v>
      </c>
    </row>
    <row r="317" spans="1:11" x14ac:dyDescent="0.25">
      <c r="A317">
        <v>2024</v>
      </c>
      <c r="B317">
        <v>12</v>
      </c>
      <c r="C317" s="1">
        <v>45657</v>
      </c>
      <c r="D317" t="s">
        <v>805</v>
      </c>
      <c r="E317" t="s">
        <v>902</v>
      </c>
      <c r="G317">
        <v>-390.74</v>
      </c>
      <c r="H317">
        <v>390.74</v>
      </c>
      <c r="I317">
        <v>-390.74</v>
      </c>
      <c r="J317">
        <v>390.74</v>
      </c>
      <c r="K317">
        <v>143975.37</v>
      </c>
    </row>
    <row r="318" spans="1:11" x14ac:dyDescent="0.25">
      <c r="A318">
        <v>2024</v>
      </c>
      <c r="B318">
        <v>11</v>
      </c>
      <c r="C318" s="1">
        <v>45611</v>
      </c>
      <c r="D318" t="s">
        <v>743</v>
      </c>
      <c r="E318" t="s">
        <v>902</v>
      </c>
      <c r="G318">
        <v>-390</v>
      </c>
      <c r="H318">
        <v>390</v>
      </c>
      <c r="I318">
        <v>-390</v>
      </c>
      <c r="J318">
        <v>390</v>
      </c>
      <c r="K318">
        <v>5223.54</v>
      </c>
    </row>
    <row r="319" spans="1:11" x14ac:dyDescent="0.25">
      <c r="A319">
        <v>2024</v>
      </c>
      <c r="B319">
        <v>12</v>
      </c>
      <c r="C319" s="1">
        <v>45639</v>
      </c>
      <c r="D319" t="s">
        <v>788</v>
      </c>
      <c r="E319" t="s">
        <v>902</v>
      </c>
      <c r="G319">
        <v>-390</v>
      </c>
      <c r="H319">
        <v>390</v>
      </c>
      <c r="I319">
        <v>-390</v>
      </c>
      <c r="J319">
        <v>390</v>
      </c>
      <c r="K319">
        <v>1104.76</v>
      </c>
    </row>
    <row r="320" spans="1:11" x14ac:dyDescent="0.25">
      <c r="A320">
        <v>2024</v>
      </c>
      <c r="B320">
        <v>5</v>
      </c>
      <c r="C320" s="1">
        <v>45432</v>
      </c>
      <c r="D320" t="s">
        <v>344</v>
      </c>
      <c r="E320" t="s">
        <v>902</v>
      </c>
      <c r="G320">
        <v>-26</v>
      </c>
      <c r="H320">
        <v>26</v>
      </c>
      <c r="I320">
        <v>-26</v>
      </c>
      <c r="J320">
        <v>26</v>
      </c>
      <c r="K320">
        <v>17954.13</v>
      </c>
    </row>
    <row r="321" spans="1:11" x14ac:dyDescent="0.25">
      <c r="A321">
        <v>2024</v>
      </c>
      <c r="B321">
        <v>5</v>
      </c>
      <c r="C321" s="1">
        <v>45429</v>
      </c>
      <c r="D321" t="s">
        <v>337</v>
      </c>
      <c r="E321" t="s">
        <v>902</v>
      </c>
      <c r="G321">
        <v>-26.1</v>
      </c>
      <c r="H321">
        <v>26.1</v>
      </c>
      <c r="I321">
        <v>-26.1</v>
      </c>
      <c r="J321">
        <v>26.1</v>
      </c>
      <c r="K321">
        <v>30420.54</v>
      </c>
    </row>
    <row r="322" spans="1:11" x14ac:dyDescent="0.25">
      <c r="A322">
        <v>2024</v>
      </c>
      <c r="B322">
        <v>9</v>
      </c>
      <c r="C322" s="1">
        <v>45545</v>
      </c>
      <c r="D322" t="s">
        <v>580</v>
      </c>
      <c r="E322" t="s">
        <v>902</v>
      </c>
      <c r="G322">
        <v>-383.41</v>
      </c>
      <c r="H322">
        <v>383.41</v>
      </c>
      <c r="I322">
        <v>-383.41</v>
      </c>
      <c r="J322">
        <v>383.41</v>
      </c>
      <c r="K322">
        <v>67506.960000000006</v>
      </c>
    </row>
    <row r="323" spans="1:11" x14ac:dyDescent="0.25">
      <c r="A323">
        <v>2024</v>
      </c>
      <c r="B323">
        <v>10</v>
      </c>
      <c r="C323" s="1">
        <v>45574</v>
      </c>
      <c r="D323" t="s">
        <v>662</v>
      </c>
      <c r="E323" t="s">
        <v>902</v>
      </c>
      <c r="G323">
        <v>-26.55</v>
      </c>
      <c r="H323">
        <v>26.55</v>
      </c>
      <c r="I323">
        <v>-26.55</v>
      </c>
      <c r="J323">
        <v>26.55</v>
      </c>
      <c r="K323">
        <v>66670.09</v>
      </c>
    </row>
    <row r="324" spans="1:11" x14ac:dyDescent="0.25">
      <c r="A324">
        <v>2024</v>
      </c>
      <c r="B324">
        <v>10</v>
      </c>
      <c r="C324" s="1">
        <v>45580</v>
      </c>
      <c r="D324" t="s">
        <v>668</v>
      </c>
      <c r="E324" t="s">
        <v>902</v>
      </c>
      <c r="G324">
        <v>-382.8</v>
      </c>
      <c r="H324">
        <v>382.8</v>
      </c>
      <c r="I324">
        <v>-382.8</v>
      </c>
      <c r="J324">
        <v>382.8</v>
      </c>
      <c r="K324">
        <v>99992.52</v>
      </c>
    </row>
    <row r="325" spans="1:11" x14ac:dyDescent="0.25">
      <c r="A325">
        <v>2024</v>
      </c>
      <c r="B325">
        <v>11</v>
      </c>
      <c r="C325" s="1">
        <v>45618</v>
      </c>
      <c r="D325" t="s">
        <v>754</v>
      </c>
      <c r="E325" t="s">
        <v>902</v>
      </c>
      <c r="G325">
        <v>-382.5</v>
      </c>
      <c r="H325">
        <v>382.5</v>
      </c>
      <c r="I325">
        <v>-382.5</v>
      </c>
      <c r="J325">
        <v>382.5</v>
      </c>
      <c r="K325">
        <v>4641.43</v>
      </c>
    </row>
    <row r="326" spans="1:11" x14ac:dyDescent="0.25">
      <c r="A326">
        <v>2024</v>
      </c>
      <c r="B326">
        <v>11</v>
      </c>
      <c r="C326" s="1">
        <v>45600</v>
      </c>
      <c r="D326" t="s">
        <v>720</v>
      </c>
      <c r="E326" t="s">
        <v>902</v>
      </c>
      <c r="G326">
        <v>-382</v>
      </c>
      <c r="H326">
        <v>382</v>
      </c>
      <c r="I326">
        <v>-382</v>
      </c>
      <c r="J326">
        <v>382</v>
      </c>
      <c r="K326">
        <v>40792.26</v>
      </c>
    </row>
    <row r="327" spans="1:11" x14ac:dyDescent="0.25">
      <c r="A327">
        <v>2024</v>
      </c>
      <c r="B327">
        <v>11</v>
      </c>
      <c r="C327" s="1">
        <v>45608</v>
      </c>
      <c r="D327" t="s">
        <v>733</v>
      </c>
      <c r="E327" t="s">
        <v>902</v>
      </c>
      <c r="G327">
        <v>-381.26</v>
      </c>
      <c r="H327">
        <v>381.26</v>
      </c>
      <c r="I327">
        <v>-381.26</v>
      </c>
      <c r="J327">
        <v>381.26</v>
      </c>
      <c r="K327">
        <v>49756.62</v>
      </c>
    </row>
    <row r="328" spans="1:11" x14ac:dyDescent="0.25">
      <c r="A328">
        <v>2024</v>
      </c>
      <c r="B328">
        <v>10</v>
      </c>
      <c r="C328" s="1">
        <v>45576</v>
      </c>
      <c r="D328" t="s">
        <v>665</v>
      </c>
      <c r="E328" t="s">
        <v>902</v>
      </c>
      <c r="G328">
        <v>-380</v>
      </c>
      <c r="H328">
        <v>380</v>
      </c>
      <c r="I328">
        <v>-380</v>
      </c>
      <c r="J328">
        <v>380</v>
      </c>
      <c r="K328">
        <v>67539.710000000006</v>
      </c>
    </row>
    <row r="329" spans="1:11" x14ac:dyDescent="0.25">
      <c r="A329">
        <v>2024</v>
      </c>
      <c r="B329">
        <v>8</v>
      </c>
      <c r="C329" s="1">
        <v>45519</v>
      </c>
      <c r="D329" t="s">
        <v>510</v>
      </c>
      <c r="E329" t="s">
        <v>902</v>
      </c>
      <c r="G329">
        <v>-376.47</v>
      </c>
      <c r="H329">
        <v>376.47</v>
      </c>
      <c r="I329">
        <v>-376.47</v>
      </c>
      <c r="J329">
        <v>376.47</v>
      </c>
      <c r="K329">
        <v>41072.949999999997</v>
      </c>
    </row>
    <row r="330" spans="1:11" x14ac:dyDescent="0.25">
      <c r="A330">
        <v>2024</v>
      </c>
      <c r="B330">
        <v>6</v>
      </c>
      <c r="C330" s="1">
        <v>45446</v>
      </c>
      <c r="D330" t="s">
        <v>308</v>
      </c>
      <c r="E330" t="s">
        <v>902</v>
      </c>
      <c r="G330">
        <v>-26.61</v>
      </c>
      <c r="H330">
        <v>26.61</v>
      </c>
      <c r="I330">
        <v>-26.61</v>
      </c>
      <c r="J330">
        <v>26.61</v>
      </c>
      <c r="K330">
        <v>5932.54</v>
      </c>
    </row>
    <row r="331" spans="1:11" x14ac:dyDescent="0.25">
      <c r="A331">
        <v>2024</v>
      </c>
      <c r="B331">
        <v>9</v>
      </c>
      <c r="C331" s="1">
        <v>45548</v>
      </c>
      <c r="D331" t="s">
        <v>585</v>
      </c>
      <c r="E331" t="s">
        <v>902</v>
      </c>
      <c r="G331">
        <v>-370</v>
      </c>
      <c r="H331">
        <v>370</v>
      </c>
      <c r="I331">
        <v>-370</v>
      </c>
      <c r="J331">
        <v>370</v>
      </c>
      <c r="K331">
        <v>73535.89</v>
      </c>
    </row>
    <row r="332" spans="1:11" x14ac:dyDescent="0.25">
      <c r="A332">
        <v>2024</v>
      </c>
      <c r="B332">
        <v>6</v>
      </c>
      <c r="C332" s="1">
        <v>45456</v>
      </c>
      <c r="D332" t="s">
        <v>377</v>
      </c>
      <c r="E332" t="s">
        <v>902</v>
      </c>
      <c r="G332">
        <v>-27.08</v>
      </c>
      <c r="H332">
        <v>27.08</v>
      </c>
      <c r="I332">
        <v>-27.08</v>
      </c>
      <c r="J332">
        <v>27.08</v>
      </c>
      <c r="K332">
        <v>47602.3</v>
      </c>
    </row>
    <row r="333" spans="1:11" x14ac:dyDescent="0.25">
      <c r="A333">
        <v>2024</v>
      </c>
      <c r="B333">
        <v>9</v>
      </c>
      <c r="C333" s="1">
        <v>45562</v>
      </c>
      <c r="D333" t="s">
        <v>617</v>
      </c>
      <c r="E333" t="s">
        <v>902</v>
      </c>
      <c r="G333">
        <v>-354.57</v>
      </c>
      <c r="H333">
        <v>354.57</v>
      </c>
      <c r="I333">
        <v>-354.57</v>
      </c>
      <c r="J333">
        <v>354.57</v>
      </c>
      <c r="K333">
        <v>82779.25</v>
      </c>
    </row>
    <row r="334" spans="1:11" x14ac:dyDescent="0.25">
      <c r="A334">
        <v>2024</v>
      </c>
      <c r="B334">
        <v>1</v>
      </c>
      <c r="C334" s="1">
        <v>45299</v>
      </c>
      <c r="D334" t="s">
        <v>128</v>
      </c>
      <c r="E334" t="s">
        <v>902</v>
      </c>
      <c r="G334">
        <v>-354</v>
      </c>
      <c r="H334">
        <v>354</v>
      </c>
      <c r="I334">
        <v>-354</v>
      </c>
      <c r="J334">
        <v>354</v>
      </c>
      <c r="K334">
        <v>50549</v>
      </c>
    </row>
    <row r="335" spans="1:11" x14ac:dyDescent="0.25">
      <c r="A335">
        <v>2024</v>
      </c>
      <c r="B335">
        <v>8</v>
      </c>
      <c r="C335" s="1">
        <v>45520</v>
      </c>
      <c r="D335" t="s">
        <v>512</v>
      </c>
      <c r="E335" t="s">
        <v>902</v>
      </c>
      <c r="G335">
        <v>-354</v>
      </c>
      <c r="H335">
        <v>354</v>
      </c>
      <c r="I335">
        <v>-354</v>
      </c>
      <c r="J335">
        <v>354</v>
      </c>
      <c r="K335">
        <v>58756.45</v>
      </c>
    </row>
    <row r="336" spans="1:11" x14ac:dyDescent="0.25">
      <c r="A336">
        <v>2024</v>
      </c>
      <c r="B336">
        <v>7</v>
      </c>
      <c r="C336" s="1">
        <v>45495</v>
      </c>
      <c r="D336" t="s">
        <v>454</v>
      </c>
      <c r="E336" t="s">
        <v>902</v>
      </c>
      <c r="G336">
        <v>-353.7</v>
      </c>
      <c r="H336">
        <v>353.7</v>
      </c>
      <c r="I336">
        <v>-353.7</v>
      </c>
      <c r="J336">
        <v>353.7</v>
      </c>
      <c r="K336">
        <v>49905.09</v>
      </c>
    </row>
    <row r="337" spans="1:11" x14ac:dyDescent="0.25">
      <c r="A337">
        <v>2024</v>
      </c>
      <c r="B337">
        <v>2</v>
      </c>
      <c r="C337" s="1">
        <v>45343</v>
      </c>
      <c r="D337" t="s">
        <v>191</v>
      </c>
      <c r="E337" t="s">
        <v>902</v>
      </c>
      <c r="G337">
        <v>-350</v>
      </c>
      <c r="H337">
        <v>350</v>
      </c>
      <c r="I337">
        <v>-350</v>
      </c>
      <c r="J337">
        <v>350</v>
      </c>
      <c r="K337">
        <v>15643.61</v>
      </c>
    </row>
    <row r="338" spans="1:11" x14ac:dyDescent="0.25">
      <c r="A338">
        <v>2024</v>
      </c>
      <c r="B338">
        <v>3</v>
      </c>
      <c r="C338" s="1">
        <v>45366</v>
      </c>
      <c r="D338" t="s">
        <v>231</v>
      </c>
      <c r="E338" t="s">
        <v>902</v>
      </c>
      <c r="G338">
        <v>-348</v>
      </c>
      <c r="H338">
        <v>348</v>
      </c>
      <c r="I338">
        <v>-348</v>
      </c>
      <c r="J338">
        <v>348</v>
      </c>
      <c r="K338">
        <v>25628.959999999999</v>
      </c>
    </row>
    <row r="339" spans="1:11" x14ac:dyDescent="0.25">
      <c r="A339">
        <v>2024</v>
      </c>
      <c r="B339">
        <v>1</v>
      </c>
      <c r="C339" s="1">
        <v>45302</v>
      </c>
      <c r="D339" t="s">
        <v>136</v>
      </c>
      <c r="E339" t="s">
        <v>902</v>
      </c>
      <c r="G339">
        <v>-342.5</v>
      </c>
      <c r="H339">
        <v>342.5</v>
      </c>
      <c r="I339">
        <v>-342.5</v>
      </c>
      <c r="J339">
        <v>342.5</v>
      </c>
      <c r="K339">
        <v>36976.07</v>
      </c>
    </row>
    <row r="340" spans="1:11" x14ac:dyDescent="0.25">
      <c r="A340">
        <v>2024</v>
      </c>
      <c r="B340">
        <v>6</v>
      </c>
      <c r="C340" s="1">
        <v>45457</v>
      </c>
      <c r="D340" t="s">
        <v>383</v>
      </c>
      <c r="E340" t="s">
        <v>902</v>
      </c>
      <c r="G340">
        <v>-342</v>
      </c>
      <c r="H340">
        <v>342</v>
      </c>
      <c r="I340">
        <v>-342</v>
      </c>
      <c r="J340">
        <v>342</v>
      </c>
      <c r="K340">
        <v>19954.54</v>
      </c>
    </row>
    <row r="341" spans="1:11" x14ac:dyDescent="0.25">
      <c r="A341">
        <v>2024</v>
      </c>
      <c r="B341">
        <v>7</v>
      </c>
      <c r="C341" s="1">
        <v>45485</v>
      </c>
      <c r="D341" t="s">
        <v>436</v>
      </c>
      <c r="E341" t="s">
        <v>902</v>
      </c>
      <c r="G341">
        <v>-342</v>
      </c>
      <c r="H341">
        <v>342</v>
      </c>
      <c r="I341">
        <v>-342</v>
      </c>
      <c r="J341">
        <v>342</v>
      </c>
      <c r="K341">
        <v>58940.28</v>
      </c>
    </row>
    <row r="342" spans="1:11" x14ac:dyDescent="0.25">
      <c r="A342">
        <v>2024</v>
      </c>
      <c r="B342">
        <v>4</v>
      </c>
      <c r="C342" s="1">
        <v>45394</v>
      </c>
      <c r="D342" t="s">
        <v>278</v>
      </c>
      <c r="E342" t="s">
        <v>902</v>
      </c>
      <c r="G342">
        <v>-336</v>
      </c>
      <c r="H342">
        <v>336</v>
      </c>
      <c r="I342">
        <v>-336</v>
      </c>
      <c r="J342">
        <v>336</v>
      </c>
      <c r="K342">
        <v>36371.279999999999</v>
      </c>
    </row>
    <row r="343" spans="1:11" x14ac:dyDescent="0.25">
      <c r="A343">
        <v>2024</v>
      </c>
      <c r="B343">
        <v>5</v>
      </c>
      <c r="C343" s="1">
        <v>45422</v>
      </c>
      <c r="D343" t="s">
        <v>330</v>
      </c>
      <c r="E343" t="s">
        <v>902</v>
      </c>
      <c r="G343">
        <v>-336</v>
      </c>
      <c r="H343">
        <v>336</v>
      </c>
      <c r="I343">
        <v>-336</v>
      </c>
      <c r="J343">
        <v>336</v>
      </c>
      <c r="K343">
        <v>6642.67</v>
      </c>
    </row>
    <row r="344" spans="1:11" x14ac:dyDescent="0.25">
      <c r="A344">
        <v>2024</v>
      </c>
      <c r="B344">
        <v>4</v>
      </c>
      <c r="C344" s="1">
        <v>45407</v>
      </c>
      <c r="D344" t="s">
        <v>298</v>
      </c>
      <c r="E344" t="s">
        <v>902</v>
      </c>
      <c r="G344">
        <v>-333.36</v>
      </c>
      <c r="H344">
        <v>333.36</v>
      </c>
      <c r="I344">
        <v>-333.36</v>
      </c>
      <c r="J344">
        <v>333.36</v>
      </c>
      <c r="K344">
        <v>11804.69</v>
      </c>
    </row>
    <row r="345" spans="1:11" x14ac:dyDescent="0.25">
      <c r="A345">
        <v>2024</v>
      </c>
      <c r="B345">
        <v>2</v>
      </c>
      <c r="C345" s="1">
        <v>45335</v>
      </c>
      <c r="D345" t="s">
        <v>182</v>
      </c>
      <c r="E345" t="s">
        <v>902</v>
      </c>
      <c r="G345">
        <v>-330.86</v>
      </c>
      <c r="H345">
        <v>330.86</v>
      </c>
      <c r="I345">
        <v>-330.86</v>
      </c>
      <c r="J345">
        <v>330.86</v>
      </c>
      <c r="K345">
        <v>19796.23</v>
      </c>
    </row>
    <row r="346" spans="1:11" x14ac:dyDescent="0.25">
      <c r="A346">
        <v>2024</v>
      </c>
      <c r="B346">
        <v>3</v>
      </c>
      <c r="C346" s="1">
        <v>45379</v>
      </c>
      <c r="D346" t="s">
        <v>253</v>
      </c>
      <c r="E346" t="s">
        <v>902</v>
      </c>
      <c r="G346">
        <v>-316.58</v>
      </c>
      <c r="H346">
        <v>316.58</v>
      </c>
      <c r="I346">
        <v>-316.58</v>
      </c>
      <c r="J346">
        <v>316.58</v>
      </c>
      <c r="K346">
        <v>21695.81</v>
      </c>
    </row>
    <row r="347" spans="1:11" x14ac:dyDescent="0.25">
      <c r="A347">
        <v>2024</v>
      </c>
      <c r="B347">
        <v>9</v>
      </c>
      <c r="C347" s="1">
        <v>45554</v>
      </c>
      <c r="D347" t="s">
        <v>599</v>
      </c>
      <c r="E347" t="s">
        <v>902</v>
      </c>
      <c r="G347">
        <v>-309.95</v>
      </c>
      <c r="H347">
        <v>309.95</v>
      </c>
      <c r="I347">
        <v>-309.95</v>
      </c>
      <c r="J347">
        <v>309.95</v>
      </c>
      <c r="K347">
        <v>89983.679999999993</v>
      </c>
    </row>
    <row r="348" spans="1:11" x14ac:dyDescent="0.25">
      <c r="A348">
        <v>2024</v>
      </c>
      <c r="B348">
        <v>9</v>
      </c>
      <c r="C348" s="1">
        <v>45539</v>
      </c>
      <c r="D348" t="s">
        <v>560</v>
      </c>
      <c r="E348" t="s">
        <v>902</v>
      </c>
      <c r="G348">
        <v>-27.55</v>
      </c>
      <c r="H348">
        <v>27.55</v>
      </c>
      <c r="I348">
        <v>-27.55</v>
      </c>
      <c r="J348">
        <v>27.55</v>
      </c>
      <c r="K348">
        <v>70680.27</v>
      </c>
    </row>
    <row r="349" spans="1:11" x14ac:dyDescent="0.25">
      <c r="A349">
        <v>2024</v>
      </c>
      <c r="B349">
        <v>9</v>
      </c>
      <c r="C349" s="1">
        <v>45551</v>
      </c>
      <c r="D349" t="s">
        <v>591</v>
      </c>
      <c r="E349" t="s">
        <v>902</v>
      </c>
      <c r="G349">
        <v>-307.45</v>
      </c>
      <c r="H349">
        <v>307.45</v>
      </c>
      <c r="I349">
        <v>-307.45</v>
      </c>
      <c r="J349">
        <v>307.45</v>
      </c>
      <c r="K349">
        <v>87013.48</v>
      </c>
    </row>
    <row r="350" spans="1:11" x14ac:dyDescent="0.25">
      <c r="A350">
        <v>2024</v>
      </c>
      <c r="B350">
        <v>9</v>
      </c>
      <c r="C350" s="1">
        <v>45565</v>
      </c>
      <c r="D350" t="s">
        <v>629</v>
      </c>
      <c r="E350" t="s">
        <v>902</v>
      </c>
      <c r="G350">
        <v>-28.19</v>
      </c>
      <c r="H350">
        <v>28.19</v>
      </c>
      <c r="I350">
        <v>-28.19</v>
      </c>
      <c r="J350">
        <v>28.19</v>
      </c>
      <c r="K350">
        <v>94108.76</v>
      </c>
    </row>
    <row r="351" spans="1:11" x14ac:dyDescent="0.25">
      <c r="A351">
        <v>2024</v>
      </c>
      <c r="B351">
        <v>1</v>
      </c>
      <c r="C351" s="1">
        <v>45307</v>
      </c>
      <c r="D351" t="s">
        <v>145</v>
      </c>
      <c r="E351" t="s">
        <v>902</v>
      </c>
      <c r="G351">
        <v>-304.45999999999998</v>
      </c>
      <c r="H351">
        <v>304.45999999999998</v>
      </c>
      <c r="I351">
        <v>-304.45999999999998</v>
      </c>
      <c r="J351">
        <v>304.45999999999998</v>
      </c>
      <c r="K351">
        <v>19993.55</v>
      </c>
    </row>
    <row r="352" spans="1:11" x14ac:dyDescent="0.25">
      <c r="A352">
        <v>2024</v>
      </c>
      <c r="B352">
        <v>1</v>
      </c>
      <c r="C352" s="1">
        <v>45294</v>
      </c>
      <c r="D352" t="s">
        <v>121</v>
      </c>
      <c r="E352" t="s">
        <v>902</v>
      </c>
      <c r="G352">
        <v>-303.83</v>
      </c>
      <c r="H352">
        <v>303.83</v>
      </c>
      <c r="I352">
        <v>-303.83</v>
      </c>
      <c r="J352">
        <v>303.83</v>
      </c>
      <c r="K352">
        <v>28349.5</v>
      </c>
    </row>
    <row r="353" spans="1:11" x14ac:dyDescent="0.25">
      <c r="A353">
        <v>2024</v>
      </c>
      <c r="B353">
        <v>8</v>
      </c>
      <c r="C353" s="1">
        <v>45506</v>
      </c>
      <c r="D353" t="s">
        <v>483</v>
      </c>
      <c r="E353" t="s">
        <v>902</v>
      </c>
      <c r="G353">
        <v>-301.27</v>
      </c>
      <c r="H353">
        <v>301.27</v>
      </c>
      <c r="I353">
        <v>-301.27</v>
      </c>
      <c r="J353">
        <v>301.27</v>
      </c>
      <c r="K353">
        <v>45929.71</v>
      </c>
    </row>
    <row r="354" spans="1:11" x14ac:dyDescent="0.25">
      <c r="A354">
        <v>2024</v>
      </c>
      <c r="B354">
        <v>1</v>
      </c>
      <c r="C354" s="1">
        <v>45303</v>
      </c>
      <c r="D354" t="s">
        <v>138</v>
      </c>
      <c r="E354" t="s">
        <v>902</v>
      </c>
      <c r="G354">
        <v>-300</v>
      </c>
      <c r="H354">
        <v>300</v>
      </c>
      <c r="I354">
        <v>-300</v>
      </c>
      <c r="J354">
        <v>300</v>
      </c>
      <c r="K354">
        <v>33707.54</v>
      </c>
    </row>
    <row r="355" spans="1:11" x14ac:dyDescent="0.25">
      <c r="A355">
        <v>2024</v>
      </c>
      <c r="B355">
        <v>3</v>
      </c>
      <c r="C355" s="1">
        <v>45369</v>
      </c>
      <c r="D355" t="s">
        <v>234</v>
      </c>
      <c r="E355" t="s">
        <v>902</v>
      </c>
      <c r="G355">
        <v>-28.26</v>
      </c>
      <c r="H355">
        <v>28.26</v>
      </c>
      <c r="I355">
        <v>-28.26</v>
      </c>
      <c r="J355">
        <v>28.26</v>
      </c>
      <c r="K355">
        <v>28774.54</v>
      </c>
    </row>
    <row r="356" spans="1:11" x14ac:dyDescent="0.25">
      <c r="A356">
        <v>2024</v>
      </c>
      <c r="B356">
        <v>1</v>
      </c>
      <c r="C356" s="1">
        <v>45307</v>
      </c>
      <c r="D356" t="s">
        <v>142</v>
      </c>
      <c r="E356" t="s">
        <v>902</v>
      </c>
      <c r="G356">
        <v>-29.99</v>
      </c>
      <c r="H356">
        <v>29.99</v>
      </c>
      <c r="I356">
        <v>-29.99</v>
      </c>
      <c r="J356">
        <v>29.99</v>
      </c>
      <c r="K356">
        <v>20380.88</v>
      </c>
    </row>
    <row r="357" spans="1:11" x14ac:dyDescent="0.25">
      <c r="A357">
        <v>2024</v>
      </c>
      <c r="B357">
        <v>1</v>
      </c>
      <c r="C357" s="1">
        <v>45301</v>
      </c>
      <c r="D357" t="s">
        <v>33</v>
      </c>
      <c r="E357" t="s">
        <v>902</v>
      </c>
      <c r="G357">
        <v>-30</v>
      </c>
      <c r="H357">
        <v>30</v>
      </c>
      <c r="I357">
        <v>-30</v>
      </c>
      <c r="J357">
        <v>30</v>
      </c>
      <c r="K357">
        <v>31933.94</v>
      </c>
    </row>
    <row r="358" spans="1:11" x14ac:dyDescent="0.25">
      <c r="A358">
        <v>2024</v>
      </c>
      <c r="B358">
        <v>10</v>
      </c>
      <c r="C358" s="1">
        <v>45573</v>
      </c>
      <c r="D358" t="s">
        <v>656</v>
      </c>
      <c r="E358" t="s">
        <v>902</v>
      </c>
      <c r="G358">
        <v>-279.60000000000002</v>
      </c>
      <c r="H358">
        <v>279.60000000000002</v>
      </c>
      <c r="I358">
        <v>-279.60000000000002</v>
      </c>
      <c r="J358">
        <v>279.60000000000002</v>
      </c>
      <c r="K358">
        <v>69422</v>
      </c>
    </row>
    <row r="359" spans="1:11" x14ac:dyDescent="0.25">
      <c r="A359">
        <v>2024</v>
      </c>
      <c r="B359">
        <v>8</v>
      </c>
      <c r="C359" s="1">
        <v>45505</v>
      </c>
      <c r="D359" t="s">
        <v>480</v>
      </c>
      <c r="E359" t="s">
        <v>902</v>
      </c>
      <c r="G359">
        <v>-278.60000000000002</v>
      </c>
      <c r="H359">
        <v>278.60000000000002</v>
      </c>
      <c r="I359">
        <v>-278.60000000000002</v>
      </c>
      <c r="J359">
        <v>278.60000000000002</v>
      </c>
      <c r="K359">
        <v>47651.46</v>
      </c>
    </row>
    <row r="360" spans="1:11" x14ac:dyDescent="0.25">
      <c r="A360">
        <v>2024</v>
      </c>
      <c r="B360">
        <v>8</v>
      </c>
      <c r="C360" s="1">
        <v>45532</v>
      </c>
      <c r="D360" t="s">
        <v>541</v>
      </c>
      <c r="E360" t="s">
        <v>902</v>
      </c>
      <c r="G360">
        <v>-30.45</v>
      </c>
      <c r="H360">
        <v>30.45</v>
      </c>
      <c r="I360">
        <v>-30.45</v>
      </c>
      <c r="J360">
        <v>30.45</v>
      </c>
      <c r="K360">
        <v>33276.11</v>
      </c>
    </row>
    <row r="361" spans="1:11" x14ac:dyDescent="0.25">
      <c r="A361">
        <v>2024</v>
      </c>
      <c r="B361">
        <v>10</v>
      </c>
      <c r="C361" s="1">
        <v>45586</v>
      </c>
      <c r="D361" t="s">
        <v>687</v>
      </c>
      <c r="E361" t="s">
        <v>902</v>
      </c>
      <c r="G361">
        <v>-31.16</v>
      </c>
      <c r="H361">
        <v>31.16</v>
      </c>
      <c r="I361">
        <v>-31.16</v>
      </c>
      <c r="J361">
        <v>31.16</v>
      </c>
      <c r="K361">
        <v>72430.73</v>
      </c>
    </row>
    <row r="362" spans="1:11" x14ac:dyDescent="0.25">
      <c r="A362">
        <v>2024</v>
      </c>
      <c r="B362">
        <v>9</v>
      </c>
      <c r="C362" s="1">
        <v>45538</v>
      </c>
      <c r="D362" t="s">
        <v>555</v>
      </c>
      <c r="E362" t="s">
        <v>902</v>
      </c>
      <c r="G362">
        <v>-274.13</v>
      </c>
      <c r="H362">
        <v>274.13</v>
      </c>
      <c r="I362">
        <v>-274.13</v>
      </c>
      <c r="J362">
        <v>274.13</v>
      </c>
      <c r="K362">
        <v>76058.64</v>
      </c>
    </row>
    <row r="363" spans="1:11" x14ac:dyDescent="0.25">
      <c r="A363">
        <v>2024</v>
      </c>
      <c r="B363">
        <v>9</v>
      </c>
      <c r="C363" s="1">
        <v>45551</v>
      </c>
      <c r="D363" t="s">
        <v>587</v>
      </c>
      <c r="E363" t="s">
        <v>902</v>
      </c>
      <c r="G363">
        <v>-274.13</v>
      </c>
      <c r="H363">
        <v>274.13</v>
      </c>
      <c r="I363">
        <v>-274.13</v>
      </c>
      <c r="J363">
        <v>274.13</v>
      </c>
      <c r="K363">
        <v>87920.19</v>
      </c>
    </row>
    <row r="364" spans="1:11" x14ac:dyDescent="0.25">
      <c r="A364">
        <v>2024</v>
      </c>
      <c r="B364">
        <v>10</v>
      </c>
      <c r="C364" s="1">
        <v>45569</v>
      </c>
      <c r="D364" t="s">
        <v>646</v>
      </c>
      <c r="E364" t="s">
        <v>902</v>
      </c>
      <c r="G364">
        <v>-274.13</v>
      </c>
      <c r="H364">
        <v>274.13</v>
      </c>
      <c r="I364">
        <v>-274.13</v>
      </c>
      <c r="J364">
        <v>274.13</v>
      </c>
      <c r="K364">
        <v>87759.03</v>
      </c>
    </row>
    <row r="365" spans="1:11" x14ac:dyDescent="0.25">
      <c r="A365">
        <v>2024</v>
      </c>
      <c r="B365">
        <v>11</v>
      </c>
      <c r="C365" s="1">
        <v>45600</v>
      </c>
      <c r="D365" t="s">
        <v>719</v>
      </c>
      <c r="E365" t="s">
        <v>902</v>
      </c>
      <c r="G365">
        <v>-274.13</v>
      </c>
      <c r="H365">
        <v>274.13</v>
      </c>
      <c r="I365">
        <v>-274.13</v>
      </c>
      <c r="J365">
        <v>274.13</v>
      </c>
      <c r="K365">
        <v>41425.120000000003</v>
      </c>
    </row>
    <row r="366" spans="1:11" x14ac:dyDescent="0.25">
      <c r="A366">
        <v>2024</v>
      </c>
      <c r="B366">
        <v>12</v>
      </c>
      <c r="C366" s="1">
        <v>45630</v>
      </c>
      <c r="D366" t="s">
        <v>776</v>
      </c>
      <c r="E366" t="s">
        <v>902</v>
      </c>
      <c r="G366">
        <v>-274.13</v>
      </c>
      <c r="H366">
        <v>274.13</v>
      </c>
      <c r="I366">
        <v>-274.13</v>
      </c>
      <c r="J366">
        <v>274.13</v>
      </c>
      <c r="K366">
        <v>2882.14</v>
      </c>
    </row>
    <row r="367" spans="1:11" x14ac:dyDescent="0.25">
      <c r="A367">
        <v>2024</v>
      </c>
      <c r="B367">
        <v>7</v>
      </c>
      <c r="C367" s="1">
        <v>45474</v>
      </c>
      <c r="D367" t="s">
        <v>415</v>
      </c>
      <c r="E367" t="s">
        <v>902</v>
      </c>
      <c r="G367">
        <v>-31.19</v>
      </c>
      <c r="H367">
        <v>31.19</v>
      </c>
      <c r="I367">
        <v>-31.19</v>
      </c>
      <c r="J367">
        <v>31.19</v>
      </c>
      <c r="K367">
        <v>67624.55</v>
      </c>
    </row>
    <row r="368" spans="1:11" x14ac:dyDescent="0.25">
      <c r="A368">
        <v>2024</v>
      </c>
      <c r="B368">
        <v>9</v>
      </c>
      <c r="C368" s="1">
        <v>45560</v>
      </c>
      <c r="D368" t="s">
        <v>612</v>
      </c>
      <c r="E368" t="s">
        <v>902</v>
      </c>
      <c r="G368">
        <v>-31.2</v>
      </c>
      <c r="H368">
        <v>31.2</v>
      </c>
      <c r="I368">
        <v>-31.2</v>
      </c>
      <c r="J368">
        <v>31.2</v>
      </c>
      <c r="K368">
        <v>66353.279999999999</v>
      </c>
    </row>
    <row r="369" spans="1:11" x14ac:dyDescent="0.25">
      <c r="A369">
        <v>2024</v>
      </c>
      <c r="B369">
        <v>1</v>
      </c>
      <c r="C369" s="1">
        <v>45321</v>
      </c>
      <c r="D369" t="s">
        <v>164</v>
      </c>
      <c r="E369" t="s">
        <v>902</v>
      </c>
      <c r="G369">
        <v>-272.22000000000003</v>
      </c>
      <c r="H369">
        <v>272.22000000000003</v>
      </c>
      <c r="I369">
        <v>-272.22000000000003</v>
      </c>
      <c r="J369">
        <v>272.22000000000003</v>
      </c>
      <c r="K369">
        <v>26032.16</v>
      </c>
    </row>
    <row r="370" spans="1:11" x14ac:dyDescent="0.25">
      <c r="A370">
        <v>2024</v>
      </c>
      <c r="B370">
        <v>10</v>
      </c>
      <c r="C370" s="1">
        <v>45574</v>
      </c>
      <c r="D370" t="s">
        <v>659</v>
      </c>
      <c r="E370" t="s">
        <v>902</v>
      </c>
      <c r="G370">
        <v>-271.82</v>
      </c>
      <c r="H370">
        <v>271.82</v>
      </c>
      <c r="I370">
        <v>-271.82</v>
      </c>
      <c r="J370">
        <v>271.82</v>
      </c>
      <c r="K370">
        <v>69247.16</v>
      </c>
    </row>
    <row r="371" spans="1:11" x14ac:dyDescent="0.25">
      <c r="A371">
        <v>2024</v>
      </c>
      <c r="B371">
        <v>4</v>
      </c>
      <c r="C371" s="1">
        <v>45412</v>
      </c>
      <c r="D371" t="s">
        <v>306</v>
      </c>
      <c r="E371" t="s">
        <v>902</v>
      </c>
      <c r="G371">
        <v>-31.8</v>
      </c>
      <c r="H371">
        <v>31.8</v>
      </c>
      <c r="I371">
        <v>-31.8</v>
      </c>
      <c r="J371">
        <v>31.8</v>
      </c>
      <c r="K371">
        <v>20592.310000000001</v>
      </c>
    </row>
    <row r="372" spans="1:11" x14ac:dyDescent="0.25">
      <c r="A372">
        <v>2024</v>
      </c>
      <c r="B372">
        <v>8</v>
      </c>
      <c r="C372" s="1">
        <v>45509</v>
      </c>
      <c r="D372" t="s">
        <v>491</v>
      </c>
      <c r="E372" t="s">
        <v>902</v>
      </c>
      <c r="G372">
        <v>-31.86</v>
      </c>
      <c r="H372">
        <v>31.86</v>
      </c>
      <c r="I372">
        <v>-31.86</v>
      </c>
      <c r="J372">
        <v>31.86</v>
      </c>
      <c r="K372">
        <v>49237.29</v>
      </c>
    </row>
    <row r="373" spans="1:11" x14ac:dyDescent="0.25">
      <c r="A373">
        <v>2024</v>
      </c>
      <c r="B373">
        <v>2</v>
      </c>
      <c r="C373" s="1">
        <v>45330</v>
      </c>
      <c r="D373" t="s">
        <v>177</v>
      </c>
      <c r="E373" t="s">
        <v>902</v>
      </c>
      <c r="G373">
        <v>-32.06</v>
      </c>
      <c r="H373">
        <v>32.06</v>
      </c>
      <c r="I373">
        <v>-32.06</v>
      </c>
      <c r="J373">
        <v>32.06</v>
      </c>
      <c r="K373">
        <v>34488.03</v>
      </c>
    </row>
    <row r="374" spans="1:11" x14ac:dyDescent="0.25">
      <c r="A374">
        <v>2024</v>
      </c>
      <c r="B374">
        <v>4</v>
      </c>
      <c r="C374" s="1">
        <v>45404</v>
      </c>
      <c r="D374" t="s">
        <v>294</v>
      </c>
      <c r="E374" t="s">
        <v>902</v>
      </c>
      <c r="G374">
        <v>-32.68</v>
      </c>
      <c r="H374">
        <v>32.68</v>
      </c>
      <c r="I374">
        <v>-32.68</v>
      </c>
      <c r="J374">
        <v>32.68</v>
      </c>
      <c r="K374">
        <v>13525.9</v>
      </c>
    </row>
    <row r="375" spans="1:11" x14ac:dyDescent="0.25">
      <c r="A375">
        <v>2024</v>
      </c>
      <c r="B375">
        <v>10</v>
      </c>
      <c r="C375" s="1">
        <v>45566</v>
      </c>
      <c r="D375" t="s">
        <v>630</v>
      </c>
      <c r="E375" t="s">
        <v>902</v>
      </c>
      <c r="G375">
        <v>-258.04000000000002</v>
      </c>
      <c r="H375">
        <v>258.04000000000002</v>
      </c>
      <c r="I375">
        <v>-258.04000000000002</v>
      </c>
      <c r="J375">
        <v>258.04000000000002</v>
      </c>
      <c r="K375">
        <v>93949.72</v>
      </c>
    </row>
    <row r="376" spans="1:11" x14ac:dyDescent="0.25">
      <c r="A376">
        <v>2024</v>
      </c>
      <c r="B376">
        <v>11</v>
      </c>
      <c r="C376" s="1">
        <v>45597</v>
      </c>
      <c r="D376" t="s">
        <v>709</v>
      </c>
      <c r="E376" t="s">
        <v>902</v>
      </c>
      <c r="G376">
        <v>-258.04000000000002</v>
      </c>
      <c r="H376">
        <v>258.04000000000002</v>
      </c>
      <c r="I376">
        <v>-258.04000000000002</v>
      </c>
      <c r="J376">
        <v>258.04000000000002</v>
      </c>
      <c r="K376">
        <v>66914</v>
      </c>
    </row>
    <row r="377" spans="1:11" x14ac:dyDescent="0.25">
      <c r="A377">
        <v>2024</v>
      </c>
      <c r="B377">
        <v>12</v>
      </c>
      <c r="C377" s="1">
        <v>45628</v>
      </c>
      <c r="D377" t="s">
        <v>770</v>
      </c>
      <c r="E377" t="s">
        <v>902</v>
      </c>
      <c r="G377">
        <v>-258.04000000000002</v>
      </c>
      <c r="H377">
        <v>258.04000000000002</v>
      </c>
      <c r="I377">
        <v>-258.04000000000002</v>
      </c>
      <c r="J377">
        <v>258.04000000000002</v>
      </c>
      <c r="K377">
        <v>3963.84</v>
      </c>
    </row>
    <row r="378" spans="1:11" x14ac:dyDescent="0.25">
      <c r="A378">
        <v>2024</v>
      </c>
      <c r="B378">
        <v>1</v>
      </c>
      <c r="C378" s="1">
        <v>45321</v>
      </c>
      <c r="D378" t="s">
        <v>165</v>
      </c>
      <c r="E378" t="s">
        <v>902</v>
      </c>
      <c r="G378">
        <v>-254.16</v>
      </c>
      <c r="H378">
        <v>254.16</v>
      </c>
      <c r="I378">
        <v>-254.16</v>
      </c>
      <c r="J378">
        <v>254.16</v>
      </c>
      <c r="K378">
        <v>25778</v>
      </c>
    </row>
    <row r="379" spans="1:11" x14ac:dyDescent="0.25">
      <c r="A379">
        <v>2024</v>
      </c>
      <c r="B379">
        <v>12</v>
      </c>
      <c r="C379" s="1">
        <v>45629</v>
      </c>
      <c r="D379" t="s">
        <v>774</v>
      </c>
      <c r="E379" t="s">
        <v>902</v>
      </c>
      <c r="G379">
        <v>-33</v>
      </c>
      <c r="H379">
        <v>33</v>
      </c>
      <c r="I379">
        <v>-33</v>
      </c>
      <c r="J379">
        <v>33</v>
      </c>
      <c r="K379">
        <v>3172.27</v>
      </c>
    </row>
    <row r="380" spans="1:11" x14ac:dyDescent="0.25">
      <c r="A380">
        <v>2024</v>
      </c>
      <c r="B380">
        <v>7</v>
      </c>
      <c r="C380" s="1">
        <v>45503</v>
      </c>
      <c r="D380" t="s">
        <v>477</v>
      </c>
      <c r="E380" t="s">
        <v>902</v>
      </c>
      <c r="G380">
        <v>-252.09</v>
      </c>
      <c r="H380">
        <v>252.09</v>
      </c>
      <c r="I380">
        <v>-252.09</v>
      </c>
      <c r="J380">
        <v>252.09</v>
      </c>
      <c r="K380">
        <v>31493.07</v>
      </c>
    </row>
    <row r="381" spans="1:11" x14ac:dyDescent="0.25">
      <c r="A381">
        <v>2024</v>
      </c>
      <c r="B381">
        <v>2</v>
      </c>
      <c r="C381" s="1">
        <v>45324</v>
      </c>
      <c r="D381" t="s">
        <v>168</v>
      </c>
      <c r="E381" t="s">
        <v>902</v>
      </c>
      <c r="G381">
        <v>-251.76</v>
      </c>
      <c r="H381">
        <v>251.76</v>
      </c>
      <c r="I381">
        <v>-251.76</v>
      </c>
      <c r="J381">
        <v>251.76</v>
      </c>
      <c r="K381">
        <v>36575.29</v>
      </c>
    </row>
    <row r="382" spans="1:11" x14ac:dyDescent="0.25">
      <c r="A382">
        <v>2024</v>
      </c>
      <c r="B382">
        <v>3</v>
      </c>
      <c r="C382" s="1">
        <v>45355</v>
      </c>
      <c r="D382" t="s">
        <v>205</v>
      </c>
      <c r="E382" t="s">
        <v>902</v>
      </c>
      <c r="G382">
        <v>-251.75</v>
      </c>
      <c r="H382">
        <v>251.75</v>
      </c>
      <c r="I382">
        <v>-251.75</v>
      </c>
      <c r="J382">
        <v>251.75</v>
      </c>
      <c r="K382">
        <v>28557.29</v>
      </c>
    </row>
    <row r="383" spans="1:11" x14ac:dyDescent="0.25">
      <c r="A383">
        <v>2024</v>
      </c>
      <c r="B383">
        <v>4</v>
      </c>
      <c r="C383" s="1">
        <v>45384</v>
      </c>
      <c r="D383" t="s">
        <v>261</v>
      </c>
      <c r="E383" t="s">
        <v>902</v>
      </c>
      <c r="G383">
        <v>-251.75</v>
      </c>
      <c r="H383">
        <v>251.75</v>
      </c>
      <c r="I383">
        <v>-251.75</v>
      </c>
      <c r="J383">
        <v>251.75</v>
      </c>
      <c r="K383">
        <v>34895.089999999997</v>
      </c>
    </row>
    <row r="384" spans="1:11" x14ac:dyDescent="0.25">
      <c r="A384">
        <v>2024</v>
      </c>
      <c r="B384">
        <v>5</v>
      </c>
      <c r="C384" s="1">
        <v>45414</v>
      </c>
      <c r="D384" t="s">
        <v>311</v>
      </c>
      <c r="E384" t="s">
        <v>902</v>
      </c>
      <c r="G384">
        <v>-251.75</v>
      </c>
      <c r="H384">
        <v>251.75</v>
      </c>
      <c r="I384">
        <v>-251.75</v>
      </c>
      <c r="J384">
        <v>251.75</v>
      </c>
      <c r="K384">
        <v>27417.5</v>
      </c>
    </row>
    <row r="385" spans="1:11" x14ac:dyDescent="0.25">
      <c r="A385">
        <v>2024</v>
      </c>
      <c r="B385">
        <v>6</v>
      </c>
      <c r="C385" s="1">
        <v>45447</v>
      </c>
      <c r="D385" t="s">
        <v>369</v>
      </c>
      <c r="E385" t="s">
        <v>902</v>
      </c>
      <c r="G385">
        <v>-251.75</v>
      </c>
      <c r="H385">
        <v>251.75</v>
      </c>
      <c r="I385">
        <v>-251.75</v>
      </c>
      <c r="J385">
        <v>251.75</v>
      </c>
      <c r="K385">
        <v>25377.41</v>
      </c>
    </row>
    <row r="386" spans="1:11" x14ac:dyDescent="0.25">
      <c r="A386">
        <v>2024</v>
      </c>
      <c r="B386">
        <v>7</v>
      </c>
      <c r="C386" s="1">
        <v>45475</v>
      </c>
      <c r="D386" t="s">
        <v>420</v>
      </c>
      <c r="E386" t="s">
        <v>902</v>
      </c>
      <c r="G386">
        <v>-251.75</v>
      </c>
      <c r="H386">
        <v>251.75</v>
      </c>
      <c r="I386">
        <v>-251.75</v>
      </c>
      <c r="J386">
        <v>251.75</v>
      </c>
      <c r="K386">
        <v>72597.009999999995</v>
      </c>
    </row>
    <row r="387" spans="1:11" x14ac:dyDescent="0.25">
      <c r="A387">
        <v>2024</v>
      </c>
      <c r="B387">
        <v>8</v>
      </c>
      <c r="C387" s="1">
        <v>45506</v>
      </c>
      <c r="D387" t="s">
        <v>482</v>
      </c>
      <c r="E387" t="s">
        <v>902</v>
      </c>
      <c r="G387">
        <v>-251.75</v>
      </c>
      <c r="H387">
        <v>251.75</v>
      </c>
      <c r="I387">
        <v>-251.75</v>
      </c>
      <c r="J387">
        <v>251.75</v>
      </c>
      <c r="K387">
        <v>46230.98</v>
      </c>
    </row>
    <row r="388" spans="1:11" x14ac:dyDescent="0.25">
      <c r="A388">
        <v>2024</v>
      </c>
      <c r="B388">
        <v>9</v>
      </c>
      <c r="C388" s="1">
        <v>45539</v>
      </c>
      <c r="D388" t="s">
        <v>562</v>
      </c>
      <c r="E388" t="s">
        <v>902</v>
      </c>
      <c r="G388">
        <v>-251.75</v>
      </c>
      <c r="H388">
        <v>251.75</v>
      </c>
      <c r="I388">
        <v>-251.75</v>
      </c>
      <c r="J388">
        <v>251.75</v>
      </c>
      <c r="K388">
        <v>70177.919999999998</v>
      </c>
    </row>
    <row r="389" spans="1:11" x14ac:dyDescent="0.25">
      <c r="A389">
        <v>2024</v>
      </c>
      <c r="B389">
        <v>10</v>
      </c>
      <c r="C389" s="1">
        <v>45569</v>
      </c>
      <c r="D389" t="s">
        <v>647</v>
      </c>
      <c r="E389" t="s">
        <v>902</v>
      </c>
      <c r="G389">
        <v>-250.86</v>
      </c>
      <c r="H389">
        <v>250.86</v>
      </c>
      <c r="I389">
        <v>-250.86</v>
      </c>
      <c r="J389">
        <v>250.86</v>
      </c>
      <c r="K389">
        <v>87508.17</v>
      </c>
    </row>
    <row r="390" spans="1:11" x14ac:dyDescent="0.25">
      <c r="A390">
        <v>2024</v>
      </c>
      <c r="B390">
        <v>11</v>
      </c>
      <c r="C390" s="1">
        <v>45600</v>
      </c>
      <c r="D390" t="s">
        <v>65</v>
      </c>
      <c r="E390" t="s">
        <v>902</v>
      </c>
      <c r="G390">
        <v>-250.86</v>
      </c>
      <c r="H390">
        <v>250.86</v>
      </c>
      <c r="I390">
        <v>-250.86</v>
      </c>
      <c r="J390">
        <v>250.86</v>
      </c>
      <c r="K390">
        <v>41174.26</v>
      </c>
    </row>
    <row r="391" spans="1:11" x14ac:dyDescent="0.25">
      <c r="A391">
        <v>2024</v>
      </c>
      <c r="B391">
        <v>12</v>
      </c>
      <c r="C391" s="1">
        <v>45630</v>
      </c>
      <c r="D391" t="s">
        <v>87</v>
      </c>
      <c r="E391" t="s">
        <v>902</v>
      </c>
      <c r="G391">
        <v>-250.86</v>
      </c>
      <c r="H391">
        <v>250.86</v>
      </c>
      <c r="I391">
        <v>-250.86</v>
      </c>
      <c r="J391">
        <v>250.86</v>
      </c>
      <c r="K391">
        <v>2631.28</v>
      </c>
    </row>
    <row r="392" spans="1:11" x14ac:dyDescent="0.25">
      <c r="A392">
        <v>2024</v>
      </c>
      <c r="B392">
        <v>7</v>
      </c>
      <c r="C392" s="1">
        <v>45478</v>
      </c>
      <c r="D392" t="s">
        <v>426</v>
      </c>
      <c r="E392" t="s">
        <v>902</v>
      </c>
      <c r="G392">
        <v>-250.6</v>
      </c>
      <c r="H392">
        <v>250.6</v>
      </c>
      <c r="I392">
        <v>-250.6</v>
      </c>
      <c r="J392">
        <v>250.6</v>
      </c>
      <c r="K392">
        <v>71671.360000000001</v>
      </c>
    </row>
    <row r="393" spans="1:11" x14ac:dyDescent="0.25">
      <c r="A393">
        <v>2024</v>
      </c>
      <c r="B393">
        <v>8</v>
      </c>
      <c r="C393" s="1">
        <v>45509</v>
      </c>
      <c r="D393" t="s">
        <v>495</v>
      </c>
      <c r="E393" t="s">
        <v>902</v>
      </c>
      <c r="G393">
        <v>-250.6</v>
      </c>
      <c r="H393">
        <v>250.6</v>
      </c>
      <c r="I393">
        <v>-250.6</v>
      </c>
      <c r="J393">
        <v>250.6</v>
      </c>
      <c r="K393">
        <v>41801.64</v>
      </c>
    </row>
    <row r="394" spans="1:11" x14ac:dyDescent="0.25">
      <c r="A394">
        <v>2024</v>
      </c>
      <c r="B394">
        <v>9</v>
      </c>
      <c r="C394" s="1">
        <v>45539</v>
      </c>
      <c r="D394" t="s">
        <v>561</v>
      </c>
      <c r="E394" t="s">
        <v>902</v>
      </c>
      <c r="G394">
        <v>-250.6</v>
      </c>
      <c r="H394">
        <v>250.6</v>
      </c>
      <c r="I394">
        <v>-250.6</v>
      </c>
      <c r="J394">
        <v>250.6</v>
      </c>
      <c r="K394">
        <v>70429.67</v>
      </c>
    </row>
    <row r="395" spans="1:11" x14ac:dyDescent="0.25">
      <c r="A395">
        <v>2024</v>
      </c>
      <c r="B395">
        <v>4</v>
      </c>
      <c r="C395" s="1">
        <v>45386</v>
      </c>
      <c r="D395" t="s">
        <v>266</v>
      </c>
      <c r="E395" t="s">
        <v>902</v>
      </c>
      <c r="G395">
        <v>-250.1</v>
      </c>
      <c r="H395">
        <v>250.1</v>
      </c>
      <c r="I395">
        <v>-250.1</v>
      </c>
      <c r="J395">
        <v>250.1</v>
      </c>
      <c r="K395">
        <v>34470.06</v>
      </c>
    </row>
    <row r="396" spans="1:11" x14ac:dyDescent="0.25">
      <c r="A396">
        <v>2024</v>
      </c>
      <c r="B396">
        <v>5</v>
      </c>
      <c r="C396" s="1">
        <v>45418</v>
      </c>
      <c r="D396" t="s">
        <v>320</v>
      </c>
      <c r="E396" t="s">
        <v>902</v>
      </c>
      <c r="G396">
        <v>-250.1</v>
      </c>
      <c r="H396">
        <v>250.1</v>
      </c>
      <c r="I396">
        <v>-250.1</v>
      </c>
      <c r="J396">
        <v>250.1</v>
      </c>
      <c r="K396">
        <v>10127.370000000001</v>
      </c>
    </row>
    <row r="397" spans="1:11" x14ac:dyDescent="0.25">
      <c r="A397">
        <v>2024</v>
      </c>
      <c r="B397">
        <v>6</v>
      </c>
      <c r="C397" s="1">
        <v>45447</v>
      </c>
      <c r="D397" t="s">
        <v>368</v>
      </c>
      <c r="E397" t="s">
        <v>902</v>
      </c>
      <c r="G397">
        <v>-250.1</v>
      </c>
      <c r="H397">
        <v>250.1</v>
      </c>
      <c r="I397">
        <v>-250.1</v>
      </c>
      <c r="J397">
        <v>250.1</v>
      </c>
      <c r="K397">
        <v>25629.16</v>
      </c>
    </row>
    <row r="398" spans="1:11" x14ac:dyDescent="0.25">
      <c r="A398">
        <v>2024</v>
      </c>
      <c r="B398">
        <v>10</v>
      </c>
      <c r="C398" s="1">
        <v>45568</v>
      </c>
      <c r="D398" t="s">
        <v>641</v>
      </c>
      <c r="E398" t="s">
        <v>902</v>
      </c>
      <c r="G398">
        <v>-250</v>
      </c>
      <c r="H398">
        <v>250</v>
      </c>
      <c r="I398">
        <v>-250</v>
      </c>
      <c r="J398">
        <v>250</v>
      </c>
      <c r="K398">
        <v>89113.04</v>
      </c>
    </row>
    <row r="399" spans="1:11" x14ac:dyDescent="0.25">
      <c r="A399">
        <v>2024</v>
      </c>
      <c r="B399">
        <v>11</v>
      </c>
      <c r="C399" s="1">
        <v>45600</v>
      </c>
      <c r="D399" t="s">
        <v>715</v>
      </c>
      <c r="E399" t="s">
        <v>902</v>
      </c>
      <c r="G399">
        <v>-250</v>
      </c>
      <c r="H399">
        <v>250</v>
      </c>
      <c r="I399">
        <v>-250</v>
      </c>
      <c r="J399">
        <v>250</v>
      </c>
      <c r="K399">
        <v>42043.12</v>
      </c>
    </row>
    <row r="400" spans="1:11" x14ac:dyDescent="0.25">
      <c r="A400">
        <v>2024</v>
      </c>
      <c r="B400">
        <v>12</v>
      </c>
      <c r="C400" s="1">
        <v>45629</v>
      </c>
      <c r="D400" t="s">
        <v>771</v>
      </c>
      <c r="E400" t="s">
        <v>902</v>
      </c>
      <c r="G400">
        <v>-250</v>
      </c>
      <c r="H400">
        <v>250</v>
      </c>
      <c r="I400">
        <v>-250</v>
      </c>
      <c r="J400">
        <v>250</v>
      </c>
      <c r="K400">
        <v>3563.84</v>
      </c>
    </row>
    <row r="401" spans="1:11" x14ac:dyDescent="0.25">
      <c r="A401">
        <v>2024</v>
      </c>
      <c r="B401">
        <v>11</v>
      </c>
      <c r="C401" s="1">
        <v>45600</v>
      </c>
      <c r="D401" t="s">
        <v>721</v>
      </c>
      <c r="E401" t="s">
        <v>902</v>
      </c>
      <c r="G401">
        <v>-33</v>
      </c>
      <c r="H401">
        <v>33</v>
      </c>
      <c r="I401">
        <v>-33</v>
      </c>
      <c r="J401">
        <v>33</v>
      </c>
      <c r="K401">
        <v>40759.26</v>
      </c>
    </row>
    <row r="402" spans="1:11" x14ac:dyDescent="0.25">
      <c r="A402">
        <v>2024</v>
      </c>
      <c r="B402">
        <v>10</v>
      </c>
      <c r="C402" s="1">
        <v>45567</v>
      </c>
      <c r="D402" t="s">
        <v>637</v>
      </c>
      <c r="E402" t="s">
        <v>902</v>
      </c>
      <c r="G402">
        <v>-33</v>
      </c>
      <c r="H402">
        <v>33</v>
      </c>
      <c r="I402">
        <v>-33</v>
      </c>
      <c r="J402">
        <v>33</v>
      </c>
      <c r="K402">
        <v>77547.679999999993</v>
      </c>
    </row>
    <row r="403" spans="1:11" x14ac:dyDescent="0.25">
      <c r="A403">
        <v>2024</v>
      </c>
      <c r="B403">
        <v>9</v>
      </c>
      <c r="C403" s="1">
        <v>45538</v>
      </c>
      <c r="D403" t="s">
        <v>558</v>
      </c>
      <c r="E403" t="s">
        <v>902</v>
      </c>
      <c r="G403">
        <v>-33</v>
      </c>
      <c r="H403">
        <v>33</v>
      </c>
      <c r="I403">
        <v>-33</v>
      </c>
      <c r="J403">
        <v>33</v>
      </c>
      <c r="K403">
        <v>70200.820000000007</v>
      </c>
    </row>
    <row r="404" spans="1:11" x14ac:dyDescent="0.25">
      <c r="A404">
        <v>2024</v>
      </c>
      <c r="B404">
        <v>1</v>
      </c>
      <c r="C404" s="1">
        <v>45310</v>
      </c>
      <c r="D404" t="s">
        <v>149</v>
      </c>
      <c r="E404" t="s">
        <v>902</v>
      </c>
      <c r="G404">
        <v>-249.37</v>
      </c>
      <c r="H404">
        <v>249.37</v>
      </c>
      <c r="I404">
        <v>-249.37</v>
      </c>
      <c r="J404">
        <v>249.37</v>
      </c>
      <c r="K404">
        <v>18135.310000000001</v>
      </c>
    </row>
    <row r="405" spans="1:11" x14ac:dyDescent="0.25">
      <c r="A405">
        <v>2024</v>
      </c>
      <c r="B405">
        <v>2</v>
      </c>
      <c r="C405" s="1">
        <v>45342</v>
      </c>
      <c r="D405" t="s">
        <v>190</v>
      </c>
      <c r="E405" t="s">
        <v>902</v>
      </c>
      <c r="G405">
        <v>-249.37</v>
      </c>
      <c r="H405">
        <v>249.37</v>
      </c>
      <c r="I405">
        <v>-249.37</v>
      </c>
      <c r="J405">
        <v>249.37</v>
      </c>
      <c r="K405">
        <v>15993.61</v>
      </c>
    </row>
    <row r="406" spans="1:11" x14ac:dyDescent="0.25">
      <c r="A406">
        <v>2024</v>
      </c>
      <c r="B406">
        <v>3</v>
      </c>
      <c r="C406" s="1">
        <v>45370</v>
      </c>
      <c r="D406" t="s">
        <v>237</v>
      </c>
      <c r="E406" t="s">
        <v>902</v>
      </c>
      <c r="G406">
        <v>-249.37</v>
      </c>
      <c r="H406">
        <v>249.37</v>
      </c>
      <c r="I406">
        <v>-249.37</v>
      </c>
      <c r="J406">
        <v>249.37</v>
      </c>
      <c r="K406">
        <v>27458.39</v>
      </c>
    </row>
    <row r="407" spans="1:11" x14ac:dyDescent="0.25">
      <c r="A407">
        <v>2024</v>
      </c>
      <c r="B407">
        <v>4</v>
      </c>
      <c r="C407" s="1">
        <v>45404</v>
      </c>
      <c r="D407" t="s">
        <v>292</v>
      </c>
      <c r="E407" t="s">
        <v>902</v>
      </c>
      <c r="G407">
        <v>-249.37</v>
      </c>
      <c r="H407">
        <v>249.37</v>
      </c>
      <c r="I407">
        <v>-249.37</v>
      </c>
      <c r="J407">
        <v>249.37</v>
      </c>
      <c r="K407">
        <v>13691.14</v>
      </c>
    </row>
    <row r="408" spans="1:11" x14ac:dyDescent="0.25">
      <c r="A408">
        <v>2024</v>
      </c>
      <c r="B408">
        <v>5</v>
      </c>
      <c r="C408" s="1">
        <v>45432</v>
      </c>
      <c r="D408" t="s">
        <v>343</v>
      </c>
      <c r="E408" t="s">
        <v>902</v>
      </c>
      <c r="G408">
        <v>-249.37</v>
      </c>
      <c r="H408">
        <v>249.37</v>
      </c>
      <c r="I408">
        <v>-249.37</v>
      </c>
      <c r="J408">
        <v>249.37</v>
      </c>
      <c r="K408">
        <v>17980.13</v>
      </c>
    </row>
    <row r="409" spans="1:11" x14ac:dyDescent="0.25">
      <c r="A409">
        <v>2024</v>
      </c>
      <c r="B409">
        <v>6</v>
      </c>
      <c r="C409" s="1">
        <v>45463</v>
      </c>
      <c r="D409" t="s">
        <v>393</v>
      </c>
      <c r="E409" t="s">
        <v>902</v>
      </c>
      <c r="G409">
        <v>-249.37</v>
      </c>
      <c r="H409">
        <v>249.37</v>
      </c>
      <c r="I409">
        <v>-249.37</v>
      </c>
      <c r="J409">
        <v>249.37</v>
      </c>
      <c r="K409">
        <v>55893.46</v>
      </c>
    </row>
    <row r="410" spans="1:11" x14ac:dyDescent="0.25">
      <c r="A410">
        <v>2024</v>
      </c>
      <c r="B410">
        <v>7</v>
      </c>
      <c r="C410" s="1">
        <v>45495</v>
      </c>
      <c r="D410" t="s">
        <v>451</v>
      </c>
      <c r="E410" t="s">
        <v>902</v>
      </c>
      <c r="G410">
        <v>-249.37</v>
      </c>
      <c r="H410">
        <v>249.37</v>
      </c>
      <c r="I410">
        <v>-249.37</v>
      </c>
      <c r="J410">
        <v>249.37</v>
      </c>
      <c r="K410">
        <v>51842.26</v>
      </c>
    </row>
    <row r="411" spans="1:11" x14ac:dyDescent="0.25">
      <c r="A411">
        <v>2024</v>
      </c>
      <c r="B411">
        <v>8</v>
      </c>
      <c r="C411" s="1">
        <v>45523</v>
      </c>
      <c r="D411" t="s">
        <v>519</v>
      </c>
      <c r="E411" t="s">
        <v>902</v>
      </c>
      <c r="G411">
        <v>-249.37</v>
      </c>
      <c r="H411">
        <v>249.37</v>
      </c>
      <c r="I411">
        <v>-249.37</v>
      </c>
      <c r="J411">
        <v>249.37</v>
      </c>
      <c r="K411">
        <v>70899.199999999997</v>
      </c>
    </row>
    <row r="412" spans="1:11" x14ac:dyDescent="0.25">
      <c r="A412">
        <v>2024</v>
      </c>
      <c r="B412">
        <v>9</v>
      </c>
      <c r="C412" s="1">
        <v>45554</v>
      </c>
      <c r="D412" t="s">
        <v>600</v>
      </c>
      <c r="E412" t="s">
        <v>902</v>
      </c>
      <c r="G412">
        <v>-249.37</v>
      </c>
      <c r="H412">
        <v>249.37</v>
      </c>
      <c r="I412">
        <v>-249.37</v>
      </c>
      <c r="J412">
        <v>249.37</v>
      </c>
      <c r="K412">
        <v>89734.31</v>
      </c>
    </row>
    <row r="413" spans="1:11" x14ac:dyDescent="0.25">
      <c r="A413">
        <v>2024</v>
      </c>
      <c r="B413">
        <v>10</v>
      </c>
      <c r="C413" s="1">
        <v>45586</v>
      </c>
      <c r="D413" t="s">
        <v>52</v>
      </c>
      <c r="E413" t="s">
        <v>902</v>
      </c>
      <c r="G413">
        <v>-249.37</v>
      </c>
      <c r="H413">
        <v>249.37</v>
      </c>
      <c r="I413">
        <v>-249.37</v>
      </c>
      <c r="J413">
        <v>249.37</v>
      </c>
      <c r="K413">
        <v>72548.259999999995</v>
      </c>
    </row>
    <row r="414" spans="1:11" x14ac:dyDescent="0.25">
      <c r="A414">
        <v>2024</v>
      </c>
      <c r="B414">
        <v>11</v>
      </c>
      <c r="C414" s="1">
        <v>45615</v>
      </c>
      <c r="D414" t="s">
        <v>77</v>
      </c>
      <c r="E414" t="s">
        <v>902</v>
      </c>
      <c r="G414">
        <v>-249.37</v>
      </c>
      <c r="H414">
        <v>249.37</v>
      </c>
      <c r="I414">
        <v>-249.37</v>
      </c>
      <c r="J414">
        <v>249.37</v>
      </c>
      <c r="K414">
        <v>4321.72</v>
      </c>
    </row>
    <row r="415" spans="1:11" x14ac:dyDescent="0.25">
      <c r="A415">
        <v>2024</v>
      </c>
      <c r="B415">
        <v>1</v>
      </c>
      <c r="C415" s="1">
        <v>45295</v>
      </c>
      <c r="D415" t="s">
        <v>123</v>
      </c>
      <c r="E415" t="s">
        <v>902</v>
      </c>
      <c r="G415">
        <v>-248.54</v>
      </c>
      <c r="H415">
        <v>248.54</v>
      </c>
      <c r="I415">
        <v>-248.54</v>
      </c>
      <c r="J415">
        <v>248.54</v>
      </c>
      <c r="K415">
        <v>28099.96</v>
      </c>
    </row>
    <row r="416" spans="1:11" x14ac:dyDescent="0.25">
      <c r="A416">
        <v>2024</v>
      </c>
      <c r="B416">
        <v>2</v>
      </c>
      <c r="C416" s="1">
        <v>45327</v>
      </c>
      <c r="D416" t="s">
        <v>175</v>
      </c>
      <c r="E416" t="s">
        <v>902</v>
      </c>
      <c r="G416">
        <v>-248.54</v>
      </c>
      <c r="H416">
        <v>248.54</v>
      </c>
      <c r="I416">
        <v>-248.54</v>
      </c>
      <c r="J416">
        <v>248.54</v>
      </c>
      <c r="K416">
        <v>34817.660000000003</v>
      </c>
    </row>
    <row r="417" spans="1:11" x14ac:dyDescent="0.25">
      <c r="A417">
        <v>2024</v>
      </c>
      <c r="B417">
        <v>3</v>
      </c>
      <c r="C417" s="1">
        <v>45355</v>
      </c>
      <c r="D417" t="s">
        <v>209</v>
      </c>
      <c r="E417" t="s">
        <v>902</v>
      </c>
      <c r="G417">
        <v>-248.54</v>
      </c>
      <c r="H417">
        <v>248.54</v>
      </c>
      <c r="I417">
        <v>-248.54</v>
      </c>
      <c r="J417">
        <v>248.54</v>
      </c>
      <c r="K417">
        <v>27908.32</v>
      </c>
    </row>
    <row r="418" spans="1:11" x14ac:dyDescent="0.25">
      <c r="A418">
        <v>2024</v>
      </c>
      <c r="B418">
        <v>8</v>
      </c>
      <c r="C418" s="1">
        <v>45506</v>
      </c>
      <c r="D418" t="s">
        <v>488</v>
      </c>
      <c r="E418" t="s">
        <v>902</v>
      </c>
      <c r="G418">
        <v>-33</v>
      </c>
      <c r="H418">
        <v>33</v>
      </c>
      <c r="I418">
        <v>-33</v>
      </c>
      <c r="J418">
        <v>33</v>
      </c>
      <c r="K418">
        <v>44055.15</v>
      </c>
    </row>
    <row r="419" spans="1:11" x14ac:dyDescent="0.25">
      <c r="A419">
        <v>2024</v>
      </c>
      <c r="B419">
        <v>3</v>
      </c>
      <c r="C419" s="1">
        <v>45379</v>
      </c>
      <c r="D419" t="s">
        <v>255</v>
      </c>
      <c r="E419" t="s">
        <v>902</v>
      </c>
      <c r="G419">
        <v>-33</v>
      </c>
      <c r="H419">
        <v>33</v>
      </c>
      <c r="I419">
        <v>-33</v>
      </c>
      <c r="J419">
        <v>33</v>
      </c>
      <c r="K419">
        <v>21476.560000000001</v>
      </c>
    </row>
    <row r="420" spans="1:11" x14ac:dyDescent="0.25">
      <c r="A420">
        <v>2024</v>
      </c>
      <c r="B420">
        <v>2</v>
      </c>
      <c r="C420" s="1">
        <v>45349</v>
      </c>
      <c r="D420" t="s">
        <v>200</v>
      </c>
      <c r="E420" t="s">
        <v>902</v>
      </c>
      <c r="G420">
        <v>-33</v>
      </c>
      <c r="H420">
        <v>33</v>
      </c>
      <c r="I420">
        <v>-33</v>
      </c>
      <c r="J420">
        <v>33</v>
      </c>
      <c r="K420">
        <v>22729.4</v>
      </c>
    </row>
    <row r="421" spans="1:11" x14ac:dyDescent="0.25">
      <c r="A421">
        <v>2024</v>
      </c>
      <c r="B421">
        <v>1</v>
      </c>
      <c r="C421" s="1">
        <v>45317</v>
      </c>
      <c r="D421" t="s">
        <v>157</v>
      </c>
      <c r="E421" t="s">
        <v>902</v>
      </c>
      <c r="G421">
        <v>-246.17</v>
      </c>
      <c r="H421">
        <v>246.17</v>
      </c>
      <c r="I421">
        <v>-246.17</v>
      </c>
      <c r="J421">
        <v>246.17</v>
      </c>
      <c r="K421">
        <v>27165.73</v>
      </c>
    </row>
    <row r="422" spans="1:11" x14ac:dyDescent="0.25">
      <c r="A422">
        <v>2024</v>
      </c>
      <c r="B422">
        <v>2</v>
      </c>
      <c r="C422" s="1">
        <v>45336</v>
      </c>
      <c r="D422" t="s">
        <v>185</v>
      </c>
      <c r="E422" t="s">
        <v>902</v>
      </c>
      <c r="G422">
        <v>-244.36</v>
      </c>
      <c r="H422">
        <v>244.36</v>
      </c>
      <c r="I422">
        <v>-244.36</v>
      </c>
      <c r="J422">
        <v>244.36</v>
      </c>
      <c r="K422">
        <v>16754.310000000001</v>
      </c>
    </row>
    <row r="423" spans="1:11" x14ac:dyDescent="0.25">
      <c r="A423">
        <v>2024</v>
      </c>
      <c r="B423">
        <v>7</v>
      </c>
      <c r="C423" s="1">
        <v>45475</v>
      </c>
      <c r="D423" t="s">
        <v>424</v>
      </c>
      <c r="E423" t="s">
        <v>902</v>
      </c>
      <c r="G423">
        <v>-33.299999999999997</v>
      </c>
      <c r="H423">
        <v>33.299999999999997</v>
      </c>
      <c r="I423">
        <v>-33.299999999999997</v>
      </c>
      <c r="J423">
        <v>33.299999999999997</v>
      </c>
      <c r="K423">
        <v>71922.960000000006</v>
      </c>
    </row>
    <row r="424" spans="1:11" x14ac:dyDescent="0.25">
      <c r="A424">
        <v>2024</v>
      </c>
      <c r="B424">
        <v>1</v>
      </c>
      <c r="C424" s="1">
        <v>45296</v>
      </c>
      <c r="D424" t="s">
        <v>127</v>
      </c>
      <c r="E424" t="s">
        <v>902</v>
      </c>
      <c r="G424">
        <v>-34</v>
      </c>
      <c r="H424">
        <v>34</v>
      </c>
      <c r="I424">
        <v>-34</v>
      </c>
      <c r="J424">
        <v>34</v>
      </c>
      <c r="K424">
        <v>50903</v>
      </c>
    </row>
    <row r="425" spans="1:11" x14ac:dyDescent="0.25">
      <c r="A425">
        <v>2024</v>
      </c>
      <c r="B425">
        <v>10</v>
      </c>
      <c r="C425" s="1">
        <v>45596</v>
      </c>
      <c r="D425" t="s">
        <v>701</v>
      </c>
      <c r="E425" t="s">
        <v>902</v>
      </c>
      <c r="G425">
        <v>-237.99</v>
      </c>
      <c r="H425">
        <v>237.99</v>
      </c>
      <c r="I425">
        <v>-237.99</v>
      </c>
      <c r="J425">
        <v>237.99</v>
      </c>
      <c r="K425">
        <v>76398.009999999995</v>
      </c>
    </row>
    <row r="426" spans="1:11" x14ac:dyDescent="0.25">
      <c r="A426">
        <v>2024</v>
      </c>
      <c r="B426">
        <v>10</v>
      </c>
      <c r="C426" s="1">
        <v>45569</v>
      </c>
      <c r="D426" t="s">
        <v>644</v>
      </c>
      <c r="E426" t="s">
        <v>902</v>
      </c>
      <c r="G426">
        <v>-34.25</v>
      </c>
      <c r="H426">
        <v>34.25</v>
      </c>
      <c r="I426">
        <v>-34.25</v>
      </c>
      <c r="J426">
        <v>34.25</v>
      </c>
      <c r="K426">
        <v>88181.57</v>
      </c>
    </row>
    <row r="427" spans="1:11" x14ac:dyDescent="0.25">
      <c r="A427">
        <v>2024</v>
      </c>
      <c r="B427">
        <v>1</v>
      </c>
      <c r="C427" s="1">
        <v>45293</v>
      </c>
      <c r="D427" t="s">
        <v>120</v>
      </c>
      <c r="E427" t="s">
        <v>902</v>
      </c>
      <c r="G427">
        <v>-34.6</v>
      </c>
      <c r="H427">
        <v>34.6</v>
      </c>
      <c r="I427">
        <v>-34.6</v>
      </c>
      <c r="J427">
        <v>34.6</v>
      </c>
      <c r="K427">
        <v>28653.33</v>
      </c>
    </row>
    <row r="428" spans="1:11" x14ac:dyDescent="0.25">
      <c r="A428">
        <v>2024</v>
      </c>
      <c r="B428">
        <v>9</v>
      </c>
      <c r="C428" s="1">
        <v>45553</v>
      </c>
      <c r="D428" t="s">
        <v>594</v>
      </c>
      <c r="E428" t="s">
        <v>902</v>
      </c>
      <c r="G428">
        <v>-230.29</v>
      </c>
      <c r="H428">
        <v>230.29</v>
      </c>
      <c r="I428">
        <v>-230.29</v>
      </c>
      <c r="J428">
        <v>230.29</v>
      </c>
      <c r="K428">
        <v>85530.26</v>
      </c>
    </row>
    <row r="429" spans="1:11" x14ac:dyDescent="0.25">
      <c r="A429">
        <v>2024</v>
      </c>
      <c r="B429">
        <v>9</v>
      </c>
      <c r="C429" s="1">
        <v>45538</v>
      </c>
      <c r="D429" t="s">
        <v>308</v>
      </c>
      <c r="E429" t="s">
        <v>902</v>
      </c>
      <c r="G429">
        <v>-226.7</v>
      </c>
      <c r="H429">
        <v>226.7</v>
      </c>
      <c r="I429">
        <v>-226.7</v>
      </c>
      <c r="J429">
        <v>226.7</v>
      </c>
      <c r="K429">
        <v>70233.820000000007</v>
      </c>
    </row>
    <row r="430" spans="1:11" x14ac:dyDescent="0.25">
      <c r="A430">
        <v>2024</v>
      </c>
      <c r="B430">
        <v>10</v>
      </c>
      <c r="C430" s="1">
        <v>45596</v>
      </c>
      <c r="D430" t="s">
        <v>704</v>
      </c>
      <c r="E430" t="s">
        <v>902</v>
      </c>
      <c r="G430">
        <v>-225.51</v>
      </c>
      <c r="H430">
        <v>225.51</v>
      </c>
      <c r="I430">
        <v>-225.51</v>
      </c>
      <c r="J430">
        <v>225.51</v>
      </c>
      <c r="K430">
        <v>75208.83</v>
      </c>
    </row>
    <row r="431" spans="1:11" x14ac:dyDescent="0.25">
      <c r="A431">
        <v>2024</v>
      </c>
      <c r="B431">
        <v>2</v>
      </c>
      <c r="C431" s="1">
        <v>45351</v>
      </c>
      <c r="D431" t="s">
        <v>202</v>
      </c>
      <c r="E431" t="s">
        <v>902</v>
      </c>
      <c r="G431">
        <v>-222.36</v>
      </c>
      <c r="H431">
        <v>222.36</v>
      </c>
      <c r="I431">
        <v>-222.36</v>
      </c>
      <c r="J431">
        <v>222.36</v>
      </c>
      <c r="K431">
        <v>29100.04</v>
      </c>
    </row>
    <row r="432" spans="1:11" x14ac:dyDescent="0.25">
      <c r="A432">
        <v>2024</v>
      </c>
      <c r="B432">
        <v>6</v>
      </c>
      <c r="C432" s="1">
        <v>45447</v>
      </c>
      <c r="D432" t="s">
        <v>370</v>
      </c>
      <c r="E432" t="s">
        <v>902</v>
      </c>
      <c r="G432">
        <v>-34.65</v>
      </c>
      <c r="H432">
        <v>34.65</v>
      </c>
      <c r="I432">
        <v>-34.65</v>
      </c>
      <c r="J432">
        <v>34.65</v>
      </c>
      <c r="K432">
        <v>25342.76</v>
      </c>
    </row>
    <row r="433" spans="1:11" x14ac:dyDescent="0.25">
      <c r="A433">
        <v>2024</v>
      </c>
      <c r="B433">
        <v>11</v>
      </c>
      <c r="C433" s="1">
        <v>45614</v>
      </c>
      <c r="D433" t="s">
        <v>746</v>
      </c>
      <c r="E433" t="s">
        <v>902</v>
      </c>
      <c r="G433">
        <v>-219.27</v>
      </c>
      <c r="H433">
        <v>219.27</v>
      </c>
      <c r="I433">
        <v>-219.27</v>
      </c>
      <c r="J433">
        <v>219.27</v>
      </c>
      <c r="K433">
        <v>6287.9</v>
      </c>
    </row>
    <row r="434" spans="1:11" x14ac:dyDescent="0.25">
      <c r="A434">
        <v>2024</v>
      </c>
      <c r="B434">
        <v>8</v>
      </c>
      <c r="C434" s="1">
        <v>45511</v>
      </c>
      <c r="D434" t="s">
        <v>497</v>
      </c>
      <c r="E434" t="s">
        <v>902</v>
      </c>
      <c r="G434">
        <v>-218.07</v>
      </c>
      <c r="H434">
        <v>218.07</v>
      </c>
      <c r="I434">
        <v>-218.07</v>
      </c>
      <c r="J434">
        <v>218.07</v>
      </c>
      <c r="K434">
        <v>41414.620000000003</v>
      </c>
    </row>
    <row r="435" spans="1:11" x14ac:dyDescent="0.25">
      <c r="A435">
        <v>2024</v>
      </c>
      <c r="B435">
        <v>11</v>
      </c>
      <c r="C435" s="1">
        <v>45608</v>
      </c>
      <c r="D435" t="s">
        <v>730</v>
      </c>
      <c r="E435" t="s">
        <v>902</v>
      </c>
      <c r="G435">
        <v>-217.5</v>
      </c>
      <c r="H435">
        <v>217.5</v>
      </c>
      <c r="I435">
        <v>-217.5</v>
      </c>
      <c r="J435">
        <v>217.5</v>
      </c>
      <c r="K435">
        <v>50240.55</v>
      </c>
    </row>
    <row r="436" spans="1:11" x14ac:dyDescent="0.25">
      <c r="A436">
        <v>2024</v>
      </c>
      <c r="B436">
        <v>10</v>
      </c>
      <c r="C436" s="1">
        <v>45583</v>
      </c>
      <c r="D436" t="s">
        <v>677</v>
      </c>
      <c r="E436" t="s">
        <v>902</v>
      </c>
      <c r="G436">
        <v>-217</v>
      </c>
      <c r="H436">
        <v>217</v>
      </c>
      <c r="I436">
        <v>-217</v>
      </c>
      <c r="J436">
        <v>217</v>
      </c>
      <c r="K436">
        <v>96532.88</v>
      </c>
    </row>
    <row r="437" spans="1:11" x14ac:dyDescent="0.25">
      <c r="A437">
        <v>2024</v>
      </c>
      <c r="B437">
        <v>10</v>
      </c>
      <c r="C437" s="1">
        <v>45596</v>
      </c>
      <c r="D437" t="s">
        <v>707</v>
      </c>
      <c r="E437" t="s">
        <v>902</v>
      </c>
      <c r="G437">
        <v>-212.68</v>
      </c>
      <c r="H437">
        <v>212.68</v>
      </c>
      <c r="I437">
        <v>-212.68</v>
      </c>
      <c r="J437">
        <v>212.68</v>
      </c>
      <c r="K437">
        <v>71986.63</v>
      </c>
    </row>
    <row r="438" spans="1:11" x14ac:dyDescent="0.25">
      <c r="A438">
        <v>2024</v>
      </c>
      <c r="B438">
        <v>8</v>
      </c>
      <c r="C438" s="1">
        <v>45513</v>
      </c>
      <c r="D438" t="s">
        <v>503</v>
      </c>
      <c r="E438" t="s">
        <v>902</v>
      </c>
      <c r="G438">
        <v>-212.5</v>
      </c>
      <c r="H438">
        <v>212.5</v>
      </c>
      <c r="I438">
        <v>-212.5</v>
      </c>
      <c r="J438">
        <v>212.5</v>
      </c>
      <c r="K438">
        <v>16718.650000000001</v>
      </c>
    </row>
    <row r="439" spans="1:11" x14ac:dyDescent="0.25">
      <c r="A439">
        <v>2024</v>
      </c>
      <c r="B439">
        <v>4</v>
      </c>
      <c r="C439" s="1">
        <v>45383</v>
      </c>
      <c r="D439" t="s">
        <v>258</v>
      </c>
      <c r="E439" t="s">
        <v>902</v>
      </c>
      <c r="G439">
        <v>-210.34</v>
      </c>
      <c r="H439">
        <v>210.34</v>
      </c>
      <c r="I439">
        <v>-210.34</v>
      </c>
      <c r="J439">
        <v>210.34</v>
      </c>
      <c r="K439">
        <v>24126.21</v>
      </c>
    </row>
    <row r="440" spans="1:11" x14ac:dyDescent="0.25">
      <c r="A440">
        <v>2024</v>
      </c>
      <c r="B440">
        <v>7</v>
      </c>
      <c r="C440" s="1">
        <v>45491</v>
      </c>
      <c r="D440" t="s">
        <v>448</v>
      </c>
      <c r="E440" t="s">
        <v>902</v>
      </c>
      <c r="G440">
        <v>-206.41</v>
      </c>
      <c r="H440">
        <v>206.41</v>
      </c>
      <c r="I440">
        <v>-206.41</v>
      </c>
      <c r="J440">
        <v>206.41</v>
      </c>
      <c r="K440">
        <v>50752.99</v>
      </c>
    </row>
    <row r="441" spans="1:11" x14ac:dyDescent="0.25">
      <c r="A441">
        <v>2024</v>
      </c>
      <c r="B441">
        <v>12</v>
      </c>
      <c r="C441" s="1">
        <v>45653</v>
      </c>
      <c r="D441" t="s">
        <v>801</v>
      </c>
      <c r="E441" t="s">
        <v>902</v>
      </c>
      <c r="G441">
        <v>-205.62</v>
      </c>
      <c r="H441">
        <v>205.62</v>
      </c>
      <c r="I441">
        <v>-205.62</v>
      </c>
      <c r="J441">
        <v>205.62</v>
      </c>
      <c r="K441">
        <v>93139.11</v>
      </c>
    </row>
    <row r="442" spans="1:11" x14ac:dyDescent="0.25">
      <c r="A442">
        <v>2024</v>
      </c>
      <c r="B442">
        <v>9</v>
      </c>
      <c r="C442" s="1">
        <v>45538</v>
      </c>
      <c r="D442" t="s">
        <v>552</v>
      </c>
      <c r="E442" t="s">
        <v>902</v>
      </c>
      <c r="G442">
        <v>-34.950000000000003</v>
      </c>
      <c r="H442">
        <v>34.950000000000003</v>
      </c>
      <c r="I442">
        <v>-34.950000000000003</v>
      </c>
      <c r="J442">
        <v>34.950000000000003</v>
      </c>
      <c r="K442">
        <v>76516.42</v>
      </c>
    </row>
    <row r="443" spans="1:11" x14ac:dyDescent="0.25">
      <c r="A443">
        <v>2024</v>
      </c>
      <c r="B443">
        <v>5</v>
      </c>
      <c r="C443" s="1">
        <v>45414</v>
      </c>
      <c r="D443" t="s">
        <v>310</v>
      </c>
      <c r="E443" t="s">
        <v>902</v>
      </c>
      <c r="G443">
        <v>-204</v>
      </c>
      <c r="H443">
        <v>204</v>
      </c>
      <c r="I443">
        <v>-204</v>
      </c>
      <c r="J443">
        <v>204</v>
      </c>
      <c r="K443">
        <v>27669.25</v>
      </c>
    </row>
    <row r="444" spans="1:11" x14ac:dyDescent="0.25">
      <c r="A444">
        <v>2024</v>
      </c>
      <c r="B444">
        <v>7</v>
      </c>
      <c r="C444" s="1">
        <v>45488</v>
      </c>
      <c r="D444" t="s">
        <v>440</v>
      </c>
      <c r="E444" t="s">
        <v>902</v>
      </c>
      <c r="G444">
        <v>-202.94</v>
      </c>
      <c r="H444">
        <v>202.94</v>
      </c>
      <c r="I444">
        <v>-202.94</v>
      </c>
      <c r="J444">
        <v>202.94</v>
      </c>
      <c r="K444">
        <v>63553.69</v>
      </c>
    </row>
    <row r="445" spans="1:11" x14ac:dyDescent="0.25">
      <c r="A445">
        <v>2024</v>
      </c>
      <c r="B445">
        <v>9</v>
      </c>
      <c r="C445" s="1">
        <v>45561</v>
      </c>
      <c r="D445" t="s">
        <v>613</v>
      </c>
      <c r="E445" t="s">
        <v>902</v>
      </c>
      <c r="G445">
        <v>-202.73</v>
      </c>
      <c r="H445">
        <v>202.73</v>
      </c>
      <c r="I445">
        <v>-202.73</v>
      </c>
      <c r="J445">
        <v>202.73</v>
      </c>
      <c r="K445">
        <v>82975.55</v>
      </c>
    </row>
    <row r="446" spans="1:11" x14ac:dyDescent="0.25">
      <c r="A446">
        <v>2024</v>
      </c>
      <c r="B446">
        <v>3</v>
      </c>
      <c r="C446" s="1">
        <v>45362</v>
      </c>
      <c r="D446" t="s">
        <v>226</v>
      </c>
      <c r="E446" t="s">
        <v>902</v>
      </c>
      <c r="G446">
        <v>-200.07</v>
      </c>
      <c r="H446">
        <v>200.07</v>
      </c>
      <c r="I446">
        <v>-200.07</v>
      </c>
      <c r="J446">
        <v>200.07</v>
      </c>
      <c r="K446">
        <v>27177.919999999998</v>
      </c>
    </row>
    <row r="447" spans="1:11" x14ac:dyDescent="0.25">
      <c r="A447">
        <v>2024</v>
      </c>
      <c r="B447">
        <v>3</v>
      </c>
      <c r="C447" s="1">
        <v>45355</v>
      </c>
      <c r="D447" t="s">
        <v>208</v>
      </c>
      <c r="E447" t="s">
        <v>902</v>
      </c>
      <c r="G447">
        <v>-200.06</v>
      </c>
      <c r="H447">
        <v>200.06</v>
      </c>
      <c r="I447">
        <v>-200.06</v>
      </c>
      <c r="J447">
        <v>200.06</v>
      </c>
      <c r="K447">
        <v>28156.86</v>
      </c>
    </row>
    <row r="448" spans="1:11" x14ac:dyDescent="0.25">
      <c r="A448">
        <v>2024</v>
      </c>
      <c r="B448">
        <v>2</v>
      </c>
      <c r="C448" s="1">
        <v>45337</v>
      </c>
      <c r="D448" t="s">
        <v>186</v>
      </c>
      <c r="E448" t="s">
        <v>902</v>
      </c>
      <c r="G448">
        <v>-200</v>
      </c>
      <c r="H448">
        <v>200</v>
      </c>
      <c r="I448">
        <v>-200</v>
      </c>
      <c r="J448">
        <v>200</v>
      </c>
      <c r="K448">
        <v>16554.310000000001</v>
      </c>
    </row>
    <row r="449" spans="1:11" x14ac:dyDescent="0.25">
      <c r="A449">
        <v>2024</v>
      </c>
      <c r="B449">
        <v>3</v>
      </c>
      <c r="C449" s="1">
        <v>45369</v>
      </c>
      <c r="D449" t="s">
        <v>233</v>
      </c>
      <c r="E449" t="s">
        <v>902</v>
      </c>
      <c r="G449">
        <v>-194.16</v>
      </c>
      <c r="H449">
        <v>194.16</v>
      </c>
      <c r="I449">
        <v>-194.16</v>
      </c>
      <c r="J449">
        <v>194.16</v>
      </c>
      <c r="K449">
        <v>28802.799999999999</v>
      </c>
    </row>
    <row r="450" spans="1:11" x14ac:dyDescent="0.25">
      <c r="A450">
        <v>2024</v>
      </c>
      <c r="B450">
        <v>7</v>
      </c>
      <c r="C450" s="1">
        <v>45503</v>
      </c>
      <c r="D450" t="s">
        <v>476</v>
      </c>
      <c r="E450" t="s">
        <v>902</v>
      </c>
      <c r="G450">
        <v>-193.1</v>
      </c>
      <c r="H450">
        <v>193.1</v>
      </c>
      <c r="I450">
        <v>-193.1</v>
      </c>
      <c r="J450">
        <v>193.1</v>
      </c>
      <c r="K450">
        <v>31745.16</v>
      </c>
    </row>
    <row r="451" spans="1:11" x14ac:dyDescent="0.25">
      <c r="A451">
        <v>2024</v>
      </c>
      <c r="B451">
        <v>10</v>
      </c>
      <c r="C451" s="1">
        <v>45569</v>
      </c>
      <c r="D451" t="s">
        <v>650</v>
      </c>
      <c r="E451" t="s">
        <v>902</v>
      </c>
      <c r="G451">
        <v>-189</v>
      </c>
      <c r="H451">
        <v>189</v>
      </c>
      <c r="I451">
        <v>-189</v>
      </c>
      <c r="J451">
        <v>189</v>
      </c>
      <c r="K451">
        <v>41971.77</v>
      </c>
    </row>
    <row r="452" spans="1:11" x14ac:dyDescent="0.25">
      <c r="A452">
        <v>2024</v>
      </c>
      <c r="B452">
        <v>6</v>
      </c>
      <c r="C452" s="1">
        <v>45471</v>
      </c>
      <c r="D452" t="s">
        <v>407</v>
      </c>
      <c r="E452" t="s">
        <v>902</v>
      </c>
      <c r="G452">
        <v>-186.62</v>
      </c>
      <c r="H452">
        <v>186.62</v>
      </c>
      <c r="I452">
        <v>-186.62</v>
      </c>
      <c r="J452">
        <v>186.62</v>
      </c>
      <c r="K452">
        <v>66853.789999999994</v>
      </c>
    </row>
    <row r="453" spans="1:11" x14ac:dyDescent="0.25">
      <c r="A453">
        <v>2024</v>
      </c>
      <c r="B453">
        <v>3</v>
      </c>
      <c r="C453" s="1">
        <v>45379</v>
      </c>
      <c r="D453" t="s">
        <v>254</v>
      </c>
      <c r="E453" t="s">
        <v>902</v>
      </c>
      <c r="G453">
        <v>-186.25</v>
      </c>
      <c r="H453">
        <v>186.25</v>
      </c>
      <c r="I453">
        <v>-186.25</v>
      </c>
      <c r="J453">
        <v>186.25</v>
      </c>
      <c r="K453">
        <v>21509.56</v>
      </c>
    </row>
    <row r="454" spans="1:11" x14ac:dyDescent="0.25">
      <c r="A454">
        <v>2024</v>
      </c>
      <c r="B454">
        <v>10</v>
      </c>
      <c r="C454" s="1">
        <v>45568</v>
      </c>
      <c r="D454" t="s">
        <v>642</v>
      </c>
      <c r="E454" t="s">
        <v>902</v>
      </c>
      <c r="G454">
        <v>-35</v>
      </c>
      <c r="H454">
        <v>35</v>
      </c>
      <c r="I454">
        <v>-35</v>
      </c>
      <c r="J454">
        <v>35</v>
      </c>
      <c r="K454">
        <v>89078.04</v>
      </c>
    </row>
    <row r="455" spans="1:11" x14ac:dyDescent="0.25">
      <c r="A455">
        <v>2024</v>
      </c>
      <c r="B455">
        <v>10</v>
      </c>
      <c r="C455" s="1">
        <v>45583</v>
      </c>
      <c r="D455" t="s">
        <v>683</v>
      </c>
      <c r="E455" t="s">
        <v>902</v>
      </c>
      <c r="G455">
        <v>-182.54</v>
      </c>
      <c r="H455">
        <v>182.54</v>
      </c>
      <c r="I455">
        <v>-182.54</v>
      </c>
      <c r="J455">
        <v>182.54</v>
      </c>
      <c r="K455">
        <v>63057.63</v>
      </c>
    </row>
    <row r="456" spans="1:11" x14ac:dyDescent="0.25">
      <c r="A456">
        <v>2024</v>
      </c>
      <c r="B456">
        <v>9</v>
      </c>
      <c r="C456" s="1">
        <v>45538</v>
      </c>
      <c r="D456" t="s">
        <v>551</v>
      </c>
      <c r="E456" t="s">
        <v>902</v>
      </c>
      <c r="G456">
        <v>-182.11</v>
      </c>
      <c r="H456">
        <v>182.11</v>
      </c>
      <c r="I456">
        <v>-182.11</v>
      </c>
      <c r="J456">
        <v>182.11</v>
      </c>
      <c r="K456">
        <v>76551.37</v>
      </c>
    </row>
    <row r="457" spans="1:11" x14ac:dyDescent="0.25">
      <c r="A457">
        <v>2024</v>
      </c>
      <c r="B457">
        <v>7</v>
      </c>
      <c r="C457" s="1">
        <v>45491</v>
      </c>
      <c r="D457" t="s">
        <v>447</v>
      </c>
      <c r="E457" t="s">
        <v>902</v>
      </c>
      <c r="G457">
        <v>-181.98</v>
      </c>
      <c r="H457">
        <v>181.98</v>
      </c>
      <c r="I457">
        <v>-181.98</v>
      </c>
      <c r="J457">
        <v>181.98</v>
      </c>
      <c r="K457">
        <v>50959.4</v>
      </c>
    </row>
    <row r="458" spans="1:11" x14ac:dyDescent="0.25">
      <c r="A458">
        <v>2024</v>
      </c>
      <c r="B458">
        <v>3</v>
      </c>
      <c r="C458" s="1">
        <v>45355</v>
      </c>
      <c r="D458" t="s">
        <v>206</v>
      </c>
      <c r="E458" t="s">
        <v>902</v>
      </c>
      <c r="G458">
        <v>-181.24</v>
      </c>
      <c r="H458">
        <v>181.24</v>
      </c>
      <c r="I458">
        <v>-181.24</v>
      </c>
      <c r="J458">
        <v>181.24</v>
      </c>
      <c r="K458">
        <v>28376.05</v>
      </c>
    </row>
    <row r="459" spans="1:11" x14ac:dyDescent="0.25">
      <c r="A459">
        <v>2024</v>
      </c>
      <c r="B459">
        <v>2</v>
      </c>
      <c r="C459" s="1">
        <v>45342</v>
      </c>
      <c r="D459" t="s">
        <v>189</v>
      </c>
      <c r="E459" t="s">
        <v>902</v>
      </c>
      <c r="G459">
        <v>-180.36</v>
      </c>
      <c r="H459">
        <v>180.36</v>
      </c>
      <c r="I459">
        <v>-180.36</v>
      </c>
      <c r="J459">
        <v>180.36</v>
      </c>
      <c r="K459">
        <v>16242.98</v>
      </c>
    </row>
    <row r="460" spans="1:11" x14ac:dyDescent="0.25">
      <c r="A460">
        <v>2024</v>
      </c>
      <c r="B460">
        <v>7</v>
      </c>
      <c r="C460" s="1">
        <v>45499</v>
      </c>
      <c r="D460" t="s">
        <v>463</v>
      </c>
      <c r="E460" t="s">
        <v>902</v>
      </c>
      <c r="G460">
        <v>-35</v>
      </c>
      <c r="H460">
        <v>35</v>
      </c>
      <c r="I460">
        <v>-35</v>
      </c>
      <c r="J460">
        <v>35</v>
      </c>
      <c r="K460">
        <v>21637.59</v>
      </c>
    </row>
    <row r="461" spans="1:11" x14ac:dyDescent="0.25">
      <c r="A461">
        <v>2024</v>
      </c>
      <c r="B461">
        <v>9</v>
      </c>
      <c r="C461" s="1">
        <v>45538</v>
      </c>
      <c r="D461" t="s">
        <v>549</v>
      </c>
      <c r="E461" t="s">
        <v>902</v>
      </c>
      <c r="G461">
        <v>-35.07</v>
      </c>
      <c r="H461">
        <v>35.07</v>
      </c>
      <c r="I461">
        <v>-35.07</v>
      </c>
      <c r="J461">
        <v>35.07</v>
      </c>
      <c r="K461">
        <v>76783.47</v>
      </c>
    </row>
    <row r="462" spans="1:11" x14ac:dyDescent="0.25">
      <c r="A462">
        <v>2024</v>
      </c>
      <c r="B462">
        <v>4</v>
      </c>
      <c r="C462" s="1">
        <v>45384</v>
      </c>
      <c r="D462" t="s">
        <v>260</v>
      </c>
      <c r="E462" t="s">
        <v>902</v>
      </c>
      <c r="G462">
        <v>-178.37</v>
      </c>
      <c r="H462">
        <v>178.37</v>
      </c>
      <c r="I462">
        <v>-178.37</v>
      </c>
      <c r="J462">
        <v>178.37</v>
      </c>
      <c r="K462">
        <v>35146.839999999997</v>
      </c>
    </row>
    <row r="463" spans="1:11" x14ac:dyDescent="0.25">
      <c r="A463">
        <v>2024</v>
      </c>
      <c r="B463">
        <v>10</v>
      </c>
      <c r="C463" s="1">
        <v>45581</v>
      </c>
      <c r="D463" t="s">
        <v>674</v>
      </c>
      <c r="E463" t="s">
        <v>902</v>
      </c>
      <c r="G463">
        <v>-174.7</v>
      </c>
      <c r="H463">
        <v>174.7</v>
      </c>
      <c r="I463">
        <v>-174.7</v>
      </c>
      <c r="J463">
        <v>174.7</v>
      </c>
      <c r="K463">
        <v>98052.800000000003</v>
      </c>
    </row>
    <row r="464" spans="1:11" x14ac:dyDescent="0.25">
      <c r="A464">
        <v>2024</v>
      </c>
      <c r="B464">
        <v>11</v>
      </c>
      <c r="C464" s="1">
        <v>45600</v>
      </c>
      <c r="D464" t="s">
        <v>718</v>
      </c>
      <c r="E464" t="s">
        <v>902</v>
      </c>
      <c r="G464">
        <v>-173.23</v>
      </c>
      <c r="H464">
        <v>173.23</v>
      </c>
      <c r="I464">
        <v>-173.23</v>
      </c>
      <c r="J464">
        <v>173.23</v>
      </c>
      <c r="K464">
        <v>41699.25</v>
      </c>
    </row>
    <row r="465" spans="1:11" x14ac:dyDescent="0.25">
      <c r="A465">
        <v>2024</v>
      </c>
      <c r="B465">
        <v>5</v>
      </c>
      <c r="C465" s="1">
        <v>45422</v>
      </c>
      <c r="D465" t="s">
        <v>329</v>
      </c>
      <c r="E465" t="s">
        <v>902</v>
      </c>
      <c r="G465">
        <v>-172.37</v>
      </c>
      <c r="H465">
        <v>172.37</v>
      </c>
      <c r="I465">
        <v>-172.37</v>
      </c>
      <c r="J465">
        <v>172.37</v>
      </c>
      <c r="K465">
        <v>6978.67</v>
      </c>
    </row>
    <row r="466" spans="1:11" x14ac:dyDescent="0.25">
      <c r="A466">
        <v>2024</v>
      </c>
      <c r="B466">
        <v>10</v>
      </c>
      <c r="C466" s="1">
        <v>45572</v>
      </c>
      <c r="D466" t="s">
        <v>653</v>
      </c>
      <c r="E466" t="s">
        <v>902</v>
      </c>
      <c r="G466">
        <v>-171.22</v>
      </c>
      <c r="H466">
        <v>171.22</v>
      </c>
      <c r="I466">
        <v>-171.22</v>
      </c>
      <c r="J466">
        <v>171.22</v>
      </c>
      <c r="K466">
        <v>69885.11</v>
      </c>
    </row>
    <row r="467" spans="1:11" x14ac:dyDescent="0.25">
      <c r="A467">
        <v>2024</v>
      </c>
      <c r="B467">
        <v>9</v>
      </c>
      <c r="C467" s="1">
        <v>45548</v>
      </c>
      <c r="D467" t="s">
        <v>583</v>
      </c>
      <c r="E467" t="s">
        <v>902</v>
      </c>
      <c r="G467">
        <v>-35.29</v>
      </c>
      <c r="H467">
        <v>35.29</v>
      </c>
      <c r="I467">
        <v>-35.29</v>
      </c>
      <c r="J467">
        <v>35.29</v>
      </c>
      <c r="K467">
        <v>74819.03</v>
      </c>
    </row>
    <row r="468" spans="1:11" x14ac:dyDescent="0.25">
      <c r="A468">
        <v>2024</v>
      </c>
      <c r="B468">
        <v>8</v>
      </c>
      <c r="C468" s="1">
        <v>45527</v>
      </c>
      <c r="D468" t="s">
        <v>528</v>
      </c>
      <c r="E468" t="s">
        <v>902</v>
      </c>
      <c r="G468">
        <v>-169.81</v>
      </c>
      <c r="H468">
        <v>169.81</v>
      </c>
      <c r="I468">
        <v>-169.81</v>
      </c>
      <c r="J468">
        <v>169.81</v>
      </c>
      <c r="K468">
        <v>23873.99</v>
      </c>
    </row>
    <row r="469" spans="1:11" x14ac:dyDescent="0.25">
      <c r="A469">
        <v>2024</v>
      </c>
      <c r="B469">
        <v>1</v>
      </c>
      <c r="C469" s="1">
        <v>45321</v>
      </c>
      <c r="D469" t="s">
        <v>163</v>
      </c>
      <c r="E469" t="s">
        <v>902</v>
      </c>
      <c r="G469">
        <v>-169.58</v>
      </c>
      <c r="H469">
        <v>169.58</v>
      </c>
      <c r="I469">
        <v>-169.58</v>
      </c>
      <c r="J469">
        <v>169.58</v>
      </c>
      <c r="K469">
        <v>26304.38</v>
      </c>
    </row>
    <row r="470" spans="1:11" x14ac:dyDescent="0.25">
      <c r="A470">
        <v>2024</v>
      </c>
      <c r="B470">
        <v>5</v>
      </c>
      <c r="C470" s="1">
        <v>45440</v>
      </c>
      <c r="D470" t="s">
        <v>352</v>
      </c>
      <c r="E470" t="s">
        <v>902</v>
      </c>
      <c r="G470">
        <v>-168.79</v>
      </c>
      <c r="H470">
        <v>168.79</v>
      </c>
      <c r="I470">
        <v>-168.79</v>
      </c>
      <c r="J470">
        <v>168.79</v>
      </c>
      <c r="K470">
        <v>26900.75</v>
      </c>
    </row>
    <row r="471" spans="1:11" x14ac:dyDescent="0.25">
      <c r="A471">
        <v>2024</v>
      </c>
      <c r="B471">
        <v>7</v>
      </c>
      <c r="C471" s="1">
        <v>45496</v>
      </c>
      <c r="D471" t="s">
        <v>457</v>
      </c>
      <c r="E471" t="s">
        <v>902</v>
      </c>
      <c r="G471">
        <v>-167</v>
      </c>
      <c r="H471">
        <v>167</v>
      </c>
      <c r="I471">
        <v>-167</v>
      </c>
      <c r="J471">
        <v>167</v>
      </c>
      <c r="K471">
        <v>49030.5</v>
      </c>
    </row>
    <row r="472" spans="1:11" x14ac:dyDescent="0.25">
      <c r="A472">
        <v>2024</v>
      </c>
      <c r="B472">
        <v>8</v>
      </c>
      <c r="C472" s="1">
        <v>45513</v>
      </c>
      <c r="D472" t="s">
        <v>504</v>
      </c>
      <c r="E472" t="s">
        <v>902</v>
      </c>
      <c r="G472">
        <v>-166.49</v>
      </c>
      <c r="H472">
        <v>166.49</v>
      </c>
      <c r="I472">
        <v>-166.49</v>
      </c>
      <c r="J472">
        <v>166.49</v>
      </c>
      <c r="K472">
        <v>16552.16</v>
      </c>
    </row>
    <row r="473" spans="1:11" x14ac:dyDescent="0.25">
      <c r="A473">
        <v>2024</v>
      </c>
      <c r="B473">
        <v>8</v>
      </c>
      <c r="C473" s="1">
        <v>45526</v>
      </c>
      <c r="D473" t="s">
        <v>522</v>
      </c>
      <c r="E473" t="s">
        <v>902</v>
      </c>
      <c r="G473">
        <v>-165.88</v>
      </c>
      <c r="H473">
        <v>165.88</v>
      </c>
      <c r="I473">
        <v>-165.88</v>
      </c>
      <c r="J473">
        <v>165.88</v>
      </c>
      <c r="K473">
        <v>78299.149999999994</v>
      </c>
    </row>
    <row r="474" spans="1:11" x14ac:dyDescent="0.25">
      <c r="A474">
        <v>2024</v>
      </c>
      <c r="B474">
        <v>3</v>
      </c>
      <c r="C474" s="1">
        <v>45362</v>
      </c>
      <c r="D474" t="s">
        <v>225</v>
      </c>
      <c r="E474" t="s">
        <v>902</v>
      </c>
      <c r="G474">
        <v>-165.87</v>
      </c>
      <c r="H474">
        <v>165.87</v>
      </c>
      <c r="I474">
        <v>-165.87</v>
      </c>
      <c r="J474">
        <v>165.87</v>
      </c>
      <c r="K474">
        <v>27377.99</v>
      </c>
    </row>
    <row r="475" spans="1:11" x14ac:dyDescent="0.25">
      <c r="A475">
        <v>2024</v>
      </c>
      <c r="B475">
        <v>4</v>
      </c>
      <c r="C475" s="1">
        <v>45411</v>
      </c>
      <c r="D475" t="s">
        <v>302</v>
      </c>
      <c r="E475" t="s">
        <v>902</v>
      </c>
      <c r="G475">
        <v>-165.87</v>
      </c>
      <c r="H475">
        <v>165.87</v>
      </c>
      <c r="I475">
        <v>-165.87</v>
      </c>
      <c r="J475">
        <v>165.87</v>
      </c>
      <c r="K475">
        <v>22034.91</v>
      </c>
    </row>
    <row r="476" spans="1:11" x14ac:dyDescent="0.25">
      <c r="A476">
        <v>2024</v>
      </c>
      <c r="B476">
        <v>7</v>
      </c>
      <c r="C476" s="1">
        <v>45499</v>
      </c>
      <c r="D476" t="s">
        <v>464</v>
      </c>
      <c r="E476" t="s">
        <v>902</v>
      </c>
      <c r="G476">
        <v>-165.36</v>
      </c>
      <c r="H476">
        <v>165.36</v>
      </c>
      <c r="I476">
        <v>-165.36</v>
      </c>
      <c r="J476">
        <v>165.36</v>
      </c>
      <c r="K476">
        <v>21472.23</v>
      </c>
    </row>
    <row r="477" spans="1:11" x14ac:dyDescent="0.25">
      <c r="A477">
        <v>2024</v>
      </c>
      <c r="B477">
        <v>8</v>
      </c>
      <c r="C477" s="1">
        <v>45531</v>
      </c>
      <c r="D477" t="s">
        <v>534</v>
      </c>
      <c r="E477" t="s">
        <v>902</v>
      </c>
      <c r="G477">
        <v>-163.78</v>
      </c>
      <c r="H477">
        <v>163.78</v>
      </c>
      <c r="I477">
        <v>-163.78</v>
      </c>
      <c r="J477">
        <v>163.78</v>
      </c>
      <c r="K477">
        <v>36159.06</v>
      </c>
    </row>
    <row r="478" spans="1:11" x14ac:dyDescent="0.25">
      <c r="A478">
        <v>2024</v>
      </c>
      <c r="B478">
        <v>9</v>
      </c>
      <c r="C478" s="1">
        <v>45558</v>
      </c>
      <c r="D478" t="s">
        <v>610</v>
      </c>
      <c r="E478" t="s">
        <v>902</v>
      </c>
      <c r="G478">
        <v>-162.56</v>
      </c>
      <c r="H478">
        <v>162.56</v>
      </c>
      <c r="I478">
        <v>-162.56</v>
      </c>
      <c r="J478">
        <v>162.56</v>
      </c>
      <c r="K478">
        <v>66548.479999999996</v>
      </c>
    </row>
    <row r="479" spans="1:11" x14ac:dyDescent="0.25">
      <c r="A479">
        <v>2024</v>
      </c>
      <c r="B479">
        <v>10</v>
      </c>
      <c r="C479" s="1">
        <v>45575</v>
      </c>
      <c r="D479" t="s">
        <v>663</v>
      </c>
      <c r="E479" t="s">
        <v>902</v>
      </c>
      <c r="G479">
        <v>-161.03</v>
      </c>
      <c r="H479">
        <v>161.03</v>
      </c>
      <c r="I479">
        <v>-161.03</v>
      </c>
      <c r="J479">
        <v>161.03</v>
      </c>
      <c r="K479">
        <v>66509.06</v>
      </c>
    </row>
    <row r="480" spans="1:11" x14ac:dyDescent="0.25">
      <c r="A480">
        <v>2024</v>
      </c>
      <c r="B480">
        <v>12</v>
      </c>
      <c r="C480" s="1">
        <v>45629</v>
      </c>
      <c r="D480" t="s">
        <v>773</v>
      </c>
      <c r="E480" t="s">
        <v>902</v>
      </c>
      <c r="G480">
        <v>-160.63</v>
      </c>
      <c r="H480">
        <v>160.63</v>
      </c>
      <c r="I480">
        <v>-160.63</v>
      </c>
      <c r="J480">
        <v>160.63</v>
      </c>
      <c r="K480">
        <v>3205.27</v>
      </c>
    </row>
    <row r="481" spans="1:11" x14ac:dyDescent="0.25">
      <c r="A481">
        <v>2024</v>
      </c>
      <c r="B481">
        <v>7</v>
      </c>
      <c r="C481" s="1">
        <v>45504</v>
      </c>
      <c r="D481" t="s">
        <v>479</v>
      </c>
      <c r="E481" t="s">
        <v>902</v>
      </c>
      <c r="G481">
        <v>-159.69999999999999</v>
      </c>
      <c r="H481">
        <v>159.69999999999999</v>
      </c>
      <c r="I481">
        <v>-159.69999999999999</v>
      </c>
      <c r="J481">
        <v>159.69999999999999</v>
      </c>
      <c r="K481">
        <v>31317.25</v>
      </c>
    </row>
    <row r="482" spans="1:11" x14ac:dyDescent="0.25">
      <c r="A482">
        <v>2024</v>
      </c>
      <c r="B482">
        <v>8</v>
      </c>
      <c r="C482" s="1">
        <v>45523</v>
      </c>
      <c r="D482" t="s">
        <v>515</v>
      </c>
      <c r="E482" t="s">
        <v>902</v>
      </c>
      <c r="G482">
        <v>-159.51</v>
      </c>
      <c r="H482">
        <v>159.51</v>
      </c>
      <c r="I482">
        <v>-159.51</v>
      </c>
      <c r="J482">
        <v>159.51</v>
      </c>
      <c r="K482">
        <v>71762.98</v>
      </c>
    </row>
    <row r="483" spans="1:11" x14ac:dyDescent="0.25">
      <c r="A483">
        <v>2024</v>
      </c>
      <c r="B483">
        <v>8</v>
      </c>
      <c r="C483" s="1">
        <v>45506</v>
      </c>
      <c r="D483" t="s">
        <v>485</v>
      </c>
      <c r="E483" t="s">
        <v>902</v>
      </c>
      <c r="G483">
        <v>-159.38</v>
      </c>
      <c r="H483">
        <v>159.38</v>
      </c>
      <c r="I483">
        <v>-159.38</v>
      </c>
      <c r="J483">
        <v>159.38</v>
      </c>
      <c r="K483">
        <v>45747.38</v>
      </c>
    </row>
    <row r="484" spans="1:11" x14ac:dyDescent="0.25">
      <c r="A484">
        <v>2024</v>
      </c>
      <c r="B484">
        <v>12</v>
      </c>
      <c r="C484" s="1">
        <v>45657</v>
      </c>
      <c r="D484" t="s">
        <v>807</v>
      </c>
      <c r="E484" t="s">
        <v>902</v>
      </c>
      <c r="G484">
        <v>-154.54</v>
      </c>
      <c r="H484">
        <v>154.54</v>
      </c>
      <c r="I484">
        <v>-154.54</v>
      </c>
      <c r="J484">
        <v>154.54</v>
      </c>
      <c r="K484">
        <v>143425.41</v>
      </c>
    </row>
    <row r="485" spans="1:11" x14ac:dyDescent="0.25">
      <c r="A485">
        <v>2024</v>
      </c>
      <c r="B485">
        <v>7</v>
      </c>
      <c r="C485" s="1">
        <v>45497</v>
      </c>
      <c r="D485" t="s">
        <v>458</v>
      </c>
      <c r="E485" t="s">
        <v>902</v>
      </c>
      <c r="G485">
        <v>-153.83000000000001</v>
      </c>
      <c r="H485">
        <v>153.83000000000001</v>
      </c>
      <c r="I485">
        <v>-153.83000000000001</v>
      </c>
      <c r="J485">
        <v>153.83000000000001</v>
      </c>
      <c r="K485">
        <v>48826.67</v>
      </c>
    </row>
    <row r="486" spans="1:11" x14ac:dyDescent="0.25">
      <c r="A486">
        <v>2024</v>
      </c>
      <c r="B486">
        <v>11</v>
      </c>
      <c r="C486" s="1">
        <v>45608</v>
      </c>
      <c r="D486" t="s">
        <v>729</v>
      </c>
      <c r="E486" t="s">
        <v>902</v>
      </c>
      <c r="G486">
        <v>-153.09</v>
      </c>
      <c r="H486">
        <v>153.09</v>
      </c>
      <c r="I486">
        <v>-153.09</v>
      </c>
      <c r="J486">
        <v>153.09</v>
      </c>
      <c r="K486">
        <v>50458.05</v>
      </c>
    </row>
    <row r="487" spans="1:11" x14ac:dyDescent="0.25">
      <c r="A487">
        <v>2024</v>
      </c>
      <c r="B487">
        <v>11</v>
      </c>
      <c r="C487" s="1">
        <v>45625</v>
      </c>
      <c r="D487" t="s">
        <v>765</v>
      </c>
      <c r="E487" t="s">
        <v>902</v>
      </c>
      <c r="G487">
        <v>-152.16999999999999</v>
      </c>
      <c r="H487">
        <v>152.16999999999999</v>
      </c>
      <c r="I487">
        <v>-152.16999999999999</v>
      </c>
      <c r="J487">
        <v>152.16999999999999</v>
      </c>
      <c r="K487">
        <v>1260.2</v>
      </c>
    </row>
    <row r="488" spans="1:11" x14ac:dyDescent="0.25">
      <c r="A488">
        <v>2024</v>
      </c>
      <c r="B488">
        <v>11</v>
      </c>
      <c r="C488" s="1">
        <v>45610</v>
      </c>
      <c r="D488" t="s">
        <v>737</v>
      </c>
      <c r="E488" t="s">
        <v>902</v>
      </c>
      <c r="G488">
        <v>-150.93</v>
      </c>
      <c r="H488">
        <v>150.93</v>
      </c>
      <c r="I488">
        <v>-150.93</v>
      </c>
      <c r="J488">
        <v>150.93</v>
      </c>
      <c r="K488">
        <v>23711.82</v>
      </c>
    </row>
    <row r="489" spans="1:11" x14ac:dyDescent="0.25">
      <c r="A489">
        <v>2024</v>
      </c>
      <c r="B489">
        <v>9</v>
      </c>
      <c r="C489" s="1">
        <v>45541</v>
      </c>
      <c r="D489" t="s">
        <v>566</v>
      </c>
      <c r="E489" t="s">
        <v>902</v>
      </c>
      <c r="G489">
        <v>-35.46</v>
      </c>
      <c r="H489">
        <v>35.46</v>
      </c>
      <c r="I489">
        <v>-35.46</v>
      </c>
      <c r="J489">
        <v>35.46</v>
      </c>
      <c r="K489">
        <v>80242.649999999994</v>
      </c>
    </row>
    <row r="490" spans="1:11" x14ac:dyDescent="0.25">
      <c r="A490">
        <v>2024</v>
      </c>
      <c r="B490">
        <v>12</v>
      </c>
      <c r="C490" s="1">
        <v>45628</v>
      </c>
      <c r="D490" t="s">
        <v>308</v>
      </c>
      <c r="E490" t="s">
        <v>902</v>
      </c>
      <c r="G490">
        <v>-150</v>
      </c>
      <c r="H490">
        <v>150</v>
      </c>
      <c r="I490">
        <v>-150</v>
      </c>
      <c r="J490">
        <v>150</v>
      </c>
      <c r="K490">
        <v>3813.84</v>
      </c>
    </row>
    <row r="491" spans="1:11" x14ac:dyDescent="0.25">
      <c r="A491">
        <v>2024</v>
      </c>
      <c r="B491">
        <v>1</v>
      </c>
      <c r="C491" s="1">
        <v>45322</v>
      </c>
      <c r="D491" t="s">
        <v>166</v>
      </c>
      <c r="E491" t="s">
        <v>902</v>
      </c>
      <c r="G491">
        <v>-149.94999999999999</v>
      </c>
      <c r="H491">
        <v>149.94999999999999</v>
      </c>
      <c r="I491">
        <v>-149.94999999999999</v>
      </c>
      <c r="J491">
        <v>149.94999999999999</v>
      </c>
      <c r="K491">
        <v>25628.05</v>
      </c>
    </row>
    <row r="492" spans="1:11" x14ac:dyDescent="0.25">
      <c r="A492">
        <v>2024</v>
      </c>
      <c r="B492">
        <v>10</v>
      </c>
      <c r="C492" s="1">
        <v>45569</v>
      </c>
      <c r="D492" t="s">
        <v>645</v>
      </c>
      <c r="E492" t="s">
        <v>902</v>
      </c>
      <c r="G492">
        <v>-148.41</v>
      </c>
      <c r="H492">
        <v>148.41</v>
      </c>
      <c r="I492">
        <v>-148.41</v>
      </c>
      <c r="J492">
        <v>148.41</v>
      </c>
      <c r="K492">
        <v>88033.16</v>
      </c>
    </row>
    <row r="493" spans="1:11" x14ac:dyDescent="0.25">
      <c r="A493">
        <v>2024</v>
      </c>
      <c r="B493">
        <v>12</v>
      </c>
      <c r="C493" s="1">
        <v>45639</v>
      </c>
      <c r="D493" t="s">
        <v>789</v>
      </c>
      <c r="E493" t="s">
        <v>902</v>
      </c>
      <c r="G493">
        <v>-147.91999999999999</v>
      </c>
      <c r="H493">
        <v>147.91999999999999</v>
      </c>
      <c r="I493">
        <v>-147.91999999999999</v>
      </c>
      <c r="J493">
        <v>147.91999999999999</v>
      </c>
      <c r="K493">
        <v>956.84</v>
      </c>
    </row>
    <row r="494" spans="1:11" x14ac:dyDescent="0.25">
      <c r="A494">
        <v>2024</v>
      </c>
      <c r="B494">
        <v>8</v>
      </c>
      <c r="C494" s="1">
        <v>45533</v>
      </c>
      <c r="D494" t="s">
        <v>542</v>
      </c>
      <c r="E494" t="s">
        <v>902</v>
      </c>
      <c r="G494">
        <v>-147.76</v>
      </c>
      <c r="H494">
        <v>147.76</v>
      </c>
      <c r="I494">
        <v>-147.76</v>
      </c>
      <c r="J494">
        <v>147.76</v>
      </c>
      <c r="K494">
        <v>44227.35</v>
      </c>
    </row>
    <row r="495" spans="1:11" x14ac:dyDescent="0.25">
      <c r="A495">
        <v>2024</v>
      </c>
      <c r="B495">
        <v>3</v>
      </c>
      <c r="C495" s="1">
        <v>45379</v>
      </c>
      <c r="D495" t="s">
        <v>247</v>
      </c>
      <c r="E495" t="s">
        <v>902</v>
      </c>
      <c r="G495">
        <v>-147.69</v>
      </c>
      <c r="H495">
        <v>147.69</v>
      </c>
      <c r="I495">
        <v>-147.69</v>
      </c>
      <c r="J495">
        <v>147.69</v>
      </c>
      <c r="K495">
        <v>22768.799999999999</v>
      </c>
    </row>
    <row r="496" spans="1:11" x14ac:dyDescent="0.25">
      <c r="A496">
        <v>2024</v>
      </c>
      <c r="B496">
        <v>4</v>
      </c>
      <c r="C496" s="1">
        <v>45411</v>
      </c>
      <c r="D496" t="s">
        <v>303</v>
      </c>
      <c r="E496" t="s">
        <v>902</v>
      </c>
      <c r="G496">
        <v>-147.69</v>
      </c>
      <c r="H496">
        <v>147.69</v>
      </c>
      <c r="I496">
        <v>-147.69</v>
      </c>
      <c r="J496">
        <v>147.69</v>
      </c>
      <c r="K496">
        <v>21887.22</v>
      </c>
    </row>
    <row r="497" spans="1:11" x14ac:dyDescent="0.25">
      <c r="A497">
        <v>2024</v>
      </c>
      <c r="B497">
        <v>5</v>
      </c>
      <c r="C497" s="1">
        <v>45440</v>
      </c>
      <c r="D497" t="s">
        <v>354</v>
      </c>
      <c r="E497" t="s">
        <v>902</v>
      </c>
      <c r="G497">
        <v>-147.69</v>
      </c>
      <c r="H497">
        <v>147.69</v>
      </c>
      <c r="I497">
        <v>-147.69</v>
      </c>
      <c r="J497">
        <v>147.69</v>
      </c>
      <c r="K497">
        <v>26210.53</v>
      </c>
    </row>
    <row r="498" spans="1:11" x14ac:dyDescent="0.25">
      <c r="A498">
        <v>2024</v>
      </c>
      <c r="B498">
        <v>6</v>
      </c>
      <c r="C498" s="1">
        <v>45471</v>
      </c>
      <c r="D498" t="s">
        <v>408</v>
      </c>
      <c r="E498" t="s">
        <v>902</v>
      </c>
      <c r="G498">
        <v>-147.69</v>
      </c>
      <c r="H498">
        <v>147.69</v>
      </c>
      <c r="I498">
        <v>-147.69</v>
      </c>
      <c r="J498">
        <v>147.69</v>
      </c>
      <c r="K498">
        <v>66706.100000000006</v>
      </c>
    </row>
    <row r="499" spans="1:11" x14ac:dyDescent="0.25">
      <c r="A499">
        <v>2024</v>
      </c>
      <c r="B499">
        <v>7</v>
      </c>
      <c r="C499" s="1">
        <v>45502</v>
      </c>
      <c r="D499" t="s">
        <v>470</v>
      </c>
      <c r="E499" t="s">
        <v>902</v>
      </c>
      <c r="G499">
        <v>-147.69</v>
      </c>
      <c r="H499">
        <v>147.69</v>
      </c>
      <c r="I499">
        <v>-147.69</v>
      </c>
      <c r="J499">
        <v>147.69</v>
      </c>
      <c r="K499">
        <v>30638.36</v>
      </c>
    </row>
    <row r="500" spans="1:11" x14ac:dyDescent="0.25">
      <c r="A500">
        <v>2024</v>
      </c>
      <c r="B500">
        <v>8</v>
      </c>
      <c r="C500" s="1">
        <v>45532</v>
      </c>
      <c r="D500" t="s">
        <v>538</v>
      </c>
      <c r="E500" t="s">
        <v>902</v>
      </c>
      <c r="G500">
        <v>-147.69</v>
      </c>
      <c r="H500">
        <v>147.69</v>
      </c>
      <c r="I500">
        <v>-147.69</v>
      </c>
      <c r="J500">
        <v>147.69</v>
      </c>
      <c r="K500">
        <v>35102.39</v>
      </c>
    </row>
    <row r="501" spans="1:11" x14ac:dyDescent="0.25">
      <c r="A501">
        <v>2024</v>
      </c>
      <c r="B501">
        <v>9</v>
      </c>
      <c r="C501" s="1">
        <v>45565</v>
      </c>
      <c r="D501" t="s">
        <v>623</v>
      </c>
      <c r="E501" t="s">
        <v>902</v>
      </c>
      <c r="G501">
        <v>-147.69</v>
      </c>
      <c r="H501">
        <v>147.69</v>
      </c>
      <c r="I501">
        <v>-147.69</v>
      </c>
      <c r="J501">
        <v>147.69</v>
      </c>
      <c r="K501">
        <v>96118.53</v>
      </c>
    </row>
    <row r="502" spans="1:11" x14ac:dyDescent="0.25">
      <c r="A502">
        <v>2024</v>
      </c>
      <c r="B502">
        <v>10</v>
      </c>
      <c r="C502" s="1">
        <v>45593</v>
      </c>
      <c r="D502" t="s">
        <v>692</v>
      </c>
      <c r="E502" t="s">
        <v>902</v>
      </c>
      <c r="G502">
        <v>-147.69</v>
      </c>
      <c r="H502">
        <v>147.69</v>
      </c>
      <c r="I502">
        <v>-147.69</v>
      </c>
      <c r="J502">
        <v>147.69</v>
      </c>
      <c r="K502">
        <v>74764.11</v>
      </c>
    </row>
    <row r="503" spans="1:11" x14ac:dyDescent="0.25">
      <c r="A503">
        <v>2024</v>
      </c>
      <c r="B503">
        <v>11</v>
      </c>
      <c r="C503" s="1">
        <v>45600</v>
      </c>
      <c r="D503" t="s">
        <v>717</v>
      </c>
      <c r="E503" t="s">
        <v>902</v>
      </c>
      <c r="G503">
        <v>-147.69</v>
      </c>
      <c r="H503">
        <v>147.69</v>
      </c>
      <c r="I503">
        <v>-147.69</v>
      </c>
      <c r="J503">
        <v>147.69</v>
      </c>
      <c r="K503">
        <v>41872.480000000003</v>
      </c>
    </row>
    <row r="504" spans="1:11" x14ac:dyDescent="0.25">
      <c r="A504">
        <v>2024</v>
      </c>
      <c r="B504">
        <v>11</v>
      </c>
      <c r="C504" s="1">
        <v>45625</v>
      </c>
      <c r="D504" t="s">
        <v>761</v>
      </c>
      <c r="E504" t="s">
        <v>902</v>
      </c>
      <c r="G504">
        <v>-147.69</v>
      </c>
      <c r="H504">
        <v>147.69</v>
      </c>
      <c r="I504">
        <v>-147.69</v>
      </c>
      <c r="J504">
        <v>147.69</v>
      </c>
      <c r="K504">
        <v>19698.98</v>
      </c>
    </row>
    <row r="505" spans="1:11" x14ac:dyDescent="0.25">
      <c r="A505">
        <v>2024</v>
      </c>
      <c r="B505">
        <v>12</v>
      </c>
      <c r="C505" s="1">
        <v>45629</v>
      </c>
      <c r="D505" t="s">
        <v>772</v>
      </c>
      <c r="E505" t="s">
        <v>902</v>
      </c>
      <c r="G505">
        <v>-147.69</v>
      </c>
      <c r="H505">
        <v>147.69</v>
      </c>
      <c r="I505">
        <v>-147.69</v>
      </c>
      <c r="J505">
        <v>147.69</v>
      </c>
      <c r="K505">
        <v>3416.15</v>
      </c>
    </row>
    <row r="506" spans="1:11" x14ac:dyDescent="0.25">
      <c r="A506">
        <v>2024</v>
      </c>
      <c r="B506">
        <v>3</v>
      </c>
      <c r="C506" s="1">
        <v>45355</v>
      </c>
      <c r="D506" t="s">
        <v>210</v>
      </c>
      <c r="E506" t="s">
        <v>902</v>
      </c>
      <c r="G506">
        <v>-35.6</v>
      </c>
      <c r="H506">
        <v>35.6</v>
      </c>
      <c r="I506">
        <v>-35.6</v>
      </c>
      <c r="J506">
        <v>35.6</v>
      </c>
      <c r="K506">
        <v>27872.720000000001</v>
      </c>
    </row>
    <row r="507" spans="1:11" x14ac:dyDescent="0.25">
      <c r="A507">
        <v>2024</v>
      </c>
      <c r="B507">
        <v>12</v>
      </c>
      <c r="C507" s="1">
        <v>45628</v>
      </c>
      <c r="D507" t="s">
        <v>768</v>
      </c>
      <c r="E507" t="s">
        <v>902</v>
      </c>
      <c r="G507">
        <v>-145.86000000000001</v>
      </c>
      <c r="H507">
        <v>145.86000000000001</v>
      </c>
      <c r="I507">
        <v>-145.86000000000001</v>
      </c>
      <c r="J507">
        <v>145.86000000000001</v>
      </c>
      <c r="K507">
        <v>4244.83</v>
      </c>
    </row>
    <row r="508" spans="1:11" x14ac:dyDescent="0.25">
      <c r="A508">
        <v>2024</v>
      </c>
      <c r="B508">
        <v>10</v>
      </c>
      <c r="C508" s="1">
        <v>45596</v>
      </c>
      <c r="D508" t="s">
        <v>706</v>
      </c>
      <c r="E508" t="s">
        <v>902</v>
      </c>
      <c r="G508">
        <v>-144.49</v>
      </c>
      <c r="H508">
        <v>144.49</v>
      </c>
      <c r="I508">
        <v>-144.49</v>
      </c>
      <c r="J508">
        <v>144.49</v>
      </c>
      <c r="K508">
        <v>72199.31</v>
      </c>
    </row>
    <row r="509" spans="1:11" x14ac:dyDescent="0.25">
      <c r="A509">
        <v>2024</v>
      </c>
      <c r="B509">
        <v>4</v>
      </c>
      <c r="C509" s="1">
        <v>45384</v>
      </c>
      <c r="D509" t="s">
        <v>264</v>
      </c>
      <c r="E509" t="s">
        <v>902</v>
      </c>
      <c r="G509">
        <v>-35.65</v>
      </c>
      <c r="H509">
        <v>35.65</v>
      </c>
      <c r="I509">
        <v>-35.65</v>
      </c>
      <c r="J509">
        <v>35.65</v>
      </c>
      <c r="K509">
        <v>34721.160000000003</v>
      </c>
    </row>
    <row r="510" spans="1:11" x14ac:dyDescent="0.25">
      <c r="A510">
        <v>2024</v>
      </c>
      <c r="B510">
        <v>3</v>
      </c>
      <c r="C510" s="1">
        <v>45362</v>
      </c>
      <c r="D510" t="s">
        <v>227</v>
      </c>
      <c r="E510" t="s">
        <v>902</v>
      </c>
      <c r="G510">
        <v>-141.26</v>
      </c>
      <c r="H510">
        <v>141.26</v>
      </c>
      <c r="I510">
        <v>-141.26</v>
      </c>
      <c r="J510">
        <v>141.26</v>
      </c>
      <c r="K510">
        <v>27036.66</v>
      </c>
    </row>
    <row r="511" spans="1:11" x14ac:dyDescent="0.25">
      <c r="A511">
        <v>2024</v>
      </c>
      <c r="B511">
        <v>10</v>
      </c>
      <c r="C511" s="1">
        <v>45595</v>
      </c>
      <c r="D511" t="s">
        <v>696</v>
      </c>
      <c r="E511" t="s">
        <v>902</v>
      </c>
      <c r="G511">
        <v>-35.659999999999997</v>
      </c>
      <c r="H511">
        <v>35.659999999999997</v>
      </c>
      <c r="I511">
        <v>-35.659999999999997</v>
      </c>
      <c r="J511">
        <v>35.659999999999997</v>
      </c>
      <c r="K511">
        <v>77596.27</v>
      </c>
    </row>
    <row r="512" spans="1:11" x14ac:dyDescent="0.25">
      <c r="A512">
        <v>2024</v>
      </c>
      <c r="B512">
        <v>10</v>
      </c>
      <c r="C512" s="1">
        <v>45588</v>
      </c>
      <c r="D512" t="s">
        <v>689</v>
      </c>
      <c r="E512" t="s">
        <v>902</v>
      </c>
      <c r="G512">
        <v>-139.99</v>
      </c>
      <c r="H512">
        <v>139.99</v>
      </c>
      <c r="I512">
        <v>-139.99</v>
      </c>
      <c r="J512">
        <v>139.99</v>
      </c>
      <c r="K512">
        <v>72272.740000000005</v>
      </c>
    </row>
    <row r="513" spans="1:11" x14ac:dyDescent="0.25">
      <c r="A513">
        <v>2024</v>
      </c>
      <c r="B513">
        <v>11</v>
      </c>
      <c r="C513" s="1">
        <v>45604</v>
      </c>
      <c r="D513" t="s">
        <v>727</v>
      </c>
      <c r="E513" t="s">
        <v>902</v>
      </c>
      <c r="G513">
        <v>-139.99</v>
      </c>
      <c r="H513">
        <v>139.99</v>
      </c>
      <c r="I513">
        <v>-139.99</v>
      </c>
      <c r="J513">
        <v>139.99</v>
      </c>
      <c r="K513">
        <v>40360.57</v>
      </c>
    </row>
    <row r="514" spans="1:11" x14ac:dyDescent="0.25">
      <c r="A514">
        <v>2024</v>
      </c>
      <c r="B514">
        <v>5</v>
      </c>
      <c r="C514" s="1">
        <v>45440</v>
      </c>
      <c r="D514" t="s">
        <v>349</v>
      </c>
      <c r="E514" t="s">
        <v>902</v>
      </c>
      <c r="G514">
        <v>-139.56</v>
      </c>
      <c r="H514">
        <v>139.56</v>
      </c>
      <c r="I514">
        <v>-139.56</v>
      </c>
      <c r="J514">
        <v>139.56</v>
      </c>
      <c r="K514">
        <v>27815.79</v>
      </c>
    </row>
    <row r="515" spans="1:11" x14ac:dyDescent="0.25">
      <c r="A515">
        <v>2024</v>
      </c>
      <c r="B515">
        <v>1</v>
      </c>
      <c r="C515" s="1">
        <v>45293</v>
      </c>
      <c r="D515" t="s">
        <v>116</v>
      </c>
      <c r="E515" t="s">
        <v>902</v>
      </c>
      <c r="G515">
        <v>-35.67</v>
      </c>
      <c r="H515">
        <v>35.67</v>
      </c>
      <c r="I515">
        <v>-35.67</v>
      </c>
      <c r="J515">
        <v>35.67</v>
      </c>
      <c r="K515">
        <v>33622.230000000003</v>
      </c>
    </row>
    <row r="516" spans="1:11" x14ac:dyDescent="0.25">
      <c r="A516">
        <v>2024</v>
      </c>
      <c r="B516">
        <v>11</v>
      </c>
      <c r="C516" s="1">
        <v>45597</v>
      </c>
      <c r="D516" t="s">
        <v>713</v>
      </c>
      <c r="E516" t="s">
        <v>902</v>
      </c>
      <c r="G516">
        <v>-135.28</v>
      </c>
      <c r="H516">
        <v>135.28</v>
      </c>
      <c r="I516">
        <v>-135.28</v>
      </c>
      <c r="J516">
        <v>135.28</v>
      </c>
      <c r="K516">
        <v>30172.12</v>
      </c>
    </row>
    <row r="517" spans="1:11" x14ac:dyDescent="0.25">
      <c r="A517">
        <v>2024</v>
      </c>
      <c r="B517">
        <v>1</v>
      </c>
      <c r="C517" s="1">
        <v>45308</v>
      </c>
      <c r="D517" t="s">
        <v>147</v>
      </c>
      <c r="E517" t="s">
        <v>902</v>
      </c>
      <c r="G517">
        <v>-135</v>
      </c>
      <c r="H517">
        <v>135</v>
      </c>
      <c r="I517">
        <v>-135</v>
      </c>
      <c r="J517">
        <v>135</v>
      </c>
      <c r="K517">
        <v>19369.84</v>
      </c>
    </row>
    <row r="518" spans="1:11" x14ac:dyDescent="0.25">
      <c r="A518">
        <v>2024</v>
      </c>
      <c r="B518">
        <v>6</v>
      </c>
      <c r="C518" s="1">
        <v>45446</v>
      </c>
      <c r="D518" t="s">
        <v>364</v>
      </c>
      <c r="E518" t="s">
        <v>902</v>
      </c>
      <c r="G518">
        <v>-134.83000000000001</v>
      </c>
      <c r="H518">
        <v>134.83000000000001</v>
      </c>
      <c r="I518">
        <v>-134.83000000000001</v>
      </c>
      <c r="J518">
        <v>134.83000000000001</v>
      </c>
      <c r="K518">
        <v>10760.15</v>
      </c>
    </row>
    <row r="519" spans="1:11" x14ac:dyDescent="0.25">
      <c r="A519">
        <v>2024</v>
      </c>
      <c r="B519">
        <v>9</v>
      </c>
      <c r="C519" s="1">
        <v>45538</v>
      </c>
      <c r="D519" t="s">
        <v>553</v>
      </c>
      <c r="E519" t="s">
        <v>902</v>
      </c>
      <c r="G519">
        <v>-133.94</v>
      </c>
      <c r="H519">
        <v>133.94</v>
      </c>
      <c r="I519">
        <v>-133.94</v>
      </c>
      <c r="J519">
        <v>133.94</v>
      </c>
      <c r="K519">
        <v>76382.48</v>
      </c>
    </row>
    <row r="520" spans="1:11" x14ac:dyDescent="0.25">
      <c r="A520">
        <v>2024</v>
      </c>
      <c r="B520">
        <v>11</v>
      </c>
      <c r="C520" s="1">
        <v>45611</v>
      </c>
      <c r="D520" t="s">
        <v>744</v>
      </c>
      <c r="E520" t="s">
        <v>902</v>
      </c>
      <c r="G520">
        <v>-133.37</v>
      </c>
      <c r="H520">
        <v>133.37</v>
      </c>
      <c r="I520">
        <v>-133.37</v>
      </c>
      <c r="J520">
        <v>133.37</v>
      </c>
      <c r="K520">
        <v>5090.17</v>
      </c>
    </row>
    <row r="521" spans="1:11" x14ac:dyDescent="0.25">
      <c r="A521">
        <v>2024</v>
      </c>
      <c r="B521">
        <v>2</v>
      </c>
      <c r="C521" s="1">
        <v>45324</v>
      </c>
      <c r="D521" t="s">
        <v>171</v>
      </c>
      <c r="E521" t="s">
        <v>902</v>
      </c>
      <c r="G521">
        <v>-35.700000000000003</v>
      </c>
      <c r="H521">
        <v>35.700000000000003</v>
      </c>
      <c r="I521">
        <v>-35.700000000000003</v>
      </c>
      <c r="J521">
        <v>35.700000000000003</v>
      </c>
      <c r="K521">
        <v>36504.9</v>
      </c>
    </row>
    <row r="522" spans="1:11" x14ac:dyDescent="0.25">
      <c r="A522">
        <v>2024</v>
      </c>
      <c r="B522">
        <v>4</v>
      </c>
      <c r="C522" s="1">
        <v>45404</v>
      </c>
      <c r="D522" t="s">
        <v>293</v>
      </c>
      <c r="E522" t="s">
        <v>902</v>
      </c>
      <c r="G522">
        <v>-132.56</v>
      </c>
      <c r="H522">
        <v>132.56</v>
      </c>
      <c r="I522">
        <v>-132.56</v>
      </c>
      <c r="J522">
        <v>132.56</v>
      </c>
      <c r="K522">
        <v>13558.58</v>
      </c>
    </row>
    <row r="523" spans="1:11" x14ac:dyDescent="0.25">
      <c r="A523">
        <v>2024</v>
      </c>
      <c r="B523">
        <v>1</v>
      </c>
      <c r="C523" s="1">
        <v>45313</v>
      </c>
      <c r="D523" t="s">
        <v>150</v>
      </c>
      <c r="E523" t="s">
        <v>902</v>
      </c>
      <c r="G523">
        <v>-132.44</v>
      </c>
      <c r="H523">
        <v>132.44</v>
      </c>
      <c r="I523">
        <v>-132.44</v>
      </c>
      <c r="J523">
        <v>132.44</v>
      </c>
      <c r="K523">
        <v>18002.87</v>
      </c>
    </row>
    <row r="524" spans="1:11" x14ac:dyDescent="0.25">
      <c r="A524">
        <v>2024</v>
      </c>
      <c r="B524">
        <v>6</v>
      </c>
      <c r="C524" s="1">
        <v>45471</v>
      </c>
      <c r="D524" t="s">
        <v>410</v>
      </c>
      <c r="E524" t="s">
        <v>902</v>
      </c>
      <c r="G524">
        <v>-130.80000000000001</v>
      </c>
      <c r="H524">
        <v>130.80000000000001</v>
      </c>
      <c r="I524">
        <v>-130.80000000000001</v>
      </c>
      <c r="J524">
        <v>130.80000000000001</v>
      </c>
      <c r="K524">
        <v>65304.91</v>
      </c>
    </row>
    <row r="525" spans="1:11" x14ac:dyDescent="0.25">
      <c r="A525">
        <v>2024</v>
      </c>
      <c r="B525">
        <v>11</v>
      </c>
      <c r="C525" s="1">
        <v>45602</v>
      </c>
      <c r="D525" t="s">
        <v>725</v>
      </c>
      <c r="E525" t="s">
        <v>902</v>
      </c>
      <c r="G525">
        <v>-130.72</v>
      </c>
      <c r="H525">
        <v>130.72</v>
      </c>
      <c r="I525">
        <v>-130.72</v>
      </c>
      <c r="J525">
        <v>130.72</v>
      </c>
      <c r="K525">
        <v>40542.61</v>
      </c>
    </row>
    <row r="526" spans="1:11" x14ac:dyDescent="0.25">
      <c r="A526">
        <v>2024</v>
      </c>
      <c r="B526">
        <v>7</v>
      </c>
      <c r="C526" s="1">
        <v>45475</v>
      </c>
      <c r="D526" t="s">
        <v>419</v>
      </c>
      <c r="E526" t="s">
        <v>902</v>
      </c>
      <c r="G526">
        <v>-129.36000000000001</v>
      </c>
      <c r="H526">
        <v>129.36000000000001</v>
      </c>
      <c r="I526">
        <v>-129.36000000000001</v>
      </c>
      <c r="J526">
        <v>129.36000000000001</v>
      </c>
      <c r="K526">
        <v>72848.759999999995</v>
      </c>
    </row>
    <row r="527" spans="1:11" x14ac:dyDescent="0.25">
      <c r="A527">
        <v>2024</v>
      </c>
      <c r="B527">
        <v>8</v>
      </c>
      <c r="C527" s="1">
        <v>45523</v>
      </c>
      <c r="D527" t="s">
        <v>516</v>
      </c>
      <c r="E527" t="s">
        <v>902</v>
      </c>
      <c r="G527">
        <v>-127.59</v>
      </c>
      <c r="H527">
        <v>127.59</v>
      </c>
      <c r="I527">
        <v>-127.59</v>
      </c>
      <c r="J527">
        <v>127.59</v>
      </c>
      <c r="K527">
        <v>71635.39</v>
      </c>
    </row>
    <row r="528" spans="1:11" x14ac:dyDescent="0.25">
      <c r="A528">
        <v>2024</v>
      </c>
      <c r="B528">
        <v>2</v>
      </c>
      <c r="C528" s="1">
        <v>45327</v>
      </c>
      <c r="D528" t="s">
        <v>174</v>
      </c>
      <c r="E528" t="s">
        <v>902</v>
      </c>
      <c r="G528">
        <v>-126.56</v>
      </c>
      <c r="H528">
        <v>126.56</v>
      </c>
      <c r="I528">
        <v>-126.56</v>
      </c>
      <c r="J528">
        <v>126.56</v>
      </c>
      <c r="K528">
        <v>35066.199999999997</v>
      </c>
    </row>
    <row r="529" spans="1:11" x14ac:dyDescent="0.25">
      <c r="A529">
        <v>2024</v>
      </c>
      <c r="B529">
        <v>3</v>
      </c>
      <c r="C529" s="1">
        <v>45359</v>
      </c>
      <c r="D529" t="s">
        <v>215</v>
      </c>
      <c r="E529" t="s">
        <v>902</v>
      </c>
      <c r="G529">
        <v>-126.56</v>
      </c>
      <c r="H529">
        <v>126.56</v>
      </c>
      <c r="I529">
        <v>-126.56</v>
      </c>
      <c r="J529">
        <v>126.56</v>
      </c>
      <c r="K529">
        <v>21625.61</v>
      </c>
    </row>
    <row r="530" spans="1:11" x14ac:dyDescent="0.25">
      <c r="A530">
        <v>2024</v>
      </c>
      <c r="B530">
        <v>4</v>
      </c>
      <c r="C530" s="1">
        <v>45390</v>
      </c>
      <c r="D530" t="s">
        <v>273</v>
      </c>
      <c r="E530" t="s">
        <v>902</v>
      </c>
      <c r="G530">
        <v>-126.56</v>
      </c>
      <c r="H530">
        <v>126.56</v>
      </c>
      <c r="I530">
        <v>-126.56</v>
      </c>
      <c r="J530">
        <v>126.56</v>
      </c>
      <c r="K530">
        <v>19987.78</v>
      </c>
    </row>
    <row r="531" spans="1:11" x14ac:dyDescent="0.25">
      <c r="A531">
        <v>2024</v>
      </c>
      <c r="B531">
        <v>5</v>
      </c>
      <c r="C531" s="1">
        <v>45418</v>
      </c>
      <c r="D531" t="s">
        <v>323</v>
      </c>
      <c r="E531" t="s">
        <v>902</v>
      </c>
      <c r="G531">
        <v>-126.56</v>
      </c>
      <c r="H531">
        <v>126.56</v>
      </c>
      <c r="I531">
        <v>-126.56</v>
      </c>
      <c r="J531">
        <v>126.56</v>
      </c>
      <c r="K531">
        <v>9480.44</v>
      </c>
    </row>
    <row r="532" spans="1:11" x14ac:dyDescent="0.25">
      <c r="A532">
        <v>2024</v>
      </c>
      <c r="B532">
        <v>6</v>
      </c>
      <c r="C532" s="1">
        <v>45450</v>
      </c>
      <c r="D532" t="s">
        <v>373</v>
      </c>
      <c r="E532" t="s">
        <v>902</v>
      </c>
      <c r="G532">
        <v>-126.56</v>
      </c>
      <c r="H532">
        <v>126.56</v>
      </c>
      <c r="I532">
        <v>-126.56</v>
      </c>
      <c r="J532">
        <v>126.56</v>
      </c>
      <c r="K532">
        <v>25307.84</v>
      </c>
    </row>
    <row r="533" spans="1:11" x14ac:dyDescent="0.25">
      <c r="A533">
        <v>2024</v>
      </c>
      <c r="B533">
        <v>7</v>
      </c>
      <c r="C533" s="1">
        <v>45483</v>
      </c>
      <c r="D533" t="s">
        <v>433</v>
      </c>
      <c r="E533" t="s">
        <v>902</v>
      </c>
      <c r="G533">
        <v>-126.56</v>
      </c>
      <c r="H533">
        <v>126.56</v>
      </c>
      <c r="I533">
        <v>-126.56</v>
      </c>
      <c r="J533">
        <v>126.56</v>
      </c>
      <c r="K533">
        <v>81477.19</v>
      </c>
    </row>
    <row r="534" spans="1:11" x14ac:dyDescent="0.25">
      <c r="A534">
        <v>2024</v>
      </c>
      <c r="B534">
        <v>8</v>
      </c>
      <c r="C534" s="1">
        <v>45511</v>
      </c>
      <c r="D534" t="s">
        <v>498</v>
      </c>
      <c r="E534" t="s">
        <v>902</v>
      </c>
      <c r="G534">
        <v>-126.56</v>
      </c>
      <c r="H534">
        <v>126.56</v>
      </c>
      <c r="I534">
        <v>-126.56</v>
      </c>
      <c r="J534">
        <v>126.56</v>
      </c>
      <c r="K534">
        <v>41288.06</v>
      </c>
    </row>
    <row r="535" spans="1:11" x14ac:dyDescent="0.25">
      <c r="A535">
        <v>2024</v>
      </c>
      <c r="B535">
        <v>9</v>
      </c>
      <c r="C535" s="1">
        <v>45541</v>
      </c>
      <c r="D535" t="s">
        <v>567</v>
      </c>
      <c r="E535" t="s">
        <v>902</v>
      </c>
      <c r="G535">
        <v>-126.56</v>
      </c>
      <c r="H535">
        <v>126.56</v>
      </c>
      <c r="I535">
        <v>-126.56</v>
      </c>
      <c r="J535">
        <v>126.56</v>
      </c>
      <c r="K535">
        <v>80116.09</v>
      </c>
    </row>
    <row r="536" spans="1:11" x14ac:dyDescent="0.25">
      <c r="A536">
        <v>2024</v>
      </c>
      <c r="B536">
        <v>10</v>
      </c>
      <c r="C536" s="1">
        <v>45596</v>
      </c>
      <c r="D536" t="s">
        <v>704</v>
      </c>
      <c r="E536" t="s">
        <v>902</v>
      </c>
      <c r="G536">
        <v>-126.56</v>
      </c>
      <c r="H536">
        <v>126.56</v>
      </c>
      <c r="I536">
        <v>-126.56</v>
      </c>
      <c r="J536">
        <v>126.56</v>
      </c>
      <c r="K536">
        <v>75434.34</v>
      </c>
    </row>
    <row r="537" spans="1:11" x14ac:dyDescent="0.25">
      <c r="A537">
        <v>2024</v>
      </c>
      <c r="B537">
        <v>11</v>
      </c>
      <c r="C537" s="1">
        <v>45609</v>
      </c>
      <c r="D537" t="s">
        <v>736</v>
      </c>
      <c r="E537" t="s">
        <v>902</v>
      </c>
      <c r="G537">
        <v>-126.56</v>
      </c>
      <c r="H537">
        <v>126.56</v>
      </c>
      <c r="I537">
        <v>-126.56</v>
      </c>
      <c r="J537">
        <v>126.56</v>
      </c>
      <c r="K537">
        <v>23912.75</v>
      </c>
    </row>
    <row r="538" spans="1:11" x14ac:dyDescent="0.25">
      <c r="A538">
        <v>2024</v>
      </c>
      <c r="B538">
        <v>1</v>
      </c>
      <c r="C538" s="1">
        <v>45301</v>
      </c>
      <c r="D538" t="s">
        <v>44</v>
      </c>
      <c r="E538" t="s">
        <v>902</v>
      </c>
      <c r="G538">
        <v>-126.43</v>
      </c>
      <c r="H538">
        <v>126.43</v>
      </c>
      <c r="I538">
        <v>-126.43</v>
      </c>
      <c r="J538">
        <v>126.43</v>
      </c>
      <c r="K538">
        <v>31963.94</v>
      </c>
    </row>
    <row r="539" spans="1:11" x14ac:dyDescent="0.25">
      <c r="A539">
        <v>2024</v>
      </c>
      <c r="B539">
        <v>2</v>
      </c>
      <c r="C539" s="1">
        <v>45329</v>
      </c>
      <c r="D539" t="s">
        <v>44</v>
      </c>
      <c r="E539" t="s">
        <v>902</v>
      </c>
      <c r="G539">
        <v>-126.43</v>
      </c>
      <c r="H539">
        <v>126.43</v>
      </c>
      <c r="I539">
        <v>-126.43</v>
      </c>
      <c r="J539">
        <v>126.43</v>
      </c>
      <c r="K539">
        <v>34641.230000000003</v>
      </c>
    </row>
    <row r="540" spans="1:11" x14ac:dyDescent="0.25">
      <c r="A540">
        <v>2024</v>
      </c>
      <c r="B540">
        <v>3</v>
      </c>
      <c r="C540" s="1">
        <v>45359</v>
      </c>
      <c r="D540" t="s">
        <v>44</v>
      </c>
      <c r="E540" t="s">
        <v>902</v>
      </c>
      <c r="G540">
        <v>-126.43</v>
      </c>
      <c r="H540">
        <v>126.43</v>
      </c>
      <c r="I540">
        <v>-126.43</v>
      </c>
      <c r="J540">
        <v>126.43</v>
      </c>
      <c r="K540">
        <v>20405.18</v>
      </c>
    </row>
    <row r="541" spans="1:11" x14ac:dyDescent="0.25">
      <c r="A541">
        <v>2024</v>
      </c>
      <c r="B541">
        <v>4</v>
      </c>
      <c r="C541" s="1">
        <v>45390</v>
      </c>
      <c r="D541" t="s">
        <v>44</v>
      </c>
      <c r="E541" t="s">
        <v>902</v>
      </c>
      <c r="G541">
        <v>-126.43</v>
      </c>
      <c r="H541">
        <v>126.43</v>
      </c>
      <c r="I541">
        <v>-126.43</v>
      </c>
      <c r="J541">
        <v>126.43</v>
      </c>
      <c r="K541">
        <v>19720.41</v>
      </c>
    </row>
    <row r="542" spans="1:11" x14ac:dyDescent="0.25">
      <c r="A542">
        <v>2024</v>
      </c>
      <c r="B542">
        <v>5</v>
      </c>
      <c r="C542" s="1">
        <v>45421</v>
      </c>
      <c r="D542" t="s">
        <v>44</v>
      </c>
      <c r="E542" t="s">
        <v>902</v>
      </c>
      <c r="G542">
        <v>-126.43</v>
      </c>
      <c r="H542">
        <v>126.43</v>
      </c>
      <c r="I542">
        <v>-126.43</v>
      </c>
      <c r="J542">
        <v>126.43</v>
      </c>
      <c r="K542">
        <v>7151.04</v>
      </c>
    </row>
    <row r="543" spans="1:11" x14ac:dyDescent="0.25">
      <c r="A543">
        <v>2024</v>
      </c>
      <c r="B543">
        <v>6</v>
      </c>
      <c r="C543" s="1">
        <v>45453</v>
      </c>
      <c r="D543" t="s">
        <v>44</v>
      </c>
      <c r="E543" t="s">
        <v>902</v>
      </c>
      <c r="G543">
        <v>-126.43</v>
      </c>
      <c r="H543">
        <v>126.43</v>
      </c>
      <c r="I543">
        <v>-126.43</v>
      </c>
      <c r="J543">
        <v>126.43</v>
      </c>
      <c r="K543">
        <v>39539.379999999997</v>
      </c>
    </row>
    <row r="544" spans="1:11" x14ac:dyDescent="0.25">
      <c r="A544">
        <v>2024</v>
      </c>
      <c r="B544">
        <v>7</v>
      </c>
      <c r="C544" s="1">
        <v>45478</v>
      </c>
      <c r="D544" t="s">
        <v>44</v>
      </c>
      <c r="E544" t="s">
        <v>902</v>
      </c>
      <c r="G544">
        <v>-126.43</v>
      </c>
      <c r="H544">
        <v>126.43</v>
      </c>
      <c r="I544">
        <v>-126.43</v>
      </c>
      <c r="J544">
        <v>126.43</v>
      </c>
      <c r="K544">
        <v>71538.570000000007</v>
      </c>
    </row>
    <row r="545" spans="1:11" x14ac:dyDescent="0.25">
      <c r="A545">
        <v>2024</v>
      </c>
      <c r="B545">
        <v>8</v>
      </c>
      <c r="C545" s="1">
        <v>45516</v>
      </c>
      <c r="D545" t="s">
        <v>44</v>
      </c>
      <c r="E545" t="s">
        <v>902</v>
      </c>
      <c r="G545">
        <v>-126.43</v>
      </c>
      <c r="H545">
        <v>126.43</v>
      </c>
      <c r="I545">
        <v>-126.43</v>
      </c>
      <c r="J545">
        <v>126.43</v>
      </c>
      <c r="K545">
        <v>25796.34</v>
      </c>
    </row>
    <row r="546" spans="1:11" x14ac:dyDescent="0.25">
      <c r="A546">
        <v>2024</v>
      </c>
      <c r="B546">
        <v>9</v>
      </c>
      <c r="C546" s="1">
        <v>45544</v>
      </c>
      <c r="D546" t="s">
        <v>44</v>
      </c>
      <c r="E546" t="s">
        <v>902</v>
      </c>
      <c r="G546">
        <v>-126.43</v>
      </c>
      <c r="H546">
        <v>126.43</v>
      </c>
      <c r="I546">
        <v>-126.43</v>
      </c>
      <c r="J546">
        <v>126.43</v>
      </c>
      <c r="K546">
        <v>67710.37</v>
      </c>
    </row>
    <row r="547" spans="1:11" x14ac:dyDescent="0.25">
      <c r="A547">
        <v>2024</v>
      </c>
      <c r="B547">
        <v>10</v>
      </c>
      <c r="C547" s="1">
        <v>45572</v>
      </c>
      <c r="D547" t="s">
        <v>44</v>
      </c>
      <c r="E547" t="s">
        <v>902</v>
      </c>
      <c r="G547">
        <v>-126.43</v>
      </c>
      <c r="H547">
        <v>126.43</v>
      </c>
      <c r="I547">
        <v>-126.43</v>
      </c>
      <c r="J547">
        <v>126.43</v>
      </c>
      <c r="K547">
        <v>69758.679999999993</v>
      </c>
    </row>
    <row r="548" spans="1:11" x14ac:dyDescent="0.25">
      <c r="A548">
        <v>2024</v>
      </c>
      <c r="B548">
        <v>11</v>
      </c>
      <c r="C548" s="1">
        <v>45604</v>
      </c>
      <c r="D548" t="s">
        <v>44</v>
      </c>
      <c r="E548" t="s">
        <v>902</v>
      </c>
      <c r="G548">
        <v>-126.43</v>
      </c>
      <c r="H548">
        <v>126.43</v>
      </c>
      <c r="I548">
        <v>-126.43</v>
      </c>
      <c r="J548">
        <v>126.43</v>
      </c>
      <c r="K548">
        <v>40234.14</v>
      </c>
    </row>
    <row r="549" spans="1:11" x14ac:dyDescent="0.25">
      <c r="A549">
        <v>2024</v>
      </c>
      <c r="B549">
        <v>12</v>
      </c>
      <c r="C549" s="1">
        <v>45635</v>
      </c>
      <c r="D549" t="s">
        <v>44</v>
      </c>
      <c r="E549" t="s">
        <v>902</v>
      </c>
      <c r="G549">
        <v>-126.43</v>
      </c>
      <c r="H549">
        <v>126.43</v>
      </c>
      <c r="I549">
        <v>-126.43</v>
      </c>
      <c r="J549">
        <v>126.43</v>
      </c>
      <c r="K549">
        <v>7352.76</v>
      </c>
    </row>
    <row r="550" spans="1:11" x14ac:dyDescent="0.25">
      <c r="A550">
        <v>2024</v>
      </c>
      <c r="B550">
        <v>5</v>
      </c>
      <c r="C550" s="1">
        <v>45414</v>
      </c>
      <c r="D550" t="s">
        <v>314</v>
      </c>
      <c r="E550" t="s">
        <v>902</v>
      </c>
      <c r="G550">
        <v>-35.9</v>
      </c>
      <c r="H550">
        <v>35.9</v>
      </c>
      <c r="I550">
        <v>-35.9</v>
      </c>
      <c r="J550">
        <v>35.9</v>
      </c>
      <c r="K550">
        <v>27235.360000000001</v>
      </c>
    </row>
    <row r="551" spans="1:11" x14ac:dyDescent="0.25">
      <c r="A551">
        <v>2024</v>
      </c>
      <c r="B551">
        <v>3</v>
      </c>
      <c r="C551" s="1">
        <v>45378</v>
      </c>
      <c r="D551" t="s">
        <v>246</v>
      </c>
      <c r="E551" t="s">
        <v>902</v>
      </c>
      <c r="G551">
        <v>-37.17</v>
      </c>
      <c r="H551">
        <v>37.17</v>
      </c>
      <c r="I551">
        <v>-37.17</v>
      </c>
      <c r="J551">
        <v>37.17</v>
      </c>
      <c r="K551">
        <v>7517.49</v>
      </c>
    </row>
    <row r="552" spans="1:11" x14ac:dyDescent="0.25">
      <c r="A552">
        <v>2024</v>
      </c>
      <c r="B552">
        <v>9</v>
      </c>
      <c r="C552" s="1">
        <v>45562</v>
      </c>
      <c r="D552" t="s">
        <v>621</v>
      </c>
      <c r="E552" t="s">
        <v>902</v>
      </c>
      <c r="G552">
        <v>-126</v>
      </c>
      <c r="H552">
        <v>126</v>
      </c>
      <c r="I552">
        <v>-126</v>
      </c>
      <c r="J552">
        <v>126</v>
      </c>
      <c r="K552">
        <v>76541.600000000006</v>
      </c>
    </row>
    <row r="553" spans="1:11" x14ac:dyDescent="0.25">
      <c r="A553">
        <v>2024</v>
      </c>
      <c r="B553">
        <v>9</v>
      </c>
      <c r="C553" s="1">
        <v>45541</v>
      </c>
      <c r="D553" t="s">
        <v>572</v>
      </c>
      <c r="E553" t="s">
        <v>902</v>
      </c>
      <c r="G553">
        <v>-124.78</v>
      </c>
      <c r="H553">
        <v>124.78</v>
      </c>
      <c r="I553">
        <v>-124.78</v>
      </c>
      <c r="J553">
        <v>124.78</v>
      </c>
      <c r="K553">
        <v>48702.81</v>
      </c>
    </row>
    <row r="554" spans="1:11" x14ac:dyDescent="0.25">
      <c r="A554">
        <v>2024</v>
      </c>
      <c r="B554">
        <v>5</v>
      </c>
      <c r="C554" s="1">
        <v>45414</v>
      </c>
      <c r="D554" t="s">
        <v>312</v>
      </c>
      <c r="E554" t="s">
        <v>902</v>
      </c>
      <c r="G554">
        <v>-123.29</v>
      </c>
      <c r="H554">
        <v>123.29</v>
      </c>
      <c r="I554">
        <v>-123.29</v>
      </c>
      <c r="J554">
        <v>123.29</v>
      </c>
      <c r="K554">
        <v>27294.21</v>
      </c>
    </row>
    <row r="555" spans="1:11" x14ac:dyDescent="0.25">
      <c r="A555">
        <v>2024</v>
      </c>
      <c r="B555">
        <v>7</v>
      </c>
      <c r="C555" s="1">
        <v>45485</v>
      </c>
      <c r="D555" t="s">
        <v>437</v>
      </c>
      <c r="E555" t="s">
        <v>902</v>
      </c>
      <c r="G555">
        <v>-122.65</v>
      </c>
      <c r="H555">
        <v>122.65</v>
      </c>
      <c r="I555">
        <v>-122.65</v>
      </c>
      <c r="J555">
        <v>122.65</v>
      </c>
      <c r="K555">
        <v>58817.63</v>
      </c>
    </row>
    <row r="556" spans="1:11" x14ac:dyDescent="0.25">
      <c r="A556">
        <v>2024</v>
      </c>
      <c r="B556">
        <v>2</v>
      </c>
      <c r="C556" s="1">
        <v>45330</v>
      </c>
      <c r="D556" t="s">
        <v>176</v>
      </c>
      <c r="E556" t="s">
        <v>902</v>
      </c>
      <c r="G556">
        <v>-121.14</v>
      </c>
      <c r="H556">
        <v>121.14</v>
      </c>
      <c r="I556">
        <v>-121.14</v>
      </c>
      <c r="J556">
        <v>121.14</v>
      </c>
      <c r="K556">
        <v>34520.089999999997</v>
      </c>
    </row>
    <row r="557" spans="1:11" x14ac:dyDescent="0.25">
      <c r="A557">
        <v>2024</v>
      </c>
      <c r="B557">
        <v>9</v>
      </c>
      <c r="C557" s="1">
        <v>45541</v>
      </c>
      <c r="D557" t="s">
        <v>568</v>
      </c>
      <c r="E557" t="s">
        <v>902</v>
      </c>
      <c r="G557">
        <v>-119.14</v>
      </c>
      <c r="H557">
        <v>119.14</v>
      </c>
      <c r="I557">
        <v>-119.14</v>
      </c>
      <c r="J557">
        <v>119.14</v>
      </c>
      <c r="K557">
        <v>79996.95</v>
      </c>
    </row>
    <row r="558" spans="1:11" x14ac:dyDescent="0.25">
      <c r="A558">
        <v>2024</v>
      </c>
      <c r="B558">
        <v>7</v>
      </c>
      <c r="C558" s="1">
        <v>45475</v>
      </c>
      <c r="D558" t="s">
        <v>423</v>
      </c>
      <c r="E558" t="s">
        <v>902</v>
      </c>
      <c r="G558">
        <v>-119</v>
      </c>
      <c r="H558">
        <v>119</v>
      </c>
      <c r="I558">
        <v>-119</v>
      </c>
      <c r="J558">
        <v>119</v>
      </c>
      <c r="K558">
        <v>71956.259999999995</v>
      </c>
    </row>
    <row r="559" spans="1:11" x14ac:dyDescent="0.25">
      <c r="A559">
        <v>2024</v>
      </c>
      <c r="B559">
        <v>8</v>
      </c>
      <c r="C559" s="1">
        <v>45510</v>
      </c>
      <c r="D559" t="s">
        <v>496</v>
      </c>
      <c r="E559" t="s">
        <v>902</v>
      </c>
      <c r="G559">
        <v>-118.95</v>
      </c>
      <c r="H559">
        <v>118.95</v>
      </c>
      <c r="I559">
        <v>-118.95</v>
      </c>
      <c r="J559">
        <v>118.95</v>
      </c>
      <c r="K559">
        <v>41682.69</v>
      </c>
    </row>
    <row r="560" spans="1:11" x14ac:dyDescent="0.25">
      <c r="A560">
        <v>2024</v>
      </c>
      <c r="B560">
        <v>9</v>
      </c>
      <c r="C560" s="1">
        <v>45558</v>
      </c>
      <c r="D560" t="s">
        <v>609</v>
      </c>
      <c r="E560" t="s">
        <v>902</v>
      </c>
      <c r="G560">
        <v>-37.18</v>
      </c>
      <c r="H560">
        <v>37.18</v>
      </c>
      <c r="I560">
        <v>-37.18</v>
      </c>
      <c r="J560">
        <v>37.18</v>
      </c>
      <c r="K560">
        <v>66711.039999999994</v>
      </c>
    </row>
    <row r="561" spans="1:11" x14ac:dyDescent="0.25">
      <c r="A561">
        <v>2024</v>
      </c>
      <c r="B561">
        <v>1</v>
      </c>
      <c r="C561" s="1">
        <v>45296</v>
      </c>
      <c r="D561" t="s">
        <v>126</v>
      </c>
      <c r="E561" t="s">
        <v>902</v>
      </c>
      <c r="G561">
        <v>-118.41</v>
      </c>
      <c r="H561">
        <v>118.41</v>
      </c>
      <c r="I561">
        <v>-118.41</v>
      </c>
      <c r="J561">
        <v>118.41</v>
      </c>
      <c r="K561">
        <v>50937</v>
      </c>
    </row>
    <row r="562" spans="1:11" x14ac:dyDescent="0.25">
      <c r="A562">
        <v>2024</v>
      </c>
      <c r="B562">
        <v>3</v>
      </c>
      <c r="C562" s="1">
        <v>45362</v>
      </c>
      <c r="D562" t="s">
        <v>224</v>
      </c>
      <c r="E562" t="s">
        <v>902</v>
      </c>
      <c r="G562">
        <v>-118.1</v>
      </c>
      <c r="H562">
        <v>118.1</v>
      </c>
      <c r="I562">
        <v>-118.1</v>
      </c>
      <c r="J562">
        <v>118.1</v>
      </c>
      <c r="K562">
        <v>27543.86</v>
      </c>
    </row>
    <row r="563" spans="1:11" x14ac:dyDescent="0.25">
      <c r="A563">
        <v>2024</v>
      </c>
      <c r="B563">
        <v>3</v>
      </c>
      <c r="C563" s="1">
        <v>45379</v>
      </c>
      <c r="D563" t="s">
        <v>249</v>
      </c>
      <c r="E563" t="s">
        <v>902</v>
      </c>
      <c r="G563">
        <v>-116.96</v>
      </c>
      <c r="H563">
        <v>116.96</v>
      </c>
      <c r="I563">
        <v>-116.96</v>
      </c>
      <c r="J563">
        <v>116.96</v>
      </c>
      <c r="K563">
        <v>22575.279999999999</v>
      </c>
    </row>
    <row r="564" spans="1:11" x14ac:dyDescent="0.25">
      <c r="A564">
        <v>2024</v>
      </c>
      <c r="B564">
        <v>3</v>
      </c>
      <c r="C564" s="1">
        <v>45359</v>
      </c>
      <c r="D564" t="s">
        <v>219</v>
      </c>
      <c r="E564" t="s">
        <v>902</v>
      </c>
      <c r="G564">
        <v>-115.22</v>
      </c>
      <c r="H564">
        <v>115.22</v>
      </c>
      <c r="I564">
        <v>-115.22</v>
      </c>
      <c r="J564">
        <v>115.22</v>
      </c>
      <c r="K564">
        <v>20289.96</v>
      </c>
    </row>
    <row r="565" spans="1:11" x14ac:dyDescent="0.25">
      <c r="A565">
        <v>2024</v>
      </c>
      <c r="B565">
        <v>11</v>
      </c>
      <c r="C565" s="1">
        <v>45604</v>
      </c>
      <c r="D565" t="s">
        <v>726</v>
      </c>
      <c r="E565" t="s">
        <v>902</v>
      </c>
      <c r="G565">
        <v>-42.05</v>
      </c>
      <c r="H565">
        <v>42.05</v>
      </c>
      <c r="I565">
        <v>-42.05</v>
      </c>
      <c r="J565">
        <v>42.05</v>
      </c>
      <c r="K565">
        <v>40500.559999999998</v>
      </c>
    </row>
    <row r="566" spans="1:11" x14ac:dyDescent="0.25">
      <c r="A566">
        <v>2024</v>
      </c>
      <c r="B566">
        <v>1</v>
      </c>
      <c r="C566" s="1">
        <v>45293</v>
      </c>
      <c r="D566" t="s">
        <v>117</v>
      </c>
      <c r="E566" t="s">
        <v>902</v>
      </c>
      <c r="G566">
        <v>-114.17</v>
      </c>
      <c r="H566">
        <v>114.17</v>
      </c>
      <c r="I566">
        <v>-114.17</v>
      </c>
      <c r="J566">
        <v>114.17</v>
      </c>
      <c r="K566">
        <v>33508.06</v>
      </c>
    </row>
    <row r="567" spans="1:11" x14ac:dyDescent="0.25">
      <c r="A567">
        <v>2024</v>
      </c>
      <c r="B567">
        <v>7</v>
      </c>
      <c r="C567" s="1">
        <v>45474</v>
      </c>
      <c r="D567" t="s">
        <v>414</v>
      </c>
      <c r="E567" t="s">
        <v>902</v>
      </c>
      <c r="G567">
        <v>-114.05</v>
      </c>
      <c r="H567">
        <v>114.05</v>
      </c>
      <c r="I567">
        <v>-114.05</v>
      </c>
      <c r="J567">
        <v>114.05</v>
      </c>
      <c r="K567">
        <v>67655.740000000005</v>
      </c>
    </row>
    <row r="568" spans="1:11" x14ac:dyDescent="0.25">
      <c r="A568">
        <v>2024</v>
      </c>
      <c r="B568">
        <v>10</v>
      </c>
      <c r="C568" s="1">
        <v>45573</v>
      </c>
      <c r="D568" t="s">
        <v>655</v>
      </c>
      <c r="E568" t="s">
        <v>902</v>
      </c>
      <c r="G568">
        <v>-42.05</v>
      </c>
      <c r="H568">
        <v>42.05</v>
      </c>
      <c r="I568">
        <v>-42.05</v>
      </c>
      <c r="J568">
        <v>42.05</v>
      </c>
      <c r="K568">
        <v>69701.600000000006</v>
      </c>
    </row>
    <row r="569" spans="1:11" x14ac:dyDescent="0.25">
      <c r="A569">
        <v>2024</v>
      </c>
      <c r="B569">
        <v>5</v>
      </c>
      <c r="C569" s="1">
        <v>45425</v>
      </c>
      <c r="D569" t="s">
        <v>332</v>
      </c>
      <c r="E569" t="s">
        <v>902</v>
      </c>
      <c r="G569">
        <v>-112.6</v>
      </c>
      <c r="H569">
        <v>112.6</v>
      </c>
      <c r="I569">
        <v>-112.6</v>
      </c>
      <c r="J569">
        <v>112.6</v>
      </c>
      <c r="K569">
        <v>8725.07</v>
      </c>
    </row>
    <row r="570" spans="1:11" x14ac:dyDescent="0.25">
      <c r="A570">
        <v>2024</v>
      </c>
      <c r="B570">
        <v>5</v>
      </c>
      <c r="C570" s="1">
        <v>45427</v>
      </c>
      <c r="D570" t="s">
        <v>335</v>
      </c>
      <c r="E570" t="s">
        <v>902</v>
      </c>
      <c r="G570">
        <v>-108.43</v>
      </c>
      <c r="H570">
        <v>108.43</v>
      </c>
      <c r="I570">
        <v>-108.43</v>
      </c>
      <c r="J570">
        <v>108.43</v>
      </c>
      <c r="K570">
        <v>25566.639999999999</v>
      </c>
    </row>
    <row r="571" spans="1:11" x14ac:dyDescent="0.25">
      <c r="A571">
        <v>2024</v>
      </c>
      <c r="B571">
        <v>11</v>
      </c>
      <c r="C571" s="1">
        <v>45625</v>
      </c>
      <c r="D571" t="s">
        <v>762</v>
      </c>
      <c r="E571" t="s">
        <v>902</v>
      </c>
      <c r="G571">
        <v>-107.4</v>
      </c>
      <c r="H571">
        <v>107.4</v>
      </c>
      <c r="I571">
        <v>-107.4</v>
      </c>
      <c r="J571">
        <v>107.4</v>
      </c>
      <c r="K571">
        <v>19591.580000000002</v>
      </c>
    </row>
    <row r="572" spans="1:11" x14ac:dyDescent="0.25">
      <c r="A572">
        <v>2024</v>
      </c>
      <c r="B572">
        <v>11</v>
      </c>
      <c r="C572" s="1">
        <v>45621</v>
      </c>
      <c r="D572" t="s">
        <v>757</v>
      </c>
      <c r="E572" t="s">
        <v>902</v>
      </c>
      <c r="G572">
        <v>-106.93</v>
      </c>
      <c r="H572">
        <v>106.93</v>
      </c>
      <c r="I572">
        <v>-106.93</v>
      </c>
      <c r="J572">
        <v>106.93</v>
      </c>
      <c r="K572">
        <v>11964.5</v>
      </c>
    </row>
    <row r="573" spans="1:11" x14ac:dyDescent="0.25">
      <c r="A573">
        <v>2024</v>
      </c>
      <c r="B573">
        <v>9</v>
      </c>
      <c r="C573" s="1">
        <v>45551</v>
      </c>
      <c r="D573" t="s">
        <v>589</v>
      </c>
      <c r="E573" t="s">
        <v>902</v>
      </c>
      <c r="G573">
        <v>-106.24</v>
      </c>
      <c r="H573">
        <v>106.24</v>
      </c>
      <c r="I573">
        <v>-106.24</v>
      </c>
      <c r="J573">
        <v>106.24</v>
      </c>
      <c r="K573">
        <v>87403.46</v>
      </c>
    </row>
    <row r="574" spans="1:11" x14ac:dyDescent="0.25">
      <c r="A574">
        <v>2024</v>
      </c>
      <c r="B574">
        <v>11</v>
      </c>
      <c r="C574" s="1">
        <v>45618</v>
      </c>
      <c r="D574" t="s">
        <v>752</v>
      </c>
      <c r="E574" t="s">
        <v>902</v>
      </c>
      <c r="G574">
        <v>-106.24</v>
      </c>
      <c r="H574">
        <v>106.24</v>
      </c>
      <c r="I574">
        <v>-106.24</v>
      </c>
      <c r="J574">
        <v>106.24</v>
      </c>
      <c r="K574">
        <v>5108.99</v>
      </c>
    </row>
    <row r="575" spans="1:11" x14ac:dyDescent="0.25">
      <c r="A575">
        <v>2024</v>
      </c>
      <c r="B575">
        <v>9</v>
      </c>
      <c r="C575" s="1">
        <v>45544</v>
      </c>
      <c r="D575" t="s">
        <v>578</v>
      </c>
      <c r="E575" t="s">
        <v>902</v>
      </c>
      <c r="G575">
        <v>-42.05</v>
      </c>
      <c r="H575">
        <v>42.05</v>
      </c>
      <c r="I575">
        <v>-42.05</v>
      </c>
      <c r="J575">
        <v>42.05</v>
      </c>
      <c r="K575">
        <v>67885.19</v>
      </c>
    </row>
    <row r="576" spans="1:11" x14ac:dyDescent="0.25">
      <c r="A576">
        <v>2024</v>
      </c>
      <c r="B576">
        <v>8</v>
      </c>
      <c r="C576" s="1">
        <v>45512</v>
      </c>
      <c r="D576" t="s">
        <v>499</v>
      </c>
      <c r="E576" t="s">
        <v>902</v>
      </c>
      <c r="G576">
        <v>-42.05</v>
      </c>
      <c r="H576">
        <v>42.05</v>
      </c>
      <c r="I576">
        <v>-42.05</v>
      </c>
      <c r="J576">
        <v>42.05</v>
      </c>
      <c r="K576">
        <v>41246.01</v>
      </c>
    </row>
    <row r="577" spans="1:11" x14ac:dyDescent="0.25">
      <c r="A577">
        <v>2024</v>
      </c>
      <c r="B577">
        <v>9</v>
      </c>
      <c r="C577" s="1">
        <v>45538</v>
      </c>
      <c r="D577" t="s">
        <v>557</v>
      </c>
      <c r="E577" t="s">
        <v>902</v>
      </c>
      <c r="G577">
        <v>-105.29</v>
      </c>
      <c r="H577">
        <v>105.29</v>
      </c>
      <c r="I577">
        <v>-105.29</v>
      </c>
      <c r="J577">
        <v>105.29</v>
      </c>
      <c r="K577">
        <v>71152.350000000006</v>
      </c>
    </row>
    <row r="578" spans="1:11" x14ac:dyDescent="0.25">
      <c r="A578">
        <v>2024</v>
      </c>
      <c r="B578">
        <v>10</v>
      </c>
      <c r="C578" s="1">
        <v>45596</v>
      </c>
      <c r="D578" t="s">
        <v>704</v>
      </c>
      <c r="E578" t="s">
        <v>902</v>
      </c>
      <c r="G578">
        <v>-105.19</v>
      </c>
      <c r="H578">
        <v>105.19</v>
      </c>
      <c r="I578">
        <v>-105.19</v>
      </c>
      <c r="J578">
        <v>105.19</v>
      </c>
      <c r="K578">
        <v>75560.899999999994</v>
      </c>
    </row>
    <row r="579" spans="1:11" x14ac:dyDescent="0.25">
      <c r="A579">
        <v>2024</v>
      </c>
      <c r="B579">
        <v>3</v>
      </c>
      <c r="C579" s="1">
        <v>45364</v>
      </c>
      <c r="D579" t="s">
        <v>229</v>
      </c>
      <c r="E579" t="s">
        <v>902</v>
      </c>
      <c r="G579">
        <v>-103.7</v>
      </c>
      <c r="H579">
        <v>103.7</v>
      </c>
      <c r="I579">
        <v>-103.7</v>
      </c>
      <c r="J579">
        <v>103.7</v>
      </c>
      <c r="K579">
        <v>26432.959999999999</v>
      </c>
    </row>
    <row r="580" spans="1:11" x14ac:dyDescent="0.25">
      <c r="A580">
        <v>2024</v>
      </c>
      <c r="B580">
        <v>9</v>
      </c>
      <c r="C580" s="1">
        <v>45540</v>
      </c>
      <c r="D580" t="s">
        <v>565</v>
      </c>
      <c r="E580" t="s">
        <v>902</v>
      </c>
      <c r="G580">
        <v>-100</v>
      </c>
      <c r="H580">
        <v>100</v>
      </c>
      <c r="I580">
        <v>-100</v>
      </c>
      <c r="J580">
        <v>100</v>
      </c>
      <c r="K580">
        <v>80179.11</v>
      </c>
    </row>
    <row r="581" spans="1:11" x14ac:dyDescent="0.25">
      <c r="A581">
        <v>2024</v>
      </c>
      <c r="B581">
        <v>10</v>
      </c>
      <c r="C581" s="1">
        <v>45580</v>
      </c>
      <c r="D581" t="s">
        <v>669</v>
      </c>
      <c r="E581" t="s">
        <v>902</v>
      </c>
      <c r="G581">
        <v>-100</v>
      </c>
      <c r="H581">
        <v>100</v>
      </c>
      <c r="I581">
        <v>-100</v>
      </c>
      <c r="J581">
        <v>100</v>
      </c>
      <c r="K581">
        <v>99892.52</v>
      </c>
    </row>
    <row r="582" spans="1:11" x14ac:dyDescent="0.25">
      <c r="A582">
        <v>2024</v>
      </c>
      <c r="B582">
        <v>10</v>
      </c>
      <c r="C582" s="1">
        <v>45580</v>
      </c>
      <c r="D582" t="s">
        <v>672</v>
      </c>
      <c r="E582" t="s">
        <v>902</v>
      </c>
      <c r="G582">
        <v>-100</v>
      </c>
      <c r="H582">
        <v>100</v>
      </c>
      <c r="I582">
        <v>-100</v>
      </c>
      <c r="J582">
        <v>100</v>
      </c>
      <c r="K582">
        <v>98248.76</v>
      </c>
    </row>
    <row r="583" spans="1:11" x14ac:dyDescent="0.25">
      <c r="A583">
        <v>2024</v>
      </c>
      <c r="B583">
        <v>10</v>
      </c>
      <c r="C583" s="1">
        <v>45593</v>
      </c>
      <c r="D583" t="s">
        <v>694</v>
      </c>
      <c r="E583" t="s">
        <v>902</v>
      </c>
      <c r="G583">
        <v>-42.36</v>
      </c>
      <c r="H583">
        <v>42.36</v>
      </c>
      <c r="I583">
        <v>-42.36</v>
      </c>
      <c r="J583">
        <v>42.36</v>
      </c>
      <c r="K583">
        <v>74706.759999999995</v>
      </c>
    </row>
    <row r="584" spans="1:11" x14ac:dyDescent="0.25">
      <c r="A584">
        <v>2024</v>
      </c>
      <c r="B584">
        <v>10</v>
      </c>
      <c r="C584" s="1">
        <v>45596</v>
      </c>
      <c r="D584" t="s">
        <v>702</v>
      </c>
      <c r="E584" t="s">
        <v>902</v>
      </c>
      <c r="G584">
        <v>-42.49</v>
      </c>
      <c r="H584">
        <v>42.49</v>
      </c>
      <c r="I584">
        <v>-42.49</v>
      </c>
      <c r="J584">
        <v>42.49</v>
      </c>
      <c r="K584">
        <v>76355.520000000004</v>
      </c>
    </row>
    <row r="585" spans="1:11" x14ac:dyDescent="0.25">
      <c r="A585">
        <v>2024</v>
      </c>
      <c r="B585">
        <v>11</v>
      </c>
      <c r="C585" s="1">
        <v>45609</v>
      </c>
      <c r="D585" t="s">
        <v>736</v>
      </c>
      <c r="E585" t="s">
        <v>902</v>
      </c>
      <c r="G585">
        <v>-42.5</v>
      </c>
      <c r="H585">
        <v>42.5</v>
      </c>
      <c r="I585">
        <v>-42.5</v>
      </c>
      <c r="J585">
        <v>42.5</v>
      </c>
      <c r="K585">
        <v>24039.31</v>
      </c>
    </row>
    <row r="586" spans="1:11" x14ac:dyDescent="0.25">
      <c r="A586">
        <v>2024</v>
      </c>
      <c r="B586">
        <v>6</v>
      </c>
      <c r="C586" s="1">
        <v>45457</v>
      </c>
      <c r="D586" t="s">
        <v>384</v>
      </c>
      <c r="E586" t="s">
        <v>902</v>
      </c>
      <c r="G586">
        <v>-98.99</v>
      </c>
      <c r="H586">
        <v>98.99</v>
      </c>
      <c r="I586">
        <v>-98.99</v>
      </c>
      <c r="J586">
        <v>98.99</v>
      </c>
      <c r="K586">
        <v>19855.55</v>
      </c>
    </row>
    <row r="587" spans="1:11" x14ac:dyDescent="0.25">
      <c r="A587">
        <v>2024</v>
      </c>
      <c r="B587">
        <v>6</v>
      </c>
      <c r="C587" s="1">
        <v>45446</v>
      </c>
      <c r="D587" t="s">
        <v>362</v>
      </c>
      <c r="E587" t="s">
        <v>902</v>
      </c>
      <c r="G587">
        <v>-98.32</v>
      </c>
      <c r="H587">
        <v>98.32</v>
      </c>
      <c r="I587">
        <v>-98.32</v>
      </c>
      <c r="J587">
        <v>98.32</v>
      </c>
      <c r="K587">
        <v>10917.93</v>
      </c>
    </row>
    <row r="588" spans="1:11" x14ac:dyDescent="0.25">
      <c r="A588">
        <v>2024</v>
      </c>
      <c r="B588">
        <v>6</v>
      </c>
      <c r="C588" s="1">
        <v>45460</v>
      </c>
      <c r="D588" t="s">
        <v>387</v>
      </c>
      <c r="E588" t="s">
        <v>902</v>
      </c>
      <c r="G588">
        <v>-98.09</v>
      </c>
      <c r="H588">
        <v>98.09</v>
      </c>
      <c r="I588">
        <v>-98.09</v>
      </c>
      <c r="J588">
        <v>98.09</v>
      </c>
      <c r="K588">
        <v>34899.46</v>
      </c>
    </row>
    <row r="589" spans="1:11" x14ac:dyDescent="0.25">
      <c r="A589">
        <v>2024</v>
      </c>
      <c r="B589">
        <v>5</v>
      </c>
      <c r="C589" s="1">
        <v>45443</v>
      </c>
      <c r="D589" t="s">
        <v>361</v>
      </c>
      <c r="E589" t="s">
        <v>902</v>
      </c>
      <c r="G589">
        <v>-95.67</v>
      </c>
      <c r="H589">
        <v>95.67</v>
      </c>
      <c r="I589">
        <v>-95.67</v>
      </c>
      <c r="J589">
        <v>95.67</v>
      </c>
      <c r="K589">
        <v>11016.25</v>
      </c>
    </row>
    <row r="590" spans="1:11" x14ac:dyDescent="0.25">
      <c r="A590">
        <v>2024</v>
      </c>
      <c r="B590">
        <v>10</v>
      </c>
      <c r="C590" s="1">
        <v>45568</v>
      </c>
      <c r="D590" t="s">
        <v>643</v>
      </c>
      <c r="E590" t="s">
        <v>902</v>
      </c>
      <c r="G590">
        <v>-95.42</v>
      </c>
      <c r="H590">
        <v>95.42</v>
      </c>
      <c r="I590">
        <v>-95.42</v>
      </c>
      <c r="J590">
        <v>95.42</v>
      </c>
      <c r="K590">
        <v>88215.82</v>
      </c>
    </row>
    <row r="591" spans="1:11" x14ac:dyDescent="0.25">
      <c r="A591">
        <v>2024</v>
      </c>
      <c r="B591">
        <v>8</v>
      </c>
      <c r="C591" s="1">
        <v>45517</v>
      </c>
      <c r="D591" t="s">
        <v>509</v>
      </c>
      <c r="E591" t="s">
        <v>902</v>
      </c>
      <c r="G591">
        <v>-94.92</v>
      </c>
      <c r="H591">
        <v>94.92</v>
      </c>
      <c r="I591">
        <v>-94.92</v>
      </c>
      <c r="J591">
        <v>94.92</v>
      </c>
      <c r="K591">
        <v>41449.42</v>
      </c>
    </row>
    <row r="592" spans="1:11" x14ac:dyDescent="0.25">
      <c r="A592">
        <v>2024</v>
      </c>
      <c r="B592">
        <v>5</v>
      </c>
      <c r="C592" s="1">
        <v>45429</v>
      </c>
      <c r="D592" t="s">
        <v>341</v>
      </c>
      <c r="E592" t="s">
        <v>902</v>
      </c>
      <c r="G592">
        <v>-93.94</v>
      </c>
      <c r="H592">
        <v>93.94</v>
      </c>
      <c r="I592">
        <v>-93.94</v>
      </c>
      <c r="J592">
        <v>93.94</v>
      </c>
      <c r="K592">
        <v>8039.5</v>
      </c>
    </row>
    <row r="593" spans="1:11" x14ac:dyDescent="0.25">
      <c r="A593">
        <v>2024</v>
      </c>
      <c r="B593">
        <v>1</v>
      </c>
      <c r="C593" s="1">
        <v>45320</v>
      </c>
      <c r="D593" t="s">
        <v>161</v>
      </c>
      <c r="E593" t="s">
        <v>902</v>
      </c>
      <c r="G593">
        <v>-93.46</v>
      </c>
      <c r="H593">
        <v>93.46</v>
      </c>
      <c r="I593">
        <v>-93.46</v>
      </c>
      <c r="J593">
        <v>93.46</v>
      </c>
      <c r="K593">
        <v>26483.96</v>
      </c>
    </row>
    <row r="594" spans="1:11" x14ac:dyDescent="0.25">
      <c r="A594">
        <v>2024</v>
      </c>
      <c r="B594">
        <v>7</v>
      </c>
      <c r="C594" s="1">
        <v>45499</v>
      </c>
      <c r="D594" t="s">
        <v>467</v>
      </c>
      <c r="E594" t="s">
        <v>902</v>
      </c>
      <c r="G594">
        <v>-92.54</v>
      </c>
      <c r="H594">
        <v>92.54</v>
      </c>
      <c r="I594">
        <v>-92.54</v>
      </c>
      <c r="J594">
        <v>92.54</v>
      </c>
      <c r="K594">
        <v>19364.05</v>
      </c>
    </row>
    <row r="595" spans="1:11" x14ac:dyDescent="0.25">
      <c r="A595">
        <v>2024</v>
      </c>
      <c r="B595">
        <v>9</v>
      </c>
      <c r="C595" s="1">
        <v>45555</v>
      </c>
      <c r="D595" t="s">
        <v>606</v>
      </c>
      <c r="E595" t="s">
        <v>902</v>
      </c>
      <c r="G595">
        <v>-91.57</v>
      </c>
      <c r="H595">
        <v>91.57</v>
      </c>
      <c r="I595">
        <v>-91.57</v>
      </c>
      <c r="J595">
        <v>91.57</v>
      </c>
      <c r="K595">
        <v>56512.22</v>
      </c>
    </row>
    <row r="596" spans="1:11" x14ac:dyDescent="0.25">
      <c r="A596">
        <v>2024</v>
      </c>
      <c r="B596">
        <v>6</v>
      </c>
      <c r="C596" s="1">
        <v>45471</v>
      </c>
      <c r="D596" t="s">
        <v>412</v>
      </c>
      <c r="E596" t="s">
        <v>902</v>
      </c>
      <c r="G596">
        <v>-91.46</v>
      </c>
      <c r="H596">
        <v>91.46</v>
      </c>
      <c r="I596">
        <v>-91.46</v>
      </c>
      <c r="J596">
        <v>91.46</v>
      </c>
      <c r="K596">
        <v>63264.79</v>
      </c>
    </row>
    <row r="597" spans="1:11" x14ac:dyDescent="0.25">
      <c r="A597">
        <v>2024</v>
      </c>
      <c r="B597">
        <v>9</v>
      </c>
      <c r="C597" s="1">
        <v>45565</v>
      </c>
      <c r="D597" t="s">
        <v>628</v>
      </c>
      <c r="E597" t="s">
        <v>902</v>
      </c>
      <c r="G597">
        <v>-91.44</v>
      </c>
      <c r="H597">
        <v>91.44</v>
      </c>
      <c r="I597">
        <v>-91.44</v>
      </c>
      <c r="J597">
        <v>91.44</v>
      </c>
      <c r="K597">
        <v>94136.95</v>
      </c>
    </row>
    <row r="598" spans="1:11" x14ac:dyDescent="0.25">
      <c r="A598">
        <v>2024</v>
      </c>
      <c r="B598">
        <v>6</v>
      </c>
      <c r="C598" s="1">
        <v>45453</v>
      </c>
      <c r="D598" t="s">
        <v>376</v>
      </c>
      <c r="E598" t="s">
        <v>902</v>
      </c>
      <c r="G598">
        <v>-44.17</v>
      </c>
      <c r="H598">
        <v>44.17</v>
      </c>
      <c r="I598">
        <v>-44.17</v>
      </c>
      <c r="J598">
        <v>44.17</v>
      </c>
      <c r="K598">
        <v>39665.81</v>
      </c>
    </row>
    <row r="599" spans="1:11" x14ac:dyDescent="0.25">
      <c r="A599">
        <v>2024</v>
      </c>
      <c r="B599">
        <v>3</v>
      </c>
      <c r="C599" s="1">
        <v>45373</v>
      </c>
      <c r="D599" t="s">
        <v>240</v>
      </c>
      <c r="E599" t="s">
        <v>902</v>
      </c>
      <c r="G599">
        <v>-87.82</v>
      </c>
      <c r="H599">
        <v>87.82</v>
      </c>
      <c r="I599">
        <v>-87.82</v>
      </c>
      <c r="J599">
        <v>87.82</v>
      </c>
      <c r="K599">
        <v>4781.0200000000004</v>
      </c>
    </row>
    <row r="600" spans="1:11" x14ac:dyDescent="0.25">
      <c r="A600">
        <v>2024</v>
      </c>
      <c r="B600">
        <v>3</v>
      </c>
      <c r="C600" s="1">
        <v>45379</v>
      </c>
      <c r="D600" t="s">
        <v>251</v>
      </c>
      <c r="E600" t="s">
        <v>902</v>
      </c>
      <c r="G600">
        <v>-86.92</v>
      </c>
      <c r="H600">
        <v>86.92</v>
      </c>
      <c r="I600">
        <v>-86.92</v>
      </c>
      <c r="J600">
        <v>86.92</v>
      </c>
      <c r="K600">
        <v>22479.86</v>
      </c>
    </row>
    <row r="601" spans="1:11" x14ac:dyDescent="0.25">
      <c r="A601">
        <v>2024</v>
      </c>
      <c r="B601">
        <v>11</v>
      </c>
      <c r="C601" s="1">
        <v>45615</v>
      </c>
      <c r="D601" t="s">
        <v>750</v>
      </c>
      <c r="E601" t="s">
        <v>902</v>
      </c>
      <c r="G601">
        <v>-44.58</v>
      </c>
      <c r="H601">
        <v>44.58</v>
      </c>
      <c r="I601">
        <v>-44.58</v>
      </c>
      <c r="J601">
        <v>44.58</v>
      </c>
      <c r="K601">
        <v>4571.09</v>
      </c>
    </row>
    <row r="602" spans="1:11" x14ac:dyDescent="0.25">
      <c r="A602">
        <v>2024</v>
      </c>
      <c r="B602">
        <v>4</v>
      </c>
      <c r="C602" s="1">
        <v>45390</v>
      </c>
      <c r="D602" t="s">
        <v>274</v>
      </c>
      <c r="E602" t="s">
        <v>902</v>
      </c>
      <c r="G602">
        <v>-85.08</v>
      </c>
      <c r="H602">
        <v>85.08</v>
      </c>
      <c r="I602">
        <v>-85.08</v>
      </c>
      <c r="J602">
        <v>85.08</v>
      </c>
      <c r="K602">
        <v>19902.7</v>
      </c>
    </row>
    <row r="603" spans="1:11" x14ac:dyDescent="0.25">
      <c r="A603">
        <v>2024</v>
      </c>
      <c r="B603">
        <v>11</v>
      </c>
      <c r="C603" s="1">
        <v>45618</v>
      </c>
      <c r="D603" t="s">
        <v>753</v>
      </c>
      <c r="E603" t="s">
        <v>902</v>
      </c>
      <c r="G603">
        <v>-85.06</v>
      </c>
      <c r="H603">
        <v>85.06</v>
      </c>
      <c r="I603">
        <v>-85.06</v>
      </c>
      <c r="J603">
        <v>85.06</v>
      </c>
      <c r="K603">
        <v>5023.93</v>
      </c>
    </row>
    <row r="604" spans="1:11" x14ac:dyDescent="0.25">
      <c r="A604">
        <v>2024</v>
      </c>
      <c r="B604">
        <v>10</v>
      </c>
      <c r="C604" s="1">
        <v>45583</v>
      </c>
      <c r="D604" t="s">
        <v>678</v>
      </c>
      <c r="E604" t="s">
        <v>902</v>
      </c>
      <c r="G604">
        <v>-85.05</v>
      </c>
      <c r="H604">
        <v>85.05</v>
      </c>
      <c r="I604">
        <v>-85.05</v>
      </c>
      <c r="J604">
        <v>85.05</v>
      </c>
      <c r="K604">
        <v>96447.83</v>
      </c>
    </row>
    <row r="605" spans="1:11" x14ac:dyDescent="0.25">
      <c r="A605">
        <v>2024</v>
      </c>
      <c r="B605">
        <v>7</v>
      </c>
      <c r="C605" s="1">
        <v>45491</v>
      </c>
      <c r="D605" t="s">
        <v>446</v>
      </c>
      <c r="E605" t="s">
        <v>902</v>
      </c>
      <c r="G605">
        <v>-82.6</v>
      </c>
      <c r="H605">
        <v>82.6</v>
      </c>
      <c r="I605">
        <v>-82.6</v>
      </c>
      <c r="J605">
        <v>82.6</v>
      </c>
      <c r="K605">
        <v>51141.38</v>
      </c>
    </row>
    <row r="606" spans="1:11" x14ac:dyDescent="0.25">
      <c r="A606">
        <v>2024</v>
      </c>
      <c r="B606">
        <v>9</v>
      </c>
      <c r="C606" s="1">
        <v>45551</v>
      </c>
      <c r="D606" t="s">
        <v>590</v>
      </c>
      <c r="E606" t="s">
        <v>902</v>
      </c>
      <c r="G606">
        <v>-82.53</v>
      </c>
      <c r="H606">
        <v>82.53</v>
      </c>
      <c r="I606">
        <v>-82.53</v>
      </c>
      <c r="J606">
        <v>82.53</v>
      </c>
      <c r="K606">
        <v>87320.93</v>
      </c>
    </row>
    <row r="607" spans="1:11" x14ac:dyDescent="0.25">
      <c r="A607">
        <v>2024</v>
      </c>
      <c r="B607">
        <v>11</v>
      </c>
      <c r="C607" s="1">
        <v>45608</v>
      </c>
      <c r="D607" t="s">
        <v>732</v>
      </c>
      <c r="E607" t="s">
        <v>902</v>
      </c>
      <c r="G607">
        <v>-82.3</v>
      </c>
      <c r="H607">
        <v>82.3</v>
      </c>
      <c r="I607">
        <v>-82.3</v>
      </c>
      <c r="J607">
        <v>82.3</v>
      </c>
      <c r="K607">
        <v>50137.88</v>
      </c>
    </row>
    <row r="608" spans="1:11" x14ac:dyDescent="0.25">
      <c r="A608">
        <v>2024</v>
      </c>
      <c r="B608">
        <v>9</v>
      </c>
      <c r="C608" s="1">
        <v>45565</v>
      </c>
      <c r="D608" t="s">
        <v>624</v>
      </c>
      <c r="E608" t="s">
        <v>902</v>
      </c>
      <c r="G608">
        <v>-44.61</v>
      </c>
      <c r="H608">
        <v>44.61</v>
      </c>
      <c r="I608">
        <v>-44.61</v>
      </c>
      <c r="J608">
        <v>44.61</v>
      </c>
      <c r="K608">
        <v>96073.919999999998</v>
      </c>
    </row>
    <row r="609" spans="1:11" x14ac:dyDescent="0.25">
      <c r="A609">
        <v>2024</v>
      </c>
      <c r="B609">
        <v>6</v>
      </c>
      <c r="C609" s="1">
        <v>45447</v>
      </c>
      <c r="D609" t="s">
        <v>367</v>
      </c>
      <c r="E609" t="s">
        <v>902</v>
      </c>
      <c r="G609">
        <v>-81.52</v>
      </c>
      <c r="H609">
        <v>81.52</v>
      </c>
      <c r="I609">
        <v>-81.52</v>
      </c>
      <c r="J609">
        <v>81.52</v>
      </c>
      <c r="K609">
        <v>25879.26</v>
      </c>
    </row>
    <row r="610" spans="1:11" x14ac:dyDescent="0.25">
      <c r="A610">
        <v>2024</v>
      </c>
      <c r="B610">
        <v>5</v>
      </c>
      <c r="C610" s="1">
        <v>45421</v>
      </c>
      <c r="D610" t="s">
        <v>328</v>
      </c>
      <c r="E610" t="s">
        <v>902</v>
      </c>
      <c r="G610">
        <v>-80.150000000000006</v>
      </c>
      <c r="H610">
        <v>80.150000000000006</v>
      </c>
      <c r="I610">
        <v>-80.150000000000006</v>
      </c>
      <c r="J610">
        <v>80.150000000000006</v>
      </c>
      <c r="K610">
        <v>7277.47</v>
      </c>
    </row>
    <row r="611" spans="1:11" x14ac:dyDescent="0.25">
      <c r="A611">
        <v>2024</v>
      </c>
      <c r="B611">
        <v>2</v>
      </c>
      <c r="C611" s="1">
        <v>45349</v>
      </c>
      <c r="D611" t="s">
        <v>197</v>
      </c>
      <c r="E611" t="s">
        <v>902</v>
      </c>
      <c r="G611">
        <v>-80.040000000000006</v>
      </c>
      <c r="H611">
        <v>80.040000000000006</v>
      </c>
      <c r="I611">
        <v>-80.040000000000006</v>
      </c>
      <c r="J611">
        <v>80.040000000000006</v>
      </c>
      <c r="K611">
        <v>24166.15</v>
      </c>
    </row>
    <row r="612" spans="1:11" x14ac:dyDescent="0.25">
      <c r="A612">
        <v>2024</v>
      </c>
      <c r="B612">
        <v>9</v>
      </c>
      <c r="C612" s="1">
        <v>45544</v>
      </c>
      <c r="D612" t="s">
        <v>577</v>
      </c>
      <c r="E612" t="s">
        <v>902</v>
      </c>
      <c r="G612">
        <v>-79</v>
      </c>
      <c r="H612">
        <v>79</v>
      </c>
      <c r="I612">
        <v>-79</v>
      </c>
      <c r="J612">
        <v>79</v>
      </c>
      <c r="K612">
        <v>67927.240000000005</v>
      </c>
    </row>
    <row r="613" spans="1:11" x14ac:dyDescent="0.25">
      <c r="A613">
        <v>2024</v>
      </c>
      <c r="B613">
        <v>7</v>
      </c>
      <c r="C613" s="1">
        <v>45502</v>
      </c>
      <c r="D613" t="s">
        <v>472</v>
      </c>
      <c r="E613" t="s">
        <v>902</v>
      </c>
      <c r="G613">
        <v>-78.680000000000007</v>
      </c>
      <c r="H613">
        <v>78.680000000000007</v>
      </c>
      <c r="I613">
        <v>-78.680000000000007</v>
      </c>
      <c r="J613">
        <v>78.680000000000007</v>
      </c>
      <c r="K613">
        <v>30544.69</v>
      </c>
    </row>
    <row r="614" spans="1:11" x14ac:dyDescent="0.25">
      <c r="A614">
        <v>2024</v>
      </c>
      <c r="B614">
        <v>4</v>
      </c>
      <c r="C614" s="1">
        <v>45386</v>
      </c>
      <c r="D614" t="s">
        <v>267</v>
      </c>
      <c r="E614" t="s">
        <v>902</v>
      </c>
      <c r="G614">
        <v>-76.81</v>
      </c>
      <c r="H614">
        <v>76.81</v>
      </c>
      <c r="I614">
        <v>-76.81</v>
      </c>
      <c r="J614">
        <v>76.81</v>
      </c>
      <c r="K614">
        <v>34393.25</v>
      </c>
    </row>
    <row r="615" spans="1:11" x14ac:dyDescent="0.25">
      <c r="A615">
        <v>2024</v>
      </c>
      <c r="B615">
        <v>5</v>
      </c>
      <c r="C615" s="1">
        <v>45415</v>
      </c>
      <c r="D615" t="s">
        <v>318</v>
      </c>
      <c r="E615" t="s">
        <v>902</v>
      </c>
      <c r="G615">
        <v>-76.77</v>
      </c>
      <c r="H615">
        <v>76.77</v>
      </c>
      <c r="I615">
        <v>-76.77</v>
      </c>
      <c r="J615">
        <v>76.77</v>
      </c>
      <c r="K615">
        <v>4946.47</v>
      </c>
    </row>
    <row r="616" spans="1:11" x14ac:dyDescent="0.25">
      <c r="A616">
        <v>2024</v>
      </c>
      <c r="B616">
        <v>3</v>
      </c>
      <c r="C616" s="1">
        <v>45379</v>
      </c>
      <c r="D616" t="s">
        <v>248</v>
      </c>
      <c r="E616" t="s">
        <v>902</v>
      </c>
      <c r="G616">
        <v>-76.56</v>
      </c>
      <c r="H616">
        <v>76.56</v>
      </c>
      <c r="I616">
        <v>-76.56</v>
      </c>
      <c r="J616">
        <v>76.56</v>
      </c>
      <c r="K616">
        <v>22692.240000000002</v>
      </c>
    </row>
    <row r="617" spans="1:11" x14ac:dyDescent="0.25">
      <c r="A617">
        <v>2024</v>
      </c>
      <c r="B617">
        <v>3</v>
      </c>
      <c r="C617" s="1">
        <v>45370</v>
      </c>
      <c r="D617" t="s">
        <v>236</v>
      </c>
      <c r="E617" t="s">
        <v>902</v>
      </c>
      <c r="G617">
        <v>-76.040000000000006</v>
      </c>
      <c r="H617">
        <v>76.040000000000006</v>
      </c>
      <c r="I617">
        <v>-76.040000000000006</v>
      </c>
      <c r="J617">
        <v>76.040000000000006</v>
      </c>
      <c r="K617">
        <v>27707.759999999998</v>
      </c>
    </row>
    <row r="618" spans="1:11" x14ac:dyDescent="0.25">
      <c r="A618">
        <v>2024</v>
      </c>
      <c r="B618">
        <v>4</v>
      </c>
      <c r="C618" s="1">
        <v>45401</v>
      </c>
      <c r="D618" t="s">
        <v>290</v>
      </c>
      <c r="E618" t="s">
        <v>902</v>
      </c>
      <c r="G618">
        <v>-75.680000000000007</v>
      </c>
      <c r="H618">
        <v>75.680000000000007</v>
      </c>
      <c r="I618">
        <v>-75.680000000000007</v>
      </c>
      <c r="J618">
        <v>75.680000000000007</v>
      </c>
      <c r="K618">
        <v>8524.51</v>
      </c>
    </row>
    <row r="619" spans="1:11" x14ac:dyDescent="0.25">
      <c r="A619">
        <v>2024</v>
      </c>
      <c r="B619">
        <v>4</v>
      </c>
      <c r="C619" s="1">
        <v>45387</v>
      </c>
      <c r="D619" t="s">
        <v>270</v>
      </c>
      <c r="E619" t="s">
        <v>902</v>
      </c>
      <c r="G619">
        <v>-75.510000000000005</v>
      </c>
      <c r="H619">
        <v>75.510000000000005</v>
      </c>
      <c r="I619">
        <v>-75.510000000000005</v>
      </c>
      <c r="J619">
        <v>75.510000000000005</v>
      </c>
      <c r="K619">
        <v>12084.34</v>
      </c>
    </row>
    <row r="620" spans="1:11" x14ac:dyDescent="0.25">
      <c r="A620">
        <v>2024</v>
      </c>
      <c r="B620">
        <v>10</v>
      </c>
      <c r="C620" s="1">
        <v>45595</v>
      </c>
      <c r="D620" t="s">
        <v>697</v>
      </c>
      <c r="E620" t="s">
        <v>902</v>
      </c>
      <c r="G620">
        <v>-74.36</v>
      </c>
      <c r="H620">
        <v>74.36</v>
      </c>
      <c r="I620">
        <v>-74.36</v>
      </c>
      <c r="J620">
        <v>74.36</v>
      </c>
      <c r="K620">
        <v>77521.91</v>
      </c>
    </row>
    <row r="621" spans="1:11" x14ac:dyDescent="0.25">
      <c r="A621">
        <v>2024</v>
      </c>
      <c r="B621">
        <v>10</v>
      </c>
      <c r="C621" s="1">
        <v>45574</v>
      </c>
      <c r="D621" t="s">
        <v>661</v>
      </c>
      <c r="E621" t="s">
        <v>902</v>
      </c>
      <c r="G621">
        <v>-73.64</v>
      </c>
      <c r="H621">
        <v>73.64</v>
      </c>
      <c r="I621">
        <v>-73.64</v>
      </c>
      <c r="J621">
        <v>73.64</v>
      </c>
      <c r="K621">
        <v>66696.639999999999</v>
      </c>
    </row>
    <row r="622" spans="1:11" x14ac:dyDescent="0.25">
      <c r="A622">
        <v>2024</v>
      </c>
      <c r="B622">
        <v>4</v>
      </c>
      <c r="C622" s="1">
        <v>45400</v>
      </c>
      <c r="D622" t="s">
        <v>283</v>
      </c>
      <c r="E622" t="s">
        <v>902</v>
      </c>
      <c r="G622">
        <v>-44.68</v>
      </c>
      <c r="H622">
        <v>44.68</v>
      </c>
      <c r="I622">
        <v>-44.68</v>
      </c>
      <c r="J622">
        <v>44.68</v>
      </c>
      <c r="K622">
        <v>27128.080000000002</v>
      </c>
    </row>
    <row r="623" spans="1:11" x14ac:dyDescent="0.25">
      <c r="A623">
        <v>2024</v>
      </c>
      <c r="B623">
        <v>10</v>
      </c>
      <c r="C623" s="1">
        <v>45576</v>
      </c>
      <c r="D623" t="s">
        <v>664</v>
      </c>
      <c r="E623" t="s">
        <v>902</v>
      </c>
      <c r="G623">
        <v>-47.35</v>
      </c>
      <c r="H623">
        <v>47.35</v>
      </c>
      <c r="I623">
        <v>-47.35</v>
      </c>
      <c r="J623">
        <v>47.35</v>
      </c>
      <c r="K623">
        <v>67919.710000000006</v>
      </c>
    </row>
    <row r="624" spans="1:11" x14ac:dyDescent="0.25">
      <c r="A624">
        <v>2024</v>
      </c>
      <c r="B624">
        <v>1</v>
      </c>
      <c r="C624" s="1">
        <v>45307</v>
      </c>
      <c r="D624" t="s">
        <v>143</v>
      </c>
      <c r="E624" t="s">
        <v>902</v>
      </c>
      <c r="G624">
        <v>-70.319999999999993</v>
      </c>
      <c r="H624">
        <v>70.319999999999993</v>
      </c>
      <c r="I624">
        <v>-70.319999999999993</v>
      </c>
      <c r="J624">
        <v>70.319999999999993</v>
      </c>
      <c r="K624">
        <v>20310.560000000001</v>
      </c>
    </row>
    <row r="625" spans="1:11" x14ac:dyDescent="0.25">
      <c r="A625">
        <v>2024</v>
      </c>
      <c r="B625">
        <v>4</v>
      </c>
      <c r="C625" s="1">
        <v>45384</v>
      </c>
      <c r="D625" t="s">
        <v>263</v>
      </c>
      <c r="E625" t="s">
        <v>902</v>
      </c>
      <c r="G625">
        <v>-68.05</v>
      </c>
      <c r="H625">
        <v>68.05</v>
      </c>
      <c r="I625">
        <v>-68.05</v>
      </c>
      <c r="J625">
        <v>68.05</v>
      </c>
      <c r="K625">
        <v>34806.81</v>
      </c>
    </row>
    <row r="626" spans="1:11" x14ac:dyDescent="0.25">
      <c r="A626">
        <v>2024</v>
      </c>
      <c r="B626">
        <v>6</v>
      </c>
      <c r="C626" s="1">
        <v>45463</v>
      </c>
      <c r="D626" t="s">
        <v>394</v>
      </c>
      <c r="E626" t="s">
        <v>902</v>
      </c>
      <c r="G626">
        <v>-67.86</v>
      </c>
      <c r="H626">
        <v>67.86</v>
      </c>
      <c r="I626">
        <v>-67.86</v>
      </c>
      <c r="J626">
        <v>67.86</v>
      </c>
      <c r="K626">
        <v>55825.599999999999</v>
      </c>
    </row>
    <row r="627" spans="1:11" x14ac:dyDescent="0.25">
      <c r="A627">
        <v>2024</v>
      </c>
      <c r="B627">
        <v>9</v>
      </c>
      <c r="C627" s="1">
        <v>45544</v>
      </c>
      <c r="D627" t="s">
        <v>579</v>
      </c>
      <c r="E627" t="s">
        <v>902</v>
      </c>
      <c r="G627">
        <v>-48.39</v>
      </c>
      <c r="H627">
        <v>48.39</v>
      </c>
      <c r="I627">
        <v>-48.39</v>
      </c>
      <c r="J627">
        <v>48.39</v>
      </c>
      <c r="K627">
        <v>67836.800000000003</v>
      </c>
    </row>
    <row r="628" spans="1:11" x14ac:dyDescent="0.25">
      <c r="A628">
        <v>2024</v>
      </c>
      <c r="B628">
        <v>11</v>
      </c>
      <c r="C628" s="1">
        <v>45601</v>
      </c>
      <c r="D628" t="s">
        <v>724</v>
      </c>
      <c r="E628" t="s">
        <v>902</v>
      </c>
      <c r="G628">
        <v>-66.930000000000007</v>
      </c>
      <c r="H628">
        <v>66.930000000000007</v>
      </c>
      <c r="I628">
        <v>-66.930000000000007</v>
      </c>
      <c r="J628">
        <v>66.930000000000007</v>
      </c>
      <c r="K628">
        <v>40673.33</v>
      </c>
    </row>
    <row r="629" spans="1:11" x14ac:dyDescent="0.25">
      <c r="A629">
        <v>2024</v>
      </c>
      <c r="B629">
        <v>9</v>
      </c>
      <c r="C629" s="1">
        <v>45538</v>
      </c>
      <c r="D629" t="s">
        <v>554</v>
      </c>
      <c r="E629" t="s">
        <v>902</v>
      </c>
      <c r="G629">
        <v>-49.71</v>
      </c>
      <c r="H629">
        <v>49.71</v>
      </c>
      <c r="I629">
        <v>-49.71</v>
      </c>
      <c r="J629">
        <v>49.71</v>
      </c>
      <c r="K629">
        <v>76332.77</v>
      </c>
    </row>
    <row r="630" spans="1:11" x14ac:dyDescent="0.25">
      <c r="A630">
        <v>2024</v>
      </c>
      <c r="B630">
        <v>5</v>
      </c>
      <c r="C630" s="1">
        <v>45435</v>
      </c>
      <c r="D630" t="s">
        <v>345</v>
      </c>
      <c r="E630" t="s">
        <v>902</v>
      </c>
      <c r="G630">
        <v>-64.52</v>
      </c>
      <c r="H630">
        <v>64.52</v>
      </c>
      <c r="I630">
        <v>-64.52</v>
      </c>
      <c r="J630">
        <v>64.52</v>
      </c>
      <c r="K630">
        <v>18506.61</v>
      </c>
    </row>
    <row r="631" spans="1:11" x14ac:dyDescent="0.25">
      <c r="A631">
        <v>2024</v>
      </c>
      <c r="B631">
        <v>10</v>
      </c>
      <c r="C631" s="1">
        <v>45586</v>
      </c>
      <c r="D631" t="s">
        <v>685</v>
      </c>
      <c r="E631" t="s">
        <v>902</v>
      </c>
      <c r="G631">
        <v>-63.22</v>
      </c>
      <c r="H631">
        <v>63.22</v>
      </c>
      <c r="I631">
        <v>-63.22</v>
      </c>
      <c r="J631">
        <v>63.22</v>
      </c>
      <c r="K631">
        <v>72485.039999999994</v>
      </c>
    </row>
    <row r="632" spans="1:11" x14ac:dyDescent="0.25">
      <c r="A632">
        <v>2024</v>
      </c>
      <c r="B632">
        <v>8</v>
      </c>
      <c r="C632" s="1">
        <v>45506</v>
      </c>
      <c r="D632" t="s">
        <v>486</v>
      </c>
      <c r="E632" t="s">
        <v>902</v>
      </c>
      <c r="G632">
        <v>-61.23</v>
      </c>
      <c r="H632">
        <v>61.23</v>
      </c>
      <c r="I632">
        <v>-61.23</v>
      </c>
      <c r="J632">
        <v>61.23</v>
      </c>
      <c r="K632">
        <v>45686.15</v>
      </c>
    </row>
    <row r="633" spans="1:11" x14ac:dyDescent="0.25">
      <c r="A633">
        <v>2024</v>
      </c>
      <c r="B633">
        <v>9</v>
      </c>
      <c r="C633" s="1">
        <v>45538</v>
      </c>
      <c r="D633" t="s">
        <v>550</v>
      </c>
      <c r="E633" t="s">
        <v>902</v>
      </c>
      <c r="G633">
        <v>-49.99</v>
      </c>
      <c r="H633">
        <v>49.99</v>
      </c>
      <c r="I633">
        <v>-49.99</v>
      </c>
      <c r="J633">
        <v>49.99</v>
      </c>
      <c r="K633">
        <v>76733.48</v>
      </c>
    </row>
    <row r="634" spans="1:11" x14ac:dyDescent="0.25">
      <c r="A634">
        <v>2024</v>
      </c>
      <c r="B634">
        <v>12</v>
      </c>
      <c r="C634" s="1">
        <v>45650</v>
      </c>
      <c r="D634" t="s">
        <v>110</v>
      </c>
      <c r="E634" t="s">
        <v>902</v>
      </c>
      <c r="G634">
        <v>-50</v>
      </c>
      <c r="H634">
        <v>50</v>
      </c>
      <c r="I634">
        <v>-50</v>
      </c>
      <c r="J634">
        <v>50</v>
      </c>
      <c r="K634">
        <v>63555.11</v>
      </c>
    </row>
    <row r="635" spans="1:11" x14ac:dyDescent="0.25">
      <c r="A635">
        <v>2024</v>
      </c>
      <c r="B635">
        <v>12</v>
      </c>
      <c r="C635" s="1">
        <v>45636</v>
      </c>
      <c r="D635" t="s">
        <v>110</v>
      </c>
      <c r="E635" t="s">
        <v>902</v>
      </c>
      <c r="G635">
        <v>-50</v>
      </c>
      <c r="H635">
        <v>50</v>
      </c>
      <c r="I635">
        <v>-50</v>
      </c>
      <c r="J635">
        <v>50</v>
      </c>
      <c r="K635">
        <v>10874.75</v>
      </c>
    </row>
    <row r="636" spans="1:11" x14ac:dyDescent="0.25">
      <c r="A636">
        <v>2024</v>
      </c>
      <c r="B636">
        <v>7</v>
      </c>
      <c r="C636" s="1">
        <v>45495</v>
      </c>
      <c r="D636" t="s">
        <v>452</v>
      </c>
      <c r="E636" t="s">
        <v>902</v>
      </c>
      <c r="G636">
        <v>-58.78</v>
      </c>
      <c r="H636">
        <v>58.78</v>
      </c>
      <c r="I636">
        <v>-58.78</v>
      </c>
      <c r="J636">
        <v>58.78</v>
      </c>
      <c r="K636">
        <v>51783.48</v>
      </c>
    </row>
    <row r="637" spans="1:11" x14ac:dyDescent="0.25">
      <c r="A637">
        <v>2024</v>
      </c>
      <c r="B637">
        <v>9</v>
      </c>
      <c r="C637" s="1">
        <v>45553</v>
      </c>
      <c r="D637" t="s">
        <v>595</v>
      </c>
      <c r="E637" t="s">
        <v>902</v>
      </c>
      <c r="G637">
        <v>-57.1</v>
      </c>
      <c r="H637">
        <v>57.1</v>
      </c>
      <c r="I637">
        <v>-57.1</v>
      </c>
      <c r="J637">
        <v>57.1</v>
      </c>
      <c r="K637">
        <v>85473.16</v>
      </c>
    </row>
    <row r="638" spans="1:11" x14ac:dyDescent="0.25">
      <c r="A638">
        <v>2024</v>
      </c>
      <c r="B638">
        <v>1</v>
      </c>
      <c r="C638" s="1">
        <v>45299</v>
      </c>
      <c r="D638" t="s">
        <v>129</v>
      </c>
      <c r="E638" t="s">
        <v>902</v>
      </c>
      <c r="G638">
        <v>-55.86</v>
      </c>
      <c r="H638">
        <v>55.86</v>
      </c>
      <c r="I638">
        <v>-55.86</v>
      </c>
      <c r="J638">
        <v>55.86</v>
      </c>
      <c r="K638">
        <v>50471.42</v>
      </c>
    </row>
    <row r="639" spans="1:11" x14ac:dyDescent="0.25">
      <c r="A639">
        <v>2024</v>
      </c>
      <c r="B639">
        <v>2</v>
      </c>
      <c r="C639" s="1">
        <v>45330</v>
      </c>
      <c r="D639" t="s">
        <v>178</v>
      </c>
      <c r="E639" t="s">
        <v>902</v>
      </c>
      <c r="G639">
        <v>-55.86</v>
      </c>
      <c r="H639">
        <v>55.86</v>
      </c>
      <c r="I639">
        <v>-55.86</v>
      </c>
      <c r="J639">
        <v>55.86</v>
      </c>
      <c r="K639">
        <v>34432.17</v>
      </c>
    </row>
    <row r="640" spans="1:11" x14ac:dyDescent="0.25">
      <c r="A640">
        <v>2024</v>
      </c>
      <c r="B640">
        <v>3</v>
      </c>
      <c r="C640" s="1">
        <v>45359</v>
      </c>
      <c r="D640" t="s">
        <v>216</v>
      </c>
      <c r="E640" t="s">
        <v>902</v>
      </c>
      <c r="G640">
        <v>-55.86</v>
      </c>
      <c r="H640">
        <v>55.86</v>
      </c>
      <c r="I640">
        <v>-55.86</v>
      </c>
      <c r="J640">
        <v>55.86</v>
      </c>
      <c r="K640">
        <v>21569.75</v>
      </c>
    </row>
    <row r="641" spans="1:11" x14ac:dyDescent="0.25">
      <c r="A641">
        <v>2024</v>
      </c>
      <c r="B641">
        <v>4</v>
      </c>
      <c r="C641" s="1">
        <v>45390</v>
      </c>
      <c r="D641" t="s">
        <v>275</v>
      </c>
      <c r="E641" t="s">
        <v>902</v>
      </c>
      <c r="G641">
        <v>-55.86</v>
      </c>
      <c r="H641">
        <v>55.86</v>
      </c>
      <c r="I641">
        <v>-55.86</v>
      </c>
      <c r="J641">
        <v>55.86</v>
      </c>
      <c r="K641">
        <v>19846.84</v>
      </c>
    </row>
    <row r="642" spans="1:11" x14ac:dyDescent="0.25">
      <c r="A642">
        <v>2024</v>
      </c>
      <c r="B642">
        <v>4</v>
      </c>
      <c r="C642" s="1">
        <v>45406</v>
      </c>
      <c r="D642" t="s">
        <v>297</v>
      </c>
      <c r="E642" t="s">
        <v>902</v>
      </c>
      <c r="G642">
        <v>-55.86</v>
      </c>
      <c r="H642">
        <v>55.86</v>
      </c>
      <c r="I642">
        <v>-55.86</v>
      </c>
      <c r="J642">
        <v>55.86</v>
      </c>
      <c r="K642">
        <v>12138.05</v>
      </c>
    </row>
    <row r="643" spans="1:11" x14ac:dyDescent="0.25">
      <c r="A643">
        <v>2024</v>
      </c>
      <c r="B643">
        <v>5</v>
      </c>
      <c r="C643" s="1">
        <v>45420</v>
      </c>
      <c r="D643" t="s">
        <v>327</v>
      </c>
      <c r="E643" t="s">
        <v>902</v>
      </c>
      <c r="G643">
        <v>-55.86</v>
      </c>
      <c r="H643">
        <v>55.86</v>
      </c>
      <c r="I643">
        <v>-55.86</v>
      </c>
      <c r="J643">
        <v>55.86</v>
      </c>
      <c r="K643">
        <v>7357.62</v>
      </c>
    </row>
    <row r="644" spans="1:11" x14ac:dyDescent="0.25">
      <c r="A644">
        <v>2024</v>
      </c>
      <c r="B644">
        <v>6</v>
      </c>
      <c r="C644" s="1">
        <v>45453</v>
      </c>
      <c r="D644" t="s">
        <v>375</v>
      </c>
      <c r="E644" t="s">
        <v>902</v>
      </c>
      <c r="G644">
        <v>-55.86</v>
      </c>
      <c r="H644">
        <v>55.86</v>
      </c>
      <c r="I644">
        <v>-55.86</v>
      </c>
      <c r="J644">
        <v>55.86</v>
      </c>
      <c r="K644">
        <v>39709.980000000003</v>
      </c>
    </row>
    <row r="645" spans="1:11" x14ac:dyDescent="0.25">
      <c r="A645">
        <v>2024</v>
      </c>
      <c r="B645">
        <v>7</v>
      </c>
      <c r="C645" s="1">
        <v>45481</v>
      </c>
      <c r="D645" t="s">
        <v>430</v>
      </c>
      <c r="E645" t="s">
        <v>902</v>
      </c>
      <c r="G645">
        <v>-55.86</v>
      </c>
      <c r="H645">
        <v>55.86</v>
      </c>
      <c r="I645">
        <v>-55.86</v>
      </c>
      <c r="J645">
        <v>55.86</v>
      </c>
      <c r="K645">
        <v>82807.3</v>
      </c>
    </row>
    <row r="646" spans="1:11" x14ac:dyDescent="0.25">
      <c r="A646">
        <v>2024</v>
      </c>
      <c r="B646">
        <v>11</v>
      </c>
      <c r="C646" s="1">
        <v>45625</v>
      </c>
      <c r="D646" t="s">
        <v>110</v>
      </c>
      <c r="E646" t="s">
        <v>902</v>
      </c>
      <c r="G646">
        <v>-50</v>
      </c>
      <c r="H646">
        <v>50</v>
      </c>
      <c r="I646">
        <v>-50</v>
      </c>
      <c r="J646">
        <v>50</v>
      </c>
      <c r="K646">
        <v>1210.2</v>
      </c>
    </row>
    <row r="647" spans="1:11" x14ac:dyDescent="0.25">
      <c r="A647">
        <v>2024</v>
      </c>
      <c r="B647">
        <v>7</v>
      </c>
      <c r="C647" s="1">
        <v>45498</v>
      </c>
      <c r="D647" t="s">
        <v>460</v>
      </c>
      <c r="E647" t="s">
        <v>902</v>
      </c>
      <c r="G647">
        <v>-53.35</v>
      </c>
      <c r="H647">
        <v>53.35</v>
      </c>
      <c r="I647">
        <v>-53.35</v>
      </c>
      <c r="J647">
        <v>53.35</v>
      </c>
      <c r="K647">
        <v>44666.93</v>
      </c>
    </row>
    <row r="648" spans="1:11" x14ac:dyDescent="0.25">
      <c r="A648">
        <v>2024</v>
      </c>
      <c r="B648">
        <v>11</v>
      </c>
      <c r="C648" s="1">
        <v>45614</v>
      </c>
      <c r="D648" t="s">
        <v>747</v>
      </c>
      <c r="E648" t="s">
        <v>902</v>
      </c>
      <c r="G648">
        <v>-53.13</v>
      </c>
      <c r="H648">
        <v>53.13</v>
      </c>
      <c r="I648">
        <v>-53.13</v>
      </c>
      <c r="J648">
        <v>53.13</v>
      </c>
      <c r="K648">
        <v>6234.77</v>
      </c>
    </row>
    <row r="649" spans="1:11" x14ac:dyDescent="0.25">
      <c r="A649">
        <v>2024</v>
      </c>
      <c r="B649">
        <v>7</v>
      </c>
      <c r="C649" s="1">
        <v>45502</v>
      </c>
      <c r="D649" t="s">
        <v>474</v>
      </c>
      <c r="E649" t="s">
        <v>902</v>
      </c>
      <c r="G649">
        <v>-53.1</v>
      </c>
      <c r="H649">
        <v>53.1</v>
      </c>
      <c r="I649">
        <v>-53.1</v>
      </c>
      <c r="J649">
        <v>53.1</v>
      </c>
      <c r="K649">
        <v>30473.54</v>
      </c>
    </row>
    <row r="650" spans="1:11" x14ac:dyDescent="0.25">
      <c r="A650">
        <v>2024</v>
      </c>
      <c r="B650">
        <v>11</v>
      </c>
      <c r="C650" s="1">
        <v>45609</v>
      </c>
      <c r="D650" t="s">
        <v>110</v>
      </c>
      <c r="E650" t="s">
        <v>902</v>
      </c>
      <c r="G650">
        <v>-50</v>
      </c>
      <c r="H650">
        <v>50</v>
      </c>
      <c r="I650">
        <v>-50</v>
      </c>
      <c r="J650">
        <v>50</v>
      </c>
      <c r="K650">
        <v>23862.75</v>
      </c>
    </row>
    <row r="651" spans="1:11" x14ac:dyDescent="0.25">
      <c r="A651">
        <v>2024</v>
      </c>
      <c r="B651">
        <v>5</v>
      </c>
      <c r="C651" s="1">
        <v>45418</v>
      </c>
      <c r="D651" t="s">
        <v>325</v>
      </c>
      <c r="E651" t="s">
        <v>902</v>
      </c>
      <c r="G651">
        <v>-52.96</v>
      </c>
      <c r="H651">
        <v>52.96</v>
      </c>
      <c r="I651">
        <v>-52.96</v>
      </c>
      <c r="J651">
        <v>52.96</v>
      </c>
      <c r="K651">
        <v>7427.48</v>
      </c>
    </row>
    <row r="652" spans="1:11" x14ac:dyDescent="0.25">
      <c r="A652">
        <v>2024</v>
      </c>
      <c r="B652">
        <v>6</v>
      </c>
      <c r="C652" s="1">
        <v>45461</v>
      </c>
      <c r="D652" t="s">
        <v>391</v>
      </c>
      <c r="E652" t="s">
        <v>902</v>
      </c>
      <c r="G652">
        <v>-52.96</v>
      </c>
      <c r="H652">
        <v>52.96</v>
      </c>
      <c r="I652">
        <v>-52.96</v>
      </c>
      <c r="J652">
        <v>52.96</v>
      </c>
      <c r="K652">
        <v>32642.83</v>
      </c>
    </row>
    <row r="653" spans="1:11" x14ac:dyDescent="0.25">
      <c r="A653">
        <v>2024</v>
      </c>
      <c r="B653">
        <v>7</v>
      </c>
      <c r="C653" s="1">
        <v>45489</v>
      </c>
      <c r="D653" t="s">
        <v>445</v>
      </c>
      <c r="E653" t="s">
        <v>902</v>
      </c>
      <c r="G653">
        <v>-52.96</v>
      </c>
      <c r="H653">
        <v>52.96</v>
      </c>
      <c r="I653">
        <v>-52.96</v>
      </c>
      <c r="J653">
        <v>52.96</v>
      </c>
      <c r="K653">
        <v>51223.98</v>
      </c>
    </row>
    <row r="654" spans="1:11" x14ac:dyDescent="0.25">
      <c r="A654">
        <v>2024</v>
      </c>
      <c r="B654">
        <v>8</v>
      </c>
      <c r="C654" s="1">
        <v>45520</v>
      </c>
      <c r="D654" t="s">
        <v>513</v>
      </c>
      <c r="E654" t="s">
        <v>902</v>
      </c>
      <c r="G654">
        <v>-52.96</v>
      </c>
      <c r="H654">
        <v>52.96</v>
      </c>
      <c r="I654">
        <v>-52.96</v>
      </c>
      <c r="J654">
        <v>52.96</v>
      </c>
      <c r="K654">
        <v>58703.49</v>
      </c>
    </row>
    <row r="655" spans="1:11" x14ac:dyDescent="0.25">
      <c r="A655">
        <v>2024</v>
      </c>
      <c r="B655">
        <v>9</v>
      </c>
      <c r="C655" s="1">
        <v>45552</v>
      </c>
      <c r="D655" t="s">
        <v>593</v>
      </c>
      <c r="E655" t="s">
        <v>902</v>
      </c>
      <c r="G655">
        <v>-52.93</v>
      </c>
      <c r="H655">
        <v>52.93</v>
      </c>
      <c r="I655">
        <v>-52.93</v>
      </c>
      <c r="J655">
        <v>52.93</v>
      </c>
      <c r="K655">
        <v>85760.55</v>
      </c>
    </row>
    <row r="656" spans="1:11" x14ac:dyDescent="0.25">
      <c r="A656">
        <v>2024</v>
      </c>
      <c r="B656">
        <v>10</v>
      </c>
      <c r="C656" s="1">
        <v>45581</v>
      </c>
      <c r="D656" t="s">
        <v>676</v>
      </c>
      <c r="E656" t="s">
        <v>902</v>
      </c>
      <c r="G656">
        <v>-52.92</v>
      </c>
      <c r="H656">
        <v>52.92</v>
      </c>
      <c r="I656">
        <v>-52.92</v>
      </c>
      <c r="J656">
        <v>52.92</v>
      </c>
      <c r="K656">
        <v>96799.88</v>
      </c>
    </row>
    <row r="657" spans="1:11" x14ac:dyDescent="0.25">
      <c r="A657">
        <v>2024</v>
      </c>
      <c r="B657">
        <v>10</v>
      </c>
      <c r="C657" s="1">
        <v>45595</v>
      </c>
      <c r="D657" t="s">
        <v>110</v>
      </c>
      <c r="E657" t="s">
        <v>902</v>
      </c>
      <c r="G657">
        <v>-50</v>
      </c>
      <c r="H657">
        <v>50</v>
      </c>
      <c r="I657">
        <v>-50</v>
      </c>
      <c r="J657">
        <v>50</v>
      </c>
      <c r="K657">
        <v>71958.86</v>
      </c>
    </row>
    <row r="658" spans="1:11" x14ac:dyDescent="0.25">
      <c r="A658">
        <v>2024</v>
      </c>
      <c r="B658">
        <v>7</v>
      </c>
      <c r="C658" s="1">
        <v>45496</v>
      </c>
      <c r="D658" t="s">
        <v>456</v>
      </c>
      <c r="E658" t="s">
        <v>902</v>
      </c>
      <c r="G658">
        <v>-50.9</v>
      </c>
      <c r="H658">
        <v>50.9</v>
      </c>
      <c r="I658">
        <v>-50.9</v>
      </c>
      <c r="J658">
        <v>50.9</v>
      </c>
      <c r="K658">
        <v>49197.5</v>
      </c>
    </row>
    <row r="659" spans="1:11" x14ac:dyDescent="0.25">
      <c r="A659">
        <v>2024</v>
      </c>
      <c r="B659">
        <v>12</v>
      </c>
      <c r="C659" s="1">
        <v>45629</v>
      </c>
      <c r="D659" t="s">
        <v>773</v>
      </c>
      <c r="E659" t="s">
        <v>902</v>
      </c>
      <c r="G659">
        <v>-50.25</v>
      </c>
      <c r="H659">
        <v>50.25</v>
      </c>
      <c r="I659">
        <v>-50.25</v>
      </c>
      <c r="J659">
        <v>50.25</v>
      </c>
      <c r="K659">
        <v>3365.9</v>
      </c>
    </row>
    <row r="660" spans="1:11" x14ac:dyDescent="0.25">
      <c r="A660">
        <v>2024</v>
      </c>
      <c r="B660">
        <v>10</v>
      </c>
      <c r="C660" s="1">
        <v>45583</v>
      </c>
      <c r="D660" t="s">
        <v>110</v>
      </c>
      <c r="E660" t="s">
        <v>902</v>
      </c>
      <c r="G660">
        <v>-50</v>
      </c>
      <c r="H660">
        <v>50</v>
      </c>
      <c r="I660">
        <v>-50</v>
      </c>
      <c r="J660">
        <v>50</v>
      </c>
      <c r="K660">
        <v>63007.63</v>
      </c>
    </row>
    <row r="661" spans="1:11" x14ac:dyDescent="0.25">
      <c r="A661">
        <v>2024</v>
      </c>
      <c r="B661">
        <v>10</v>
      </c>
      <c r="C661" s="1">
        <v>45581</v>
      </c>
      <c r="D661" t="s">
        <v>110</v>
      </c>
      <c r="E661" t="s">
        <v>902</v>
      </c>
      <c r="G661">
        <v>-50</v>
      </c>
      <c r="H661">
        <v>50</v>
      </c>
      <c r="I661">
        <v>-50</v>
      </c>
      <c r="J661">
        <v>50</v>
      </c>
      <c r="K661">
        <v>96749.88</v>
      </c>
    </row>
    <row r="662" spans="1:11" x14ac:dyDescent="0.25">
      <c r="A662">
        <v>2024</v>
      </c>
      <c r="B662">
        <v>9</v>
      </c>
      <c r="C662" s="1">
        <v>45559</v>
      </c>
      <c r="D662" t="s">
        <v>110</v>
      </c>
      <c r="E662" t="s">
        <v>902</v>
      </c>
      <c r="G662">
        <v>-50</v>
      </c>
      <c r="H662">
        <v>50</v>
      </c>
      <c r="I662">
        <v>-50</v>
      </c>
      <c r="J662">
        <v>50</v>
      </c>
      <c r="K662">
        <v>66062.460000000006</v>
      </c>
    </row>
    <row r="663" spans="1:11" x14ac:dyDescent="0.25">
      <c r="A663">
        <v>2024</v>
      </c>
      <c r="B663">
        <v>9</v>
      </c>
      <c r="C663" s="1">
        <v>45539</v>
      </c>
      <c r="D663" t="s">
        <v>110</v>
      </c>
      <c r="E663" t="s">
        <v>902</v>
      </c>
      <c r="G663">
        <v>-50</v>
      </c>
      <c r="H663">
        <v>50</v>
      </c>
      <c r="I663">
        <v>-50</v>
      </c>
      <c r="J663">
        <v>50</v>
      </c>
      <c r="K663">
        <v>70127.92</v>
      </c>
    </row>
    <row r="664" spans="1:11" x14ac:dyDescent="0.25">
      <c r="A664">
        <v>2024</v>
      </c>
      <c r="B664">
        <v>8</v>
      </c>
      <c r="C664" s="1">
        <v>45523</v>
      </c>
      <c r="D664" t="s">
        <v>110</v>
      </c>
      <c r="E664" t="s">
        <v>902</v>
      </c>
      <c r="G664">
        <v>-50</v>
      </c>
      <c r="H664">
        <v>50</v>
      </c>
      <c r="I664">
        <v>-50</v>
      </c>
      <c r="J664">
        <v>50</v>
      </c>
      <c r="K664">
        <v>61849.2</v>
      </c>
    </row>
    <row r="665" spans="1:11" x14ac:dyDescent="0.25">
      <c r="A665">
        <v>2024</v>
      </c>
      <c r="B665">
        <v>8</v>
      </c>
      <c r="C665" s="1">
        <v>45510</v>
      </c>
      <c r="D665" t="s">
        <v>110</v>
      </c>
      <c r="E665" t="s">
        <v>902</v>
      </c>
      <c r="G665">
        <v>-50</v>
      </c>
      <c r="H665">
        <v>50</v>
      </c>
      <c r="I665">
        <v>-50</v>
      </c>
      <c r="J665">
        <v>50</v>
      </c>
      <c r="K665">
        <v>41632.69</v>
      </c>
    </row>
    <row r="666" spans="1:11" x14ac:dyDescent="0.25">
      <c r="A666">
        <v>2024</v>
      </c>
      <c r="B666">
        <v>7</v>
      </c>
      <c r="C666" s="1">
        <v>45496</v>
      </c>
      <c r="D666" t="s">
        <v>110</v>
      </c>
      <c r="E666" t="s">
        <v>902</v>
      </c>
      <c r="G666">
        <v>-50</v>
      </c>
      <c r="H666">
        <v>50</v>
      </c>
      <c r="I666">
        <v>-50</v>
      </c>
      <c r="J666">
        <v>50</v>
      </c>
      <c r="K666">
        <v>48980.5</v>
      </c>
    </row>
    <row r="667" spans="1:11" x14ac:dyDescent="0.25">
      <c r="A667">
        <v>2024</v>
      </c>
      <c r="B667">
        <v>7</v>
      </c>
      <c r="C667" s="1">
        <v>45482</v>
      </c>
      <c r="D667" t="s">
        <v>110</v>
      </c>
      <c r="E667" t="s">
        <v>902</v>
      </c>
      <c r="G667">
        <v>-50</v>
      </c>
      <c r="H667">
        <v>50</v>
      </c>
      <c r="I667">
        <v>-50</v>
      </c>
      <c r="J667">
        <v>50</v>
      </c>
      <c r="K667">
        <v>81393.75</v>
      </c>
    </row>
    <row r="668" spans="1:11" x14ac:dyDescent="0.25">
      <c r="A668">
        <v>2024</v>
      </c>
      <c r="B668">
        <v>1</v>
      </c>
      <c r="C668" s="1">
        <v>45300</v>
      </c>
      <c r="D668" t="s">
        <v>110</v>
      </c>
      <c r="E668" t="s">
        <v>902</v>
      </c>
      <c r="G668">
        <v>-50</v>
      </c>
      <c r="H668">
        <v>50</v>
      </c>
      <c r="I668">
        <v>-50</v>
      </c>
      <c r="J668">
        <v>50</v>
      </c>
      <c r="K668">
        <v>47090.37</v>
      </c>
    </row>
    <row r="669" spans="1:11" x14ac:dyDescent="0.25">
      <c r="A669">
        <v>2024</v>
      </c>
      <c r="B669">
        <v>1</v>
      </c>
      <c r="C669" s="1">
        <v>45314</v>
      </c>
      <c r="D669" t="s">
        <v>110</v>
      </c>
      <c r="E669" t="s">
        <v>902</v>
      </c>
      <c r="G669">
        <v>-50</v>
      </c>
      <c r="H669">
        <v>50</v>
      </c>
      <c r="I669">
        <v>-50</v>
      </c>
      <c r="J669">
        <v>50</v>
      </c>
      <c r="K669">
        <v>42928.87</v>
      </c>
    </row>
    <row r="670" spans="1:11" x14ac:dyDescent="0.25">
      <c r="A670">
        <v>2024</v>
      </c>
      <c r="B670">
        <v>2</v>
      </c>
      <c r="C670" s="1">
        <v>45327</v>
      </c>
      <c r="D670" t="s">
        <v>110</v>
      </c>
      <c r="E670" t="s">
        <v>902</v>
      </c>
      <c r="G670">
        <v>-50</v>
      </c>
      <c r="H670">
        <v>50</v>
      </c>
      <c r="I670">
        <v>-50</v>
      </c>
      <c r="J670">
        <v>50</v>
      </c>
      <c r="K670">
        <v>34767.660000000003</v>
      </c>
    </row>
    <row r="671" spans="1:11" x14ac:dyDescent="0.25">
      <c r="A671">
        <v>2024</v>
      </c>
      <c r="B671">
        <v>2</v>
      </c>
      <c r="C671" s="1">
        <v>45334</v>
      </c>
      <c r="D671" t="s">
        <v>181</v>
      </c>
      <c r="E671" t="s">
        <v>902</v>
      </c>
      <c r="G671">
        <v>-50</v>
      </c>
      <c r="H671">
        <v>50</v>
      </c>
      <c r="I671">
        <v>-50</v>
      </c>
      <c r="J671">
        <v>50</v>
      </c>
      <c r="K671">
        <v>20127.09</v>
      </c>
    </row>
    <row r="672" spans="1:11" x14ac:dyDescent="0.25">
      <c r="A672">
        <v>2024</v>
      </c>
      <c r="B672">
        <v>2</v>
      </c>
      <c r="C672" s="1">
        <v>45343</v>
      </c>
      <c r="D672" t="s">
        <v>110</v>
      </c>
      <c r="E672" t="s">
        <v>902</v>
      </c>
      <c r="G672">
        <v>-50</v>
      </c>
      <c r="H672">
        <v>50</v>
      </c>
      <c r="I672">
        <v>-50</v>
      </c>
      <c r="J672">
        <v>50</v>
      </c>
      <c r="K672">
        <v>15593.61</v>
      </c>
    </row>
    <row r="673" spans="1:11" x14ac:dyDescent="0.25">
      <c r="A673">
        <v>2024</v>
      </c>
      <c r="B673">
        <v>3</v>
      </c>
      <c r="C673" s="1">
        <v>45356</v>
      </c>
      <c r="D673" t="s">
        <v>110</v>
      </c>
      <c r="E673" t="s">
        <v>902</v>
      </c>
      <c r="G673">
        <v>-50</v>
      </c>
      <c r="H673">
        <v>50</v>
      </c>
      <c r="I673">
        <v>-50</v>
      </c>
      <c r="J673">
        <v>50</v>
      </c>
      <c r="K673">
        <v>45821.72</v>
      </c>
    </row>
    <row r="674" spans="1:11" x14ac:dyDescent="0.25">
      <c r="A674">
        <v>2024</v>
      </c>
      <c r="B674">
        <v>3</v>
      </c>
      <c r="C674" s="1">
        <v>45359</v>
      </c>
      <c r="D674" t="s">
        <v>220</v>
      </c>
      <c r="E674" t="s">
        <v>902</v>
      </c>
      <c r="G674">
        <v>-50</v>
      </c>
      <c r="H674">
        <v>50</v>
      </c>
      <c r="I674">
        <v>-50</v>
      </c>
      <c r="J674">
        <v>50</v>
      </c>
      <c r="K674">
        <v>20239.96</v>
      </c>
    </row>
    <row r="675" spans="1:11" x14ac:dyDescent="0.25">
      <c r="A675">
        <v>2024</v>
      </c>
      <c r="B675">
        <v>3</v>
      </c>
      <c r="C675" s="1">
        <v>45370</v>
      </c>
      <c r="D675" t="s">
        <v>110</v>
      </c>
      <c r="E675" t="s">
        <v>902</v>
      </c>
      <c r="G675">
        <v>-50</v>
      </c>
      <c r="H675">
        <v>50</v>
      </c>
      <c r="I675">
        <v>-50</v>
      </c>
      <c r="J675">
        <v>50</v>
      </c>
      <c r="K675">
        <v>27408.39</v>
      </c>
    </row>
    <row r="676" spans="1:11" x14ac:dyDescent="0.25">
      <c r="A676">
        <v>2024</v>
      </c>
      <c r="B676">
        <v>4</v>
      </c>
      <c r="C676" s="1">
        <v>45384</v>
      </c>
      <c r="D676" t="s">
        <v>110</v>
      </c>
      <c r="E676" t="s">
        <v>902</v>
      </c>
      <c r="G676">
        <v>-50</v>
      </c>
      <c r="H676">
        <v>50</v>
      </c>
      <c r="I676">
        <v>-50</v>
      </c>
      <c r="J676">
        <v>50</v>
      </c>
      <c r="K676">
        <v>34756.81</v>
      </c>
    </row>
    <row r="677" spans="1:11" x14ac:dyDescent="0.25">
      <c r="A677">
        <v>2024</v>
      </c>
      <c r="B677">
        <v>4</v>
      </c>
      <c r="C677" s="1">
        <v>45398</v>
      </c>
      <c r="D677" t="s">
        <v>110</v>
      </c>
      <c r="E677" t="s">
        <v>902</v>
      </c>
      <c r="G677">
        <v>-50</v>
      </c>
      <c r="H677">
        <v>50</v>
      </c>
      <c r="I677">
        <v>-50</v>
      </c>
      <c r="J677">
        <v>50</v>
      </c>
      <c r="K677">
        <v>47172.76</v>
      </c>
    </row>
    <row r="678" spans="1:11" x14ac:dyDescent="0.25">
      <c r="A678">
        <v>2024</v>
      </c>
      <c r="B678">
        <v>4</v>
      </c>
      <c r="C678" s="1">
        <v>45412</v>
      </c>
      <c r="D678" t="s">
        <v>110</v>
      </c>
      <c r="E678" t="s">
        <v>902</v>
      </c>
      <c r="G678">
        <v>-50</v>
      </c>
      <c r="H678">
        <v>50</v>
      </c>
      <c r="I678">
        <v>-50</v>
      </c>
      <c r="J678">
        <v>50</v>
      </c>
      <c r="K678">
        <v>20542.310000000001</v>
      </c>
    </row>
    <row r="679" spans="1:11" x14ac:dyDescent="0.25">
      <c r="A679">
        <v>2024</v>
      </c>
      <c r="B679">
        <v>5</v>
      </c>
      <c r="C679" s="1">
        <v>45426</v>
      </c>
      <c r="D679" t="s">
        <v>110</v>
      </c>
      <c r="E679" t="s">
        <v>902</v>
      </c>
      <c r="G679">
        <v>-50</v>
      </c>
      <c r="H679">
        <v>50</v>
      </c>
      <c r="I679">
        <v>-50</v>
      </c>
      <c r="J679">
        <v>50</v>
      </c>
      <c r="K679">
        <v>8675.07</v>
      </c>
    </row>
    <row r="680" spans="1:11" x14ac:dyDescent="0.25">
      <c r="A680">
        <v>2024</v>
      </c>
      <c r="B680">
        <v>5</v>
      </c>
      <c r="C680" s="1">
        <v>45440</v>
      </c>
      <c r="D680" t="s">
        <v>110</v>
      </c>
      <c r="E680" t="s">
        <v>902</v>
      </c>
      <c r="G680">
        <v>-50</v>
      </c>
      <c r="H680">
        <v>50</v>
      </c>
      <c r="I680">
        <v>-50</v>
      </c>
      <c r="J680">
        <v>50</v>
      </c>
      <c r="K680">
        <v>26145.54</v>
      </c>
    </row>
    <row r="681" spans="1:11" x14ac:dyDescent="0.25">
      <c r="A681">
        <v>2024</v>
      </c>
      <c r="B681">
        <v>6</v>
      </c>
      <c r="C681" s="1">
        <v>45454</v>
      </c>
      <c r="D681" t="s">
        <v>110</v>
      </c>
      <c r="E681" t="s">
        <v>902</v>
      </c>
      <c r="G681">
        <v>-50</v>
      </c>
      <c r="H681">
        <v>50</v>
      </c>
      <c r="I681">
        <v>-50</v>
      </c>
      <c r="J681">
        <v>50</v>
      </c>
      <c r="K681">
        <v>39489.379999999997</v>
      </c>
    </row>
    <row r="682" spans="1:11" x14ac:dyDescent="0.25">
      <c r="A682">
        <v>2024</v>
      </c>
      <c r="B682">
        <v>6</v>
      </c>
      <c r="C682" s="1">
        <v>45468</v>
      </c>
      <c r="D682" t="s">
        <v>110</v>
      </c>
      <c r="E682" t="s">
        <v>902</v>
      </c>
      <c r="G682">
        <v>-50</v>
      </c>
      <c r="H682">
        <v>50</v>
      </c>
      <c r="I682">
        <v>-50</v>
      </c>
      <c r="J682">
        <v>50</v>
      </c>
      <c r="K682">
        <v>74708.460000000006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P9"/>
  <sheetViews>
    <sheetView workbookViewId="0">
      <selection activeCell="C7" sqref="C7"/>
    </sheetView>
  </sheetViews>
  <sheetFormatPr defaultRowHeight="15" x14ac:dyDescent="0.25"/>
  <cols>
    <col min="1" max="1" width="13.42578125" bestFit="1" customWidth="1"/>
    <col min="2" max="2" width="16.85546875" bestFit="1" customWidth="1"/>
    <col min="3" max="3" width="11.7109375" bestFit="1" customWidth="1"/>
    <col min="4" max="4" width="10.7109375" bestFit="1" customWidth="1"/>
    <col min="5" max="5" width="7.28515625" bestFit="1" customWidth="1"/>
    <col min="6" max="6" width="13.140625" bestFit="1" customWidth="1"/>
    <col min="7" max="7" width="11.7109375" bestFit="1" customWidth="1"/>
    <col min="8" max="8" width="10.7109375" bestFit="1" customWidth="1"/>
    <col min="9" max="9" width="7.28515625" bestFit="1" customWidth="1"/>
    <col min="10" max="10" width="14.7109375" bestFit="1" customWidth="1"/>
    <col min="11" max="11" width="11" bestFit="1" customWidth="1"/>
    <col min="12" max="12" width="10" bestFit="1" customWidth="1"/>
    <col min="13" max="13" width="7.28515625" bestFit="1" customWidth="1"/>
    <col min="14" max="14" width="19.85546875" bestFit="1" customWidth="1"/>
    <col min="15" max="15" width="18.140625" bestFit="1" customWidth="1"/>
    <col min="16" max="16" width="19.7109375" bestFit="1" customWidth="1"/>
    <col min="17" max="17" width="13.140625" bestFit="1" customWidth="1"/>
    <col min="18" max="18" width="14.85546875" bestFit="1" customWidth="1"/>
    <col min="19" max="19" width="13.140625" bestFit="1" customWidth="1"/>
    <col min="20" max="20" width="14.85546875" bestFit="1" customWidth="1"/>
    <col min="21" max="21" width="13.140625" bestFit="1" customWidth="1"/>
    <col min="22" max="22" width="14.85546875" bestFit="1" customWidth="1"/>
    <col min="23" max="23" width="13.140625" bestFit="1" customWidth="1"/>
    <col min="24" max="24" width="14.85546875" bestFit="1" customWidth="1"/>
    <col min="25" max="25" width="13.140625" bestFit="1" customWidth="1"/>
    <col min="26" max="26" width="14.85546875" bestFit="1" customWidth="1"/>
    <col min="27" max="27" width="13.140625" bestFit="1" customWidth="1"/>
    <col min="28" max="28" width="14.85546875" bestFit="1" customWidth="1"/>
    <col min="29" max="29" width="13.140625" bestFit="1" customWidth="1"/>
    <col min="30" max="30" width="14.85546875" bestFit="1" customWidth="1"/>
    <col min="31" max="31" width="13.140625" bestFit="1" customWidth="1"/>
    <col min="32" max="32" width="14.85546875" bestFit="1" customWidth="1"/>
    <col min="33" max="33" width="13.140625" bestFit="1" customWidth="1"/>
    <col min="34" max="34" width="14.85546875" bestFit="1" customWidth="1"/>
    <col min="35" max="35" width="13.140625" bestFit="1" customWidth="1"/>
    <col min="36" max="36" width="14.85546875" bestFit="1" customWidth="1"/>
    <col min="37" max="37" width="13.140625" bestFit="1" customWidth="1"/>
    <col min="38" max="38" width="14.85546875" bestFit="1" customWidth="1"/>
    <col min="39" max="39" width="13.140625" bestFit="1" customWidth="1"/>
    <col min="40" max="40" width="14.85546875" bestFit="1" customWidth="1"/>
    <col min="41" max="41" width="13.140625" bestFit="1" customWidth="1"/>
    <col min="42" max="42" width="14.85546875" bestFit="1" customWidth="1"/>
    <col min="43" max="43" width="13.140625" bestFit="1" customWidth="1"/>
    <col min="44" max="44" width="14.85546875" bestFit="1" customWidth="1"/>
    <col min="45" max="45" width="13.140625" bestFit="1" customWidth="1"/>
    <col min="46" max="46" width="14.85546875" bestFit="1" customWidth="1"/>
    <col min="47" max="47" width="13.140625" bestFit="1" customWidth="1"/>
    <col min="48" max="48" width="14.85546875" bestFit="1" customWidth="1"/>
    <col min="49" max="49" width="13.140625" bestFit="1" customWidth="1"/>
    <col min="50" max="50" width="14.85546875" bestFit="1" customWidth="1"/>
    <col min="51" max="51" width="13.140625" bestFit="1" customWidth="1"/>
    <col min="52" max="52" width="14.85546875" bestFit="1" customWidth="1"/>
    <col min="53" max="53" width="13.140625" bestFit="1" customWidth="1"/>
    <col min="54" max="54" width="14.85546875" bestFit="1" customWidth="1"/>
    <col min="55" max="55" width="13.140625" bestFit="1" customWidth="1"/>
    <col min="56" max="56" width="14.85546875" bestFit="1" customWidth="1"/>
    <col min="57" max="57" width="13.140625" bestFit="1" customWidth="1"/>
    <col min="58" max="58" width="14.85546875" bestFit="1" customWidth="1"/>
    <col min="59" max="59" width="13.140625" bestFit="1" customWidth="1"/>
    <col min="60" max="60" width="14.85546875" bestFit="1" customWidth="1"/>
    <col min="61" max="61" width="13.140625" bestFit="1" customWidth="1"/>
    <col min="62" max="62" width="14.85546875" bestFit="1" customWidth="1"/>
    <col min="63" max="63" width="13.140625" bestFit="1" customWidth="1"/>
    <col min="64" max="64" width="14.85546875" bestFit="1" customWidth="1"/>
    <col min="65" max="65" width="13.140625" bestFit="1" customWidth="1"/>
    <col min="66" max="66" width="14.85546875" bestFit="1" customWidth="1"/>
    <col min="67" max="67" width="13.140625" bestFit="1" customWidth="1"/>
    <col min="68" max="68" width="14.85546875" bestFit="1" customWidth="1"/>
    <col min="69" max="69" width="13.140625" bestFit="1" customWidth="1"/>
    <col min="70" max="70" width="14.85546875" bestFit="1" customWidth="1"/>
    <col min="71" max="71" width="13.140625" bestFit="1" customWidth="1"/>
    <col min="72" max="72" width="14.85546875" bestFit="1" customWidth="1"/>
    <col min="73" max="73" width="13.140625" bestFit="1" customWidth="1"/>
    <col min="74" max="74" width="14.85546875" bestFit="1" customWidth="1"/>
    <col min="75" max="75" width="13.140625" bestFit="1" customWidth="1"/>
    <col min="76" max="76" width="14.85546875" bestFit="1" customWidth="1"/>
    <col min="77" max="77" width="13.140625" bestFit="1" customWidth="1"/>
    <col min="78" max="78" width="14.85546875" bestFit="1" customWidth="1"/>
    <col min="79" max="79" width="13.140625" bestFit="1" customWidth="1"/>
    <col min="80" max="80" width="14.85546875" bestFit="1" customWidth="1"/>
    <col min="81" max="81" width="13.140625" bestFit="1" customWidth="1"/>
    <col min="82" max="82" width="14.85546875" bestFit="1" customWidth="1"/>
    <col min="83" max="83" width="13.140625" bestFit="1" customWidth="1"/>
    <col min="84" max="84" width="14.85546875" bestFit="1" customWidth="1"/>
    <col min="85" max="85" width="13.140625" bestFit="1" customWidth="1"/>
    <col min="86" max="86" width="14.85546875" bestFit="1" customWidth="1"/>
    <col min="87" max="87" width="13.140625" bestFit="1" customWidth="1"/>
    <col min="88" max="88" width="14.85546875" bestFit="1" customWidth="1"/>
    <col min="89" max="89" width="13.140625" bestFit="1" customWidth="1"/>
    <col min="90" max="90" width="14.85546875" bestFit="1" customWidth="1"/>
    <col min="91" max="91" width="13.140625" bestFit="1" customWidth="1"/>
    <col min="92" max="92" width="14.85546875" bestFit="1" customWidth="1"/>
    <col min="93" max="93" width="13.140625" bestFit="1" customWidth="1"/>
    <col min="94" max="94" width="14.85546875" bestFit="1" customWidth="1"/>
    <col min="95" max="95" width="13.140625" bestFit="1" customWidth="1"/>
    <col min="96" max="96" width="14.85546875" bestFit="1" customWidth="1"/>
    <col min="97" max="97" width="13.140625" bestFit="1" customWidth="1"/>
    <col min="98" max="98" width="14.85546875" bestFit="1" customWidth="1"/>
    <col min="99" max="99" width="13.140625" bestFit="1" customWidth="1"/>
    <col min="100" max="100" width="14.85546875" bestFit="1" customWidth="1"/>
    <col min="101" max="101" width="13.140625" bestFit="1" customWidth="1"/>
    <col min="102" max="102" width="14.85546875" bestFit="1" customWidth="1"/>
    <col min="103" max="103" width="13.140625" bestFit="1" customWidth="1"/>
    <col min="104" max="104" width="14.85546875" bestFit="1" customWidth="1"/>
    <col min="105" max="105" width="13.140625" bestFit="1" customWidth="1"/>
    <col min="106" max="106" width="14.85546875" bestFit="1" customWidth="1"/>
    <col min="107" max="107" width="13.140625" bestFit="1" customWidth="1"/>
    <col min="108" max="108" width="14.85546875" bestFit="1" customWidth="1"/>
    <col min="109" max="109" width="13.140625" bestFit="1" customWidth="1"/>
    <col min="110" max="110" width="14.85546875" bestFit="1" customWidth="1"/>
    <col min="111" max="111" width="13.140625" bestFit="1" customWidth="1"/>
    <col min="112" max="112" width="14.85546875" bestFit="1" customWidth="1"/>
    <col min="113" max="113" width="13.140625" bestFit="1" customWidth="1"/>
    <col min="114" max="114" width="14.85546875" bestFit="1" customWidth="1"/>
    <col min="115" max="115" width="13.140625" bestFit="1" customWidth="1"/>
    <col min="116" max="116" width="14.85546875" bestFit="1" customWidth="1"/>
    <col min="117" max="117" width="13.140625" bestFit="1" customWidth="1"/>
    <col min="118" max="118" width="14.85546875" bestFit="1" customWidth="1"/>
    <col min="119" max="119" width="13.140625" bestFit="1" customWidth="1"/>
    <col min="120" max="120" width="14.85546875" bestFit="1" customWidth="1"/>
    <col min="121" max="121" width="13.140625" bestFit="1" customWidth="1"/>
    <col min="122" max="122" width="14.85546875" bestFit="1" customWidth="1"/>
    <col min="123" max="123" width="13.140625" bestFit="1" customWidth="1"/>
    <col min="124" max="124" width="14.85546875" bestFit="1" customWidth="1"/>
    <col min="125" max="125" width="13.140625" bestFit="1" customWidth="1"/>
    <col min="126" max="126" width="14.85546875" bestFit="1" customWidth="1"/>
    <col min="127" max="127" width="13.140625" bestFit="1" customWidth="1"/>
    <col min="128" max="128" width="14.85546875" bestFit="1" customWidth="1"/>
    <col min="129" max="129" width="13.140625" bestFit="1" customWidth="1"/>
    <col min="130" max="130" width="14.85546875" bestFit="1" customWidth="1"/>
    <col min="131" max="131" width="13.140625" bestFit="1" customWidth="1"/>
    <col min="132" max="132" width="14.85546875" bestFit="1" customWidth="1"/>
    <col min="133" max="133" width="13.140625" bestFit="1" customWidth="1"/>
    <col min="134" max="134" width="14.85546875" bestFit="1" customWidth="1"/>
    <col min="135" max="135" width="13.140625" bestFit="1" customWidth="1"/>
    <col min="136" max="136" width="14.85546875" bestFit="1" customWidth="1"/>
    <col min="137" max="137" width="13.140625" bestFit="1" customWidth="1"/>
    <col min="138" max="138" width="14.85546875" bestFit="1" customWidth="1"/>
    <col min="139" max="139" width="13.140625" bestFit="1" customWidth="1"/>
    <col min="140" max="140" width="14.85546875" bestFit="1" customWidth="1"/>
    <col min="141" max="141" width="13.140625" bestFit="1" customWidth="1"/>
    <col min="142" max="142" width="14.85546875" bestFit="1" customWidth="1"/>
    <col min="143" max="143" width="13.140625" bestFit="1" customWidth="1"/>
    <col min="144" max="144" width="14.85546875" bestFit="1" customWidth="1"/>
    <col min="145" max="145" width="13.140625" bestFit="1" customWidth="1"/>
    <col min="146" max="146" width="14.85546875" bestFit="1" customWidth="1"/>
    <col min="147" max="147" width="13.140625" bestFit="1" customWidth="1"/>
    <col min="148" max="148" width="14.85546875" bestFit="1" customWidth="1"/>
    <col min="149" max="149" width="13.140625" bestFit="1" customWidth="1"/>
    <col min="150" max="150" width="14.85546875" bestFit="1" customWidth="1"/>
    <col min="151" max="151" width="13.140625" bestFit="1" customWidth="1"/>
    <col min="152" max="152" width="14.85546875" bestFit="1" customWidth="1"/>
    <col min="153" max="153" width="13.140625" bestFit="1" customWidth="1"/>
    <col min="154" max="154" width="14.85546875" bestFit="1" customWidth="1"/>
    <col min="155" max="155" width="13.140625" bestFit="1" customWidth="1"/>
    <col min="156" max="156" width="14.85546875" bestFit="1" customWidth="1"/>
    <col min="157" max="157" width="13.140625" bestFit="1" customWidth="1"/>
    <col min="158" max="158" width="14.85546875" bestFit="1" customWidth="1"/>
    <col min="159" max="159" width="13.140625" bestFit="1" customWidth="1"/>
    <col min="160" max="160" width="14.85546875" bestFit="1" customWidth="1"/>
    <col min="161" max="161" width="13.140625" bestFit="1" customWidth="1"/>
    <col min="162" max="162" width="14.85546875" bestFit="1" customWidth="1"/>
    <col min="163" max="163" width="13.140625" bestFit="1" customWidth="1"/>
    <col min="164" max="164" width="14.85546875" bestFit="1" customWidth="1"/>
    <col min="165" max="165" width="13.140625" bestFit="1" customWidth="1"/>
    <col min="166" max="166" width="14.85546875" bestFit="1" customWidth="1"/>
    <col min="167" max="167" width="13.140625" bestFit="1" customWidth="1"/>
    <col min="168" max="168" width="14.85546875" bestFit="1" customWidth="1"/>
    <col min="169" max="169" width="13.140625" bestFit="1" customWidth="1"/>
    <col min="170" max="170" width="14.85546875" bestFit="1" customWidth="1"/>
    <col min="171" max="171" width="13.140625" bestFit="1" customWidth="1"/>
    <col min="172" max="172" width="14.85546875" bestFit="1" customWidth="1"/>
    <col min="173" max="173" width="13.140625" bestFit="1" customWidth="1"/>
    <col min="174" max="174" width="14.85546875" bestFit="1" customWidth="1"/>
    <col min="175" max="175" width="13.140625" bestFit="1" customWidth="1"/>
    <col min="176" max="176" width="14.85546875" bestFit="1" customWidth="1"/>
    <col min="177" max="177" width="13.140625" bestFit="1" customWidth="1"/>
    <col min="178" max="178" width="14.85546875" bestFit="1" customWidth="1"/>
    <col min="179" max="179" width="13.140625" bestFit="1" customWidth="1"/>
    <col min="180" max="180" width="14.85546875" bestFit="1" customWidth="1"/>
    <col min="181" max="181" width="13.140625" bestFit="1" customWidth="1"/>
    <col min="182" max="182" width="14.85546875" bestFit="1" customWidth="1"/>
    <col min="183" max="183" width="13.140625" bestFit="1" customWidth="1"/>
    <col min="184" max="184" width="14.85546875" bestFit="1" customWidth="1"/>
    <col min="185" max="185" width="13.140625" bestFit="1" customWidth="1"/>
    <col min="186" max="186" width="14.85546875" bestFit="1" customWidth="1"/>
    <col min="187" max="187" width="13.140625" bestFit="1" customWidth="1"/>
    <col min="188" max="188" width="14.85546875" bestFit="1" customWidth="1"/>
    <col min="189" max="189" width="13.140625" bestFit="1" customWidth="1"/>
    <col min="190" max="190" width="14.85546875" bestFit="1" customWidth="1"/>
    <col min="191" max="191" width="13.140625" bestFit="1" customWidth="1"/>
    <col min="192" max="192" width="14.85546875" bestFit="1" customWidth="1"/>
    <col min="193" max="193" width="13.140625" bestFit="1" customWidth="1"/>
    <col min="194" max="194" width="14.85546875" bestFit="1" customWidth="1"/>
    <col min="195" max="195" width="13.140625" bestFit="1" customWidth="1"/>
    <col min="196" max="196" width="14.85546875" bestFit="1" customWidth="1"/>
    <col min="197" max="197" width="13.140625" bestFit="1" customWidth="1"/>
    <col min="198" max="198" width="14.85546875" bestFit="1" customWidth="1"/>
    <col min="199" max="199" width="13.140625" bestFit="1" customWidth="1"/>
    <col min="200" max="200" width="14.85546875" bestFit="1" customWidth="1"/>
    <col min="201" max="201" width="13.140625" bestFit="1" customWidth="1"/>
    <col min="202" max="202" width="14.85546875" bestFit="1" customWidth="1"/>
    <col min="203" max="203" width="13.140625" bestFit="1" customWidth="1"/>
    <col min="204" max="204" width="14.85546875" bestFit="1" customWidth="1"/>
    <col min="205" max="205" width="13.140625" bestFit="1" customWidth="1"/>
    <col min="206" max="206" width="14.85546875" bestFit="1" customWidth="1"/>
    <col min="207" max="207" width="13.140625" bestFit="1" customWidth="1"/>
    <col min="208" max="208" width="14.85546875" bestFit="1" customWidth="1"/>
    <col min="209" max="209" width="13.140625" bestFit="1" customWidth="1"/>
    <col min="210" max="210" width="14.85546875" bestFit="1" customWidth="1"/>
    <col min="211" max="211" width="13.140625" bestFit="1" customWidth="1"/>
    <col min="212" max="212" width="14.85546875" bestFit="1" customWidth="1"/>
    <col min="213" max="213" width="13.140625" bestFit="1" customWidth="1"/>
    <col min="214" max="214" width="14.85546875" bestFit="1" customWidth="1"/>
    <col min="215" max="215" width="13.140625" bestFit="1" customWidth="1"/>
    <col min="216" max="216" width="14.85546875" bestFit="1" customWidth="1"/>
    <col min="217" max="217" width="13.140625" bestFit="1" customWidth="1"/>
    <col min="218" max="218" width="14.85546875" bestFit="1" customWidth="1"/>
    <col min="219" max="219" width="13.140625" bestFit="1" customWidth="1"/>
    <col min="220" max="220" width="14.85546875" bestFit="1" customWidth="1"/>
    <col min="221" max="221" width="13.140625" bestFit="1" customWidth="1"/>
    <col min="222" max="222" width="14.85546875" bestFit="1" customWidth="1"/>
    <col min="223" max="223" width="13.140625" bestFit="1" customWidth="1"/>
    <col min="224" max="224" width="14.85546875" bestFit="1" customWidth="1"/>
    <col min="225" max="225" width="13.140625" bestFit="1" customWidth="1"/>
    <col min="226" max="226" width="14.85546875" bestFit="1" customWidth="1"/>
    <col min="227" max="227" width="13.140625" bestFit="1" customWidth="1"/>
    <col min="228" max="228" width="14.85546875" bestFit="1" customWidth="1"/>
    <col min="229" max="229" width="13.140625" bestFit="1" customWidth="1"/>
    <col min="230" max="230" width="14.85546875" bestFit="1" customWidth="1"/>
    <col min="231" max="231" width="13.140625" bestFit="1" customWidth="1"/>
    <col min="232" max="232" width="14.85546875" bestFit="1" customWidth="1"/>
    <col min="233" max="233" width="13.140625" bestFit="1" customWidth="1"/>
    <col min="234" max="234" width="14.85546875" bestFit="1" customWidth="1"/>
    <col min="235" max="235" width="13.140625" bestFit="1" customWidth="1"/>
    <col min="236" max="236" width="14.85546875" bestFit="1" customWidth="1"/>
    <col min="237" max="237" width="13.140625" bestFit="1" customWidth="1"/>
    <col min="238" max="238" width="14.85546875" bestFit="1" customWidth="1"/>
    <col min="239" max="239" width="13.140625" bestFit="1" customWidth="1"/>
    <col min="240" max="240" width="14.85546875" bestFit="1" customWidth="1"/>
    <col min="241" max="241" width="13.140625" bestFit="1" customWidth="1"/>
    <col min="242" max="242" width="14.85546875" bestFit="1" customWidth="1"/>
    <col min="243" max="243" width="13.140625" bestFit="1" customWidth="1"/>
    <col min="244" max="244" width="14.85546875" bestFit="1" customWidth="1"/>
    <col min="245" max="245" width="13.140625" bestFit="1" customWidth="1"/>
    <col min="246" max="246" width="14.85546875" bestFit="1" customWidth="1"/>
    <col min="247" max="247" width="13.140625" bestFit="1" customWidth="1"/>
    <col min="248" max="248" width="14.85546875" bestFit="1" customWidth="1"/>
    <col min="249" max="249" width="13.140625" bestFit="1" customWidth="1"/>
    <col min="250" max="250" width="14.85546875" bestFit="1" customWidth="1"/>
    <col min="251" max="251" width="13.140625" bestFit="1" customWidth="1"/>
    <col min="252" max="252" width="14.85546875" bestFit="1" customWidth="1"/>
    <col min="253" max="253" width="13.140625" bestFit="1" customWidth="1"/>
    <col min="254" max="254" width="14.85546875" bestFit="1" customWidth="1"/>
    <col min="255" max="255" width="13.140625" bestFit="1" customWidth="1"/>
    <col min="256" max="256" width="14.85546875" bestFit="1" customWidth="1"/>
    <col min="257" max="257" width="13.140625" bestFit="1" customWidth="1"/>
    <col min="258" max="258" width="14.85546875" bestFit="1" customWidth="1"/>
    <col min="259" max="259" width="13.140625" bestFit="1" customWidth="1"/>
    <col min="260" max="260" width="14.85546875" bestFit="1" customWidth="1"/>
    <col min="261" max="261" width="13.140625" bestFit="1" customWidth="1"/>
    <col min="262" max="262" width="14.85546875" bestFit="1" customWidth="1"/>
    <col min="263" max="263" width="13.140625" bestFit="1" customWidth="1"/>
    <col min="264" max="264" width="14.85546875" bestFit="1" customWidth="1"/>
    <col min="265" max="265" width="13.140625" bestFit="1" customWidth="1"/>
    <col min="266" max="266" width="14.85546875" bestFit="1" customWidth="1"/>
    <col min="267" max="267" width="13.140625" bestFit="1" customWidth="1"/>
    <col min="268" max="268" width="14.85546875" bestFit="1" customWidth="1"/>
    <col min="269" max="269" width="13.140625" bestFit="1" customWidth="1"/>
    <col min="270" max="270" width="14.85546875" bestFit="1" customWidth="1"/>
    <col min="271" max="271" width="13.140625" bestFit="1" customWidth="1"/>
    <col min="272" max="272" width="14.85546875" bestFit="1" customWidth="1"/>
    <col min="273" max="273" width="13.140625" bestFit="1" customWidth="1"/>
    <col min="274" max="274" width="14.85546875" bestFit="1" customWidth="1"/>
    <col min="275" max="275" width="13.140625" bestFit="1" customWidth="1"/>
    <col min="276" max="276" width="14.85546875" bestFit="1" customWidth="1"/>
    <col min="277" max="277" width="13.140625" bestFit="1" customWidth="1"/>
    <col min="278" max="278" width="14.85546875" bestFit="1" customWidth="1"/>
    <col min="279" max="279" width="13.140625" bestFit="1" customWidth="1"/>
    <col min="280" max="280" width="14.85546875" bestFit="1" customWidth="1"/>
    <col min="281" max="281" width="13.140625" bestFit="1" customWidth="1"/>
    <col min="282" max="282" width="14.85546875" bestFit="1" customWidth="1"/>
    <col min="283" max="283" width="13.140625" bestFit="1" customWidth="1"/>
    <col min="284" max="284" width="14.85546875" bestFit="1" customWidth="1"/>
    <col min="285" max="285" width="13.140625" bestFit="1" customWidth="1"/>
    <col min="286" max="286" width="14.85546875" bestFit="1" customWidth="1"/>
    <col min="287" max="287" width="13.140625" bestFit="1" customWidth="1"/>
    <col min="288" max="288" width="14.85546875" bestFit="1" customWidth="1"/>
    <col min="289" max="289" width="13.140625" bestFit="1" customWidth="1"/>
    <col min="290" max="290" width="14.85546875" bestFit="1" customWidth="1"/>
    <col min="291" max="291" width="13.140625" bestFit="1" customWidth="1"/>
    <col min="292" max="292" width="14.85546875" bestFit="1" customWidth="1"/>
    <col min="293" max="293" width="13.140625" bestFit="1" customWidth="1"/>
    <col min="294" max="294" width="14.85546875" bestFit="1" customWidth="1"/>
    <col min="295" max="295" width="13.140625" bestFit="1" customWidth="1"/>
    <col min="296" max="296" width="14.85546875" bestFit="1" customWidth="1"/>
    <col min="297" max="297" width="13.140625" bestFit="1" customWidth="1"/>
    <col min="298" max="298" width="14.85546875" bestFit="1" customWidth="1"/>
    <col min="299" max="299" width="13.140625" bestFit="1" customWidth="1"/>
    <col min="300" max="300" width="14.85546875" bestFit="1" customWidth="1"/>
    <col min="301" max="301" width="13.140625" bestFit="1" customWidth="1"/>
    <col min="302" max="302" width="14.85546875" bestFit="1" customWidth="1"/>
    <col min="303" max="303" width="13.140625" bestFit="1" customWidth="1"/>
    <col min="304" max="304" width="14.85546875" bestFit="1" customWidth="1"/>
    <col min="305" max="305" width="13.140625" bestFit="1" customWidth="1"/>
    <col min="306" max="306" width="14.85546875" bestFit="1" customWidth="1"/>
    <col min="307" max="307" width="13.140625" bestFit="1" customWidth="1"/>
    <col min="308" max="308" width="14.85546875" bestFit="1" customWidth="1"/>
    <col min="309" max="309" width="13.140625" bestFit="1" customWidth="1"/>
    <col min="310" max="310" width="14.85546875" bestFit="1" customWidth="1"/>
    <col min="311" max="311" width="13.140625" bestFit="1" customWidth="1"/>
    <col min="312" max="312" width="14.85546875" bestFit="1" customWidth="1"/>
    <col min="313" max="313" width="13.140625" bestFit="1" customWidth="1"/>
    <col min="314" max="314" width="14.85546875" bestFit="1" customWidth="1"/>
    <col min="315" max="315" width="13.140625" bestFit="1" customWidth="1"/>
    <col min="316" max="316" width="14.85546875" bestFit="1" customWidth="1"/>
    <col min="317" max="317" width="13.140625" bestFit="1" customWidth="1"/>
    <col min="318" max="318" width="14.85546875" bestFit="1" customWidth="1"/>
    <col min="319" max="319" width="13.140625" bestFit="1" customWidth="1"/>
    <col min="320" max="320" width="14.85546875" bestFit="1" customWidth="1"/>
    <col min="321" max="321" width="13.140625" bestFit="1" customWidth="1"/>
    <col min="322" max="322" width="14.85546875" bestFit="1" customWidth="1"/>
    <col min="323" max="323" width="13.140625" bestFit="1" customWidth="1"/>
    <col min="324" max="324" width="14.85546875" bestFit="1" customWidth="1"/>
    <col min="325" max="325" width="13.140625" bestFit="1" customWidth="1"/>
    <col min="326" max="326" width="14.85546875" bestFit="1" customWidth="1"/>
    <col min="327" max="327" width="13.140625" bestFit="1" customWidth="1"/>
    <col min="328" max="328" width="14.85546875" bestFit="1" customWidth="1"/>
    <col min="329" max="329" width="13.140625" bestFit="1" customWidth="1"/>
    <col min="330" max="330" width="14.85546875" bestFit="1" customWidth="1"/>
    <col min="331" max="331" width="13.140625" bestFit="1" customWidth="1"/>
    <col min="332" max="332" width="14.85546875" bestFit="1" customWidth="1"/>
    <col min="333" max="333" width="13.140625" bestFit="1" customWidth="1"/>
    <col min="334" max="334" width="14.85546875" bestFit="1" customWidth="1"/>
    <col min="335" max="335" width="13.140625" bestFit="1" customWidth="1"/>
    <col min="336" max="336" width="14.85546875" bestFit="1" customWidth="1"/>
    <col min="337" max="337" width="13.140625" bestFit="1" customWidth="1"/>
    <col min="338" max="338" width="14.85546875" bestFit="1" customWidth="1"/>
    <col min="339" max="339" width="13.140625" bestFit="1" customWidth="1"/>
    <col min="340" max="340" width="14.85546875" bestFit="1" customWidth="1"/>
    <col min="341" max="341" width="13.140625" bestFit="1" customWidth="1"/>
    <col min="342" max="342" width="14.85546875" bestFit="1" customWidth="1"/>
    <col min="343" max="343" width="13.140625" bestFit="1" customWidth="1"/>
    <col min="344" max="344" width="14.85546875" bestFit="1" customWidth="1"/>
    <col min="345" max="345" width="13.140625" bestFit="1" customWidth="1"/>
    <col min="346" max="346" width="14.85546875" bestFit="1" customWidth="1"/>
    <col min="347" max="347" width="13.140625" bestFit="1" customWidth="1"/>
    <col min="348" max="348" width="14.85546875" bestFit="1" customWidth="1"/>
    <col min="349" max="349" width="13.140625" bestFit="1" customWidth="1"/>
    <col min="350" max="350" width="14.85546875" bestFit="1" customWidth="1"/>
    <col min="351" max="351" width="13.140625" bestFit="1" customWidth="1"/>
    <col min="352" max="352" width="14.85546875" bestFit="1" customWidth="1"/>
    <col min="353" max="353" width="13.140625" bestFit="1" customWidth="1"/>
    <col min="354" max="354" width="14.85546875" bestFit="1" customWidth="1"/>
    <col min="355" max="355" width="13.140625" bestFit="1" customWidth="1"/>
    <col min="356" max="356" width="14.85546875" bestFit="1" customWidth="1"/>
    <col min="357" max="357" width="13.140625" bestFit="1" customWidth="1"/>
    <col min="358" max="358" width="14.85546875" bestFit="1" customWidth="1"/>
    <col min="359" max="359" width="13.140625" bestFit="1" customWidth="1"/>
    <col min="360" max="360" width="14.85546875" bestFit="1" customWidth="1"/>
    <col min="361" max="361" width="13.140625" bestFit="1" customWidth="1"/>
    <col min="362" max="362" width="14.85546875" bestFit="1" customWidth="1"/>
    <col min="363" max="363" width="13.140625" bestFit="1" customWidth="1"/>
    <col min="364" max="364" width="14.85546875" bestFit="1" customWidth="1"/>
    <col min="365" max="365" width="13.140625" bestFit="1" customWidth="1"/>
    <col min="366" max="366" width="14.85546875" bestFit="1" customWidth="1"/>
    <col min="367" max="367" width="13.140625" bestFit="1" customWidth="1"/>
    <col min="368" max="368" width="14.85546875" bestFit="1" customWidth="1"/>
    <col min="369" max="369" width="13.140625" bestFit="1" customWidth="1"/>
    <col min="370" max="370" width="14.85546875" bestFit="1" customWidth="1"/>
    <col min="371" max="371" width="13.140625" bestFit="1" customWidth="1"/>
    <col min="372" max="372" width="14.85546875" bestFit="1" customWidth="1"/>
    <col min="373" max="373" width="13.140625" bestFit="1" customWidth="1"/>
    <col min="374" max="374" width="14.85546875" bestFit="1" customWidth="1"/>
    <col min="375" max="375" width="13.140625" bestFit="1" customWidth="1"/>
    <col min="376" max="376" width="14.85546875" bestFit="1" customWidth="1"/>
    <col min="377" max="377" width="13.140625" bestFit="1" customWidth="1"/>
    <col min="378" max="378" width="14.85546875" bestFit="1" customWidth="1"/>
    <col min="379" max="379" width="13.140625" bestFit="1" customWidth="1"/>
    <col min="380" max="380" width="14.85546875" bestFit="1" customWidth="1"/>
    <col min="381" max="381" width="13.140625" bestFit="1" customWidth="1"/>
    <col min="382" max="382" width="14.85546875" bestFit="1" customWidth="1"/>
    <col min="383" max="383" width="13.140625" bestFit="1" customWidth="1"/>
    <col min="384" max="384" width="14.85546875" bestFit="1" customWidth="1"/>
    <col min="385" max="385" width="13.140625" bestFit="1" customWidth="1"/>
    <col min="386" max="386" width="14.85546875" bestFit="1" customWidth="1"/>
    <col min="387" max="387" width="13.140625" bestFit="1" customWidth="1"/>
    <col min="388" max="388" width="14.85546875" bestFit="1" customWidth="1"/>
    <col min="389" max="389" width="13.140625" bestFit="1" customWidth="1"/>
    <col min="390" max="390" width="14.85546875" bestFit="1" customWidth="1"/>
    <col min="391" max="391" width="13.140625" bestFit="1" customWidth="1"/>
    <col min="392" max="392" width="14.85546875" bestFit="1" customWidth="1"/>
    <col min="393" max="393" width="13.140625" bestFit="1" customWidth="1"/>
    <col min="394" max="394" width="14.85546875" bestFit="1" customWidth="1"/>
    <col min="395" max="395" width="13.140625" bestFit="1" customWidth="1"/>
    <col min="396" max="396" width="14.85546875" bestFit="1" customWidth="1"/>
    <col min="397" max="397" width="13.140625" bestFit="1" customWidth="1"/>
    <col min="398" max="398" width="14.85546875" bestFit="1" customWidth="1"/>
    <col min="399" max="399" width="13.140625" bestFit="1" customWidth="1"/>
    <col min="400" max="400" width="14.85546875" bestFit="1" customWidth="1"/>
    <col min="401" max="401" width="13.140625" bestFit="1" customWidth="1"/>
    <col min="402" max="402" width="14.85546875" bestFit="1" customWidth="1"/>
    <col min="403" max="403" width="13.140625" bestFit="1" customWidth="1"/>
    <col min="404" max="404" width="14.85546875" bestFit="1" customWidth="1"/>
    <col min="405" max="405" width="13.140625" bestFit="1" customWidth="1"/>
    <col min="406" max="406" width="14.85546875" bestFit="1" customWidth="1"/>
    <col min="407" max="407" width="13.140625" bestFit="1" customWidth="1"/>
    <col min="408" max="408" width="14.85546875" bestFit="1" customWidth="1"/>
    <col min="409" max="409" width="13.140625" bestFit="1" customWidth="1"/>
    <col min="410" max="410" width="14.85546875" bestFit="1" customWidth="1"/>
    <col min="411" max="411" width="13.140625" bestFit="1" customWidth="1"/>
    <col min="412" max="412" width="14.85546875" bestFit="1" customWidth="1"/>
    <col min="413" max="413" width="13.140625" bestFit="1" customWidth="1"/>
    <col min="414" max="414" width="14.85546875" bestFit="1" customWidth="1"/>
    <col min="415" max="415" width="13.140625" bestFit="1" customWidth="1"/>
    <col min="416" max="416" width="14.85546875" bestFit="1" customWidth="1"/>
    <col min="417" max="417" width="13.140625" bestFit="1" customWidth="1"/>
    <col min="418" max="418" width="14.85546875" bestFit="1" customWidth="1"/>
    <col min="419" max="419" width="13.140625" bestFit="1" customWidth="1"/>
    <col min="420" max="420" width="14.85546875" bestFit="1" customWidth="1"/>
    <col min="421" max="421" width="13.140625" bestFit="1" customWidth="1"/>
    <col min="422" max="422" width="14.85546875" bestFit="1" customWidth="1"/>
    <col min="423" max="423" width="13.140625" bestFit="1" customWidth="1"/>
    <col min="424" max="424" width="14.85546875" bestFit="1" customWidth="1"/>
    <col min="425" max="425" width="13.140625" bestFit="1" customWidth="1"/>
    <col min="426" max="426" width="14.85546875" bestFit="1" customWidth="1"/>
    <col min="427" max="427" width="13.140625" bestFit="1" customWidth="1"/>
    <col min="428" max="428" width="14.85546875" bestFit="1" customWidth="1"/>
    <col min="429" max="429" width="13.140625" bestFit="1" customWidth="1"/>
    <col min="430" max="430" width="14.85546875" bestFit="1" customWidth="1"/>
    <col min="431" max="431" width="13.140625" bestFit="1" customWidth="1"/>
    <col min="432" max="432" width="14.85546875" bestFit="1" customWidth="1"/>
    <col min="433" max="433" width="13.140625" bestFit="1" customWidth="1"/>
    <col min="434" max="434" width="14.85546875" bestFit="1" customWidth="1"/>
    <col min="435" max="435" width="13.140625" bestFit="1" customWidth="1"/>
    <col min="436" max="436" width="14.85546875" bestFit="1" customWidth="1"/>
    <col min="437" max="437" width="13.140625" bestFit="1" customWidth="1"/>
    <col min="438" max="438" width="14.85546875" bestFit="1" customWidth="1"/>
    <col min="439" max="439" width="13.140625" bestFit="1" customWidth="1"/>
    <col min="440" max="440" width="14.85546875" bestFit="1" customWidth="1"/>
    <col min="441" max="441" width="13.140625" bestFit="1" customWidth="1"/>
    <col min="442" max="442" width="14.85546875" bestFit="1" customWidth="1"/>
    <col min="443" max="443" width="13.140625" bestFit="1" customWidth="1"/>
    <col min="444" max="444" width="14.85546875" bestFit="1" customWidth="1"/>
    <col min="445" max="445" width="13.140625" bestFit="1" customWidth="1"/>
    <col min="446" max="446" width="14.85546875" bestFit="1" customWidth="1"/>
    <col min="447" max="447" width="13.140625" bestFit="1" customWidth="1"/>
    <col min="448" max="448" width="14.85546875" bestFit="1" customWidth="1"/>
    <col min="449" max="449" width="13.140625" bestFit="1" customWidth="1"/>
    <col min="450" max="450" width="14.85546875" bestFit="1" customWidth="1"/>
    <col min="451" max="451" width="13.140625" bestFit="1" customWidth="1"/>
    <col min="452" max="452" width="14.85546875" bestFit="1" customWidth="1"/>
    <col min="453" max="453" width="13.140625" bestFit="1" customWidth="1"/>
    <col min="454" max="454" width="14.85546875" bestFit="1" customWidth="1"/>
    <col min="455" max="455" width="13.140625" bestFit="1" customWidth="1"/>
    <col min="456" max="456" width="14.85546875" bestFit="1" customWidth="1"/>
    <col min="457" max="457" width="13.140625" bestFit="1" customWidth="1"/>
    <col min="458" max="458" width="14.85546875" bestFit="1" customWidth="1"/>
    <col min="459" max="459" width="13.140625" bestFit="1" customWidth="1"/>
    <col min="460" max="460" width="14.85546875" bestFit="1" customWidth="1"/>
    <col min="461" max="461" width="13.140625" bestFit="1" customWidth="1"/>
    <col min="462" max="462" width="14.85546875" bestFit="1" customWidth="1"/>
    <col min="463" max="463" width="13.140625" bestFit="1" customWidth="1"/>
    <col min="464" max="464" width="14.85546875" bestFit="1" customWidth="1"/>
    <col min="465" max="465" width="13.140625" bestFit="1" customWidth="1"/>
    <col min="466" max="466" width="14.85546875" bestFit="1" customWidth="1"/>
    <col min="467" max="467" width="13.140625" bestFit="1" customWidth="1"/>
    <col min="468" max="468" width="14.85546875" bestFit="1" customWidth="1"/>
    <col min="469" max="469" width="13.140625" bestFit="1" customWidth="1"/>
    <col min="470" max="470" width="14.85546875" bestFit="1" customWidth="1"/>
    <col min="471" max="471" width="13.140625" bestFit="1" customWidth="1"/>
    <col min="472" max="472" width="14.85546875" bestFit="1" customWidth="1"/>
    <col min="473" max="473" width="13.140625" bestFit="1" customWidth="1"/>
    <col min="474" max="474" width="14.85546875" bestFit="1" customWidth="1"/>
    <col min="475" max="475" width="13.140625" bestFit="1" customWidth="1"/>
    <col min="476" max="476" width="14.85546875" bestFit="1" customWidth="1"/>
    <col min="477" max="477" width="13.140625" bestFit="1" customWidth="1"/>
    <col min="478" max="478" width="14.85546875" bestFit="1" customWidth="1"/>
    <col min="479" max="479" width="13.140625" bestFit="1" customWidth="1"/>
    <col min="480" max="480" width="14.85546875" bestFit="1" customWidth="1"/>
    <col min="481" max="481" width="13.140625" bestFit="1" customWidth="1"/>
    <col min="482" max="482" width="19.85546875" bestFit="1" customWidth="1"/>
    <col min="483" max="483" width="18.140625" bestFit="1" customWidth="1"/>
    <col min="484" max="489" width="9.7109375" bestFit="1" customWidth="1"/>
    <col min="490" max="490" width="6.7109375" bestFit="1" customWidth="1"/>
    <col min="491" max="495" width="9.7109375" bestFit="1" customWidth="1"/>
    <col min="496" max="496" width="6.7109375" bestFit="1" customWidth="1"/>
    <col min="497" max="498" width="9.7109375" bestFit="1" customWidth="1"/>
    <col min="499" max="499" width="8.7109375" bestFit="1" customWidth="1"/>
    <col min="500" max="505" width="9.7109375" bestFit="1" customWidth="1"/>
    <col min="506" max="506" width="6.7109375" bestFit="1" customWidth="1"/>
    <col min="507" max="507" width="9.7109375" bestFit="1" customWidth="1"/>
    <col min="508" max="509" width="8.7109375" bestFit="1" customWidth="1"/>
    <col min="510" max="510" width="9.7109375" bestFit="1" customWidth="1"/>
    <col min="511" max="512" width="6.7109375" bestFit="1" customWidth="1"/>
    <col min="513" max="514" width="9.7109375" bestFit="1" customWidth="1"/>
    <col min="515" max="515" width="6.7109375" bestFit="1" customWidth="1"/>
    <col min="516" max="519" width="9.7109375" bestFit="1" customWidth="1"/>
    <col min="520" max="520" width="6.7109375" bestFit="1" customWidth="1"/>
    <col min="521" max="525" width="8.7109375" bestFit="1" customWidth="1"/>
    <col min="526" max="526" width="5.7109375" bestFit="1" customWidth="1"/>
    <col min="527" max="529" width="8.7109375" bestFit="1" customWidth="1"/>
    <col min="530" max="530" width="5.7109375" bestFit="1" customWidth="1"/>
    <col min="531" max="536" width="8.7109375" bestFit="1" customWidth="1"/>
    <col min="537" max="537" width="5.7109375" bestFit="1" customWidth="1"/>
    <col min="538" max="539" width="8.7109375" bestFit="1" customWidth="1"/>
    <col min="540" max="540" width="7.7109375" bestFit="1" customWidth="1"/>
    <col min="541" max="542" width="8.7109375" bestFit="1" customWidth="1"/>
    <col min="543" max="543" width="5.7109375" bestFit="1" customWidth="1"/>
    <col min="544" max="546" width="8.7109375" bestFit="1" customWidth="1"/>
    <col min="547" max="550" width="7.7109375" bestFit="1" customWidth="1"/>
    <col min="551" max="551" width="8.7109375" bestFit="1" customWidth="1"/>
    <col min="552" max="552" width="6.7109375" bestFit="1" customWidth="1"/>
    <col min="553" max="555" width="8.7109375" bestFit="1" customWidth="1"/>
    <col min="556" max="556" width="6.7109375" bestFit="1" customWidth="1"/>
    <col min="557" max="580" width="8.7109375" bestFit="1" customWidth="1"/>
    <col min="581" max="581" width="5.7109375" bestFit="1" customWidth="1"/>
    <col min="582" max="582" width="7.7109375" bestFit="1" customWidth="1"/>
    <col min="583" max="585" width="8.7109375" bestFit="1" customWidth="1"/>
    <col min="586" max="586" width="7.7109375" bestFit="1" customWidth="1"/>
    <col min="587" max="587" width="5.7109375" bestFit="1" customWidth="1"/>
    <col min="588" max="595" width="8.7109375" bestFit="1" customWidth="1"/>
    <col min="596" max="596" width="7.7109375" bestFit="1" customWidth="1"/>
    <col min="597" max="599" width="8.7109375" bestFit="1" customWidth="1"/>
    <col min="600" max="600" width="5.7109375" bestFit="1" customWidth="1"/>
    <col min="601" max="601" width="7.7109375" bestFit="1" customWidth="1"/>
    <col min="602" max="602" width="8.7109375" bestFit="1" customWidth="1"/>
    <col min="603" max="603" width="5.7109375" bestFit="1" customWidth="1"/>
    <col min="604" max="606" width="8.7109375" bestFit="1" customWidth="1"/>
    <col min="607" max="607" width="5.7109375" bestFit="1" customWidth="1"/>
    <col min="608" max="612" width="8.7109375" bestFit="1" customWidth="1"/>
    <col min="613" max="613" width="5.7109375" bestFit="1" customWidth="1"/>
    <col min="614" max="617" width="8.7109375" bestFit="1" customWidth="1"/>
    <col min="618" max="618" width="7.7109375" bestFit="1" customWidth="1"/>
    <col min="619" max="623" width="8.7109375" bestFit="1" customWidth="1"/>
    <col min="624" max="624" width="5.7109375" bestFit="1" customWidth="1"/>
    <col min="625" max="625" width="7.7109375" bestFit="1" customWidth="1"/>
    <col min="626" max="626" width="5.7109375" bestFit="1" customWidth="1"/>
    <col min="627" max="631" width="8.7109375" bestFit="1" customWidth="1"/>
    <col min="632" max="632" width="5.7109375" bestFit="1" customWidth="1"/>
    <col min="633" max="633" width="8.7109375" bestFit="1" customWidth="1"/>
    <col min="634" max="634" width="7.7109375" bestFit="1" customWidth="1"/>
    <col min="635" max="635" width="8.7109375" bestFit="1" customWidth="1"/>
    <col min="636" max="639" width="5.7109375" bestFit="1" customWidth="1"/>
    <col min="640" max="653" width="8.7109375" bestFit="1" customWidth="1"/>
    <col min="654" max="655" width="5.7109375" bestFit="1" customWidth="1"/>
    <col min="656" max="657" width="8.7109375" bestFit="1" customWidth="1"/>
    <col min="658" max="658" width="5.7109375" bestFit="1" customWidth="1"/>
    <col min="659" max="659" width="8.7109375" bestFit="1" customWidth="1"/>
    <col min="660" max="660" width="7.7109375" bestFit="1" customWidth="1"/>
    <col min="661" max="666" width="8.7109375" bestFit="1" customWidth="1"/>
    <col min="667" max="667" width="5.7109375" bestFit="1" customWidth="1"/>
    <col min="668" max="668" width="4.7109375" bestFit="1" customWidth="1"/>
    <col min="669" max="671" width="7.7109375" bestFit="1" customWidth="1"/>
    <col min="672" max="672" width="4.7109375" bestFit="1" customWidth="1"/>
    <col min="673" max="674" width="7.7109375" bestFit="1" customWidth="1"/>
    <col min="675" max="675" width="4.7109375" bestFit="1" customWidth="1"/>
    <col min="676" max="676" width="6.7109375" bestFit="1" customWidth="1"/>
    <col min="677" max="678" width="7.7109375" bestFit="1" customWidth="1"/>
    <col min="679" max="680" width="4.7109375" bestFit="1" customWidth="1"/>
    <col min="681" max="683" width="7.7109375" bestFit="1" customWidth="1"/>
    <col min="684" max="684" width="6.7109375" bestFit="1" customWidth="1"/>
    <col min="685" max="686" width="7.7109375" bestFit="1" customWidth="1"/>
    <col min="687" max="687" width="4.7109375" bestFit="1" customWidth="1"/>
    <col min="688" max="689" width="7.7109375" bestFit="1" customWidth="1"/>
    <col min="690" max="690" width="6.7109375" bestFit="1" customWidth="1"/>
    <col min="691" max="691" width="7.7109375" bestFit="1" customWidth="1"/>
    <col min="692" max="692" width="6.7109375" bestFit="1" customWidth="1"/>
    <col min="693" max="711" width="7.7109375" bestFit="1" customWidth="1"/>
    <col min="712" max="712" width="6.7109375" bestFit="1" customWidth="1"/>
    <col min="713" max="733" width="7.7109375" bestFit="1" customWidth="1"/>
    <col min="734" max="734" width="5.7109375" bestFit="1" customWidth="1"/>
    <col min="735" max="735" width="6.7109375" bestFit="1" customWidth="1"/>
    <col min="736" max="738" width="7.7109375" bestFit="1" customWidth="1"/>
    <col min="739" max="739" width="6.7109375" bestFit="1" customWidth="1"/>
    <col min="740" max="744" width="7.7109375" bestFit="1" customWidth="1"/>
    <col min="745" max="745" width="4.7109375" bestFit="1" customWidth="1"/>
    <col min="746" max="751" width="7.7109375" bestFit="1" customWidth="1"/>
    <col min="752" max="752" width="6.7109375" bestFit="1" customWidth="1"/>
    <col min="753" max="757" width="7.7109375" bestFit="1" customWidth="1"/>
    <col min="758" max="758" width="4.7109375" bestFit="1" customWidth="1"/>
    <col min="759" max="759" width="6.7109375" bestFit="1" customWidth="1"/>
    <col min="760" max="762" width="7.7109375" bestFit="1" customWidth="1"/>
    <col min="763" max="763" width="5.7109375" bestFit="1" customWidth="1"/>
    <col min="764" max="766" width="7.7109375" bestFit="1" customWidth="1"/>
    <col min="767" max="768" width="6.7109375" bestFit="1" customWidth="1"/>
    <col min="769" max="769" width="4.7109375" bestFit="1" customWidth="1"/>
    <col min="770" max="770" width="7.7109375" bestFit="1" customWidth="1"/>
    <col min="771" max="771" width="4.7109375" bestFit="1" customWidth="1"/>
    <col min="772" max="773" width="7.7109375" bestFit="1" customWidth="1"/>
    <col min="774" max="774" width="4.7109375" bestFit="1" customWidth="1"/>
    <col min="775" max="776" width="7.7109375" bestFit="1" customWidth="1"/>
    <col min="777" max="777" width="4.7109375" bestFit="1" customWidth="1"/>
    <col min="778" max="778" width="6.7109375" bestFit="1" customWidth="1"/>
    <col min="779" max="780" width="4.7109375" bestFit="1" customWidth="1"/>
    <col min="781" max="781" width="6.7109375" bestFit="1" customWidth="1"/>
    <col min="782" max="783" width="4.7109375" bestFit="1" customWidth="1"/>
    <col min="784" max="793" width="7.7109375" bestFit="1" customWidth="1"/>
    <col min="794" max="794" width="4.7109375" bestFit="1" customWidth="1"/>
    <col min="795" max="795" width="7.7109375" bestFit="1" customWidth="1"/>
    <col min="796" max="796" width="6.7109375" bestFit="1" customWidth="1"/>
    <col min="797" max="797" width="7.7109375" bestFit="1" customWidth="1"/>
    <col min="798" max="799" width="6.7109375" bestFit="1" customWidth="1"/>
    <col min="800" max="801" width="7.7109375" bestFit="1" customWidth="1"/>
    <col min="802" max="802" width="8.7109375" bestFit="1" customWidth="1"/>
    <col min="803" max="814" width="7.7109375" bestFit="1" customWidth="1"/>
    <col min="815" max="815" width="8.7109375" bestFit="1" customWidth="1"/>
    <col min="816" max="816" width="7.7109375" bestFit="1" customWidth="1"/>
    <col min="817" max="818" width="6.7109375" bestFit="1" customWidth="1"/>
    <col min="819" max="819" width="5.7109375" bestFit="1" customWidth="1"/>
    <col min="820" max="820" width="8.7109375" bestFit="1" customWidth="1"/>
    <col min="821" max="831" width="7.7109375" bestFit="1" customWidth="1"/>
    <col min="832" max="832" width="6.7109375" bestFit="1" customWidth="1"/>
    <col min="833" max="837" width="7.7109375" bestFit="1" customWidth="1"/>
    <col min="838" max="838" width="6.7109375" bestFit="1" customWidth="1"/>
    <col min="839" max="839" width="4.7109375" bestFit="1" customWidth="1"/>
    <col min="840" max="840" width="7.7109375" bestFit="1" customWidth="1"/>
    <col min="841" max="841" width="6.7109375" bestFit="1" customWidth="1"/>
    <col min="842" max="845" width="7.7109375" bestFit="1" customWidth="1"/>
    <col min="846" max="846" width="4.7109375" bestFit="1" customWidth="1"/>
    <col min="847" max="850" width="7.7109375" bestFit="1" customWidth="1"/>
    <col min="851" max="851" width="4.7109375" bestFit="1" customWidth="1"/>
    <col min="852" max="852" width="7.7109375" bestFit="1" customWidth="1"/>
    <col min="853" max="853" width="6.7109375" bestFit="1" customWidth="1"/>
    <col min="854" max="854" width="4.7109375" bestFit="1" customWidth="1"/>
    <col min="855" max="862" width="7.7109375" bestFit="1" customWidth="1"/>
    <col min="863" max="863" width="4.7109375" bestFit="1" customWidth="1"/>
    <col min="864" max="865" width="7.7109375" bestFit="1" customWidth="1"/>
    <col min="866" max="866" width="6.7109375" bestFit="1" customWidth="1"/>
    <col min="867" max="873" width="7.7109375" bestFit="1" customWidth="1"/>
    <col min="874" max="874" width="4.7109375" bestFit="1" customWidth="1"/>
    <col min="875" max="882" width="7.7109375" bestFit="1" customWidth="1"/>
    <col min="883" max="883" width="6.7109375" bestFit="1" customWidth="1"/>
    <col min="884" max="890" width="7.7109375" bestFit="1" customWidth="1"/>
    <col min="891" max="891" width="4.7109375" bestFit="1" customWidth="1"/>
    <col min="892" max="895" width="7.7109375" bestFit="1" customWidth="1"/>
    <col min="896" max="896" width="8.7109375" bestFit="1" customWidth="1"/>
    <col min="897" max="898" width="7.7109375" bestFit="1" customWidth="1"/>
    <col min="899" max="899" width="4.7109375" bestFit="1" customWidth="1"/>
    <col min="900" max="905" width="7.7109375" bestFit="1" customWidth="1"/>
    <col min="906" max="906" width="4.7109375" bestFit="1" customWidth="1"/>
    <col min="907" max="912" width="7.7109375" bestFit="1" customWidth="1"/>
    <col min="913" max="913" width="6.7109375" bestFit="1" customWidth="1"/>
    <col min="914" max="917" width="7.7109375" bestFit="1" customWidth="1"/>
    <col min="918" max="918" width="8.7109375" bestFit="1" customWidth="1"/>
    <col min="919" max="919" width="4.7109375" bestFit="1" customWidth="1"/>
    <col min="920" max="924" width="7.7109375" bestFit="1" customWidth="1"/>
    <col min="925" max="925" width="4.7109375" bestFit="1" customWidth="1"/>
    <col min="926" max="927" width="7.7109375" bestFit="1" customWidth="1"/>
    <col min="928" max="928" width="6.7109375" bestFit="1" customWidth="1"/>
    <col min="929" max="934" width="7.7109375" bestFit="1" customWidth="1"/>
    <col min="935" max="935" width="6.7109375" bestFit="1" customWidth="1"/>
    <col min="936" max="936" width="7.7109375" bestFit="1" customWidth="1"/>
    <col min="937" max="937" width="6.7109375" bestFit="1" customWidth="1"/>
    <col min="938" max="939" width="7.7109375" bestFit="1" customWidth="1"/>
    <col min="940" max="940" width="6.7109375" bestFit="1" customWidth="1"/>
    <col min="941" max="943" width="7.7109375" bestFit="1" customWidth="1"/>
    <col min="944" max="944" width="6.7109375" bestFit="1" customWidth="1"/>
    <col min="945" max="945" width="4.7109375" bestFit="1" customWidth="1"/>
    <col min="946" max="946" width="7.7109375" bestFit="1" customWidth="1"/>
    <col min="947" max="966" width="6.7109375" bestFit="1" customWidth="1"/>
    <col min="967" max="967" width="5.7109375" bestFit="1" customWidth="1"/>
    <col min="968" max="968" width="6.7109375" bestFit="1" customWidth="1"/>
    <col min="969" max="969" width="5.7109375" bestFit="1" customWidth="1"/>
    <col min="970" max="973" width="6.7109375" bestFit="1" customWidth="1"/>
    <col min="974" max="974" width="3.7109375" bestFit="1" customWidth="1"/>
    <col min="975" max="984" width="6.7109375" bestFit="1" customWidth="1"/>
    <col min="985" max="985" width="7.7109375" bestFit="1" customWidth="1"/>
    <col min="986" max="994" width="6.7109375" bestFit="1" customWidth="1"/>
    <col min="995" max="995" width="4.7109375" bestFit="1" customWidth="1"/>
    <col min="996" max="996" width="6.7109375" bestFit="1" customWidth="1"/>
    <col min="997" max="997" width="5.7109375" bestFit="1" customWidth="1"/>
    <col min="998" max="998" width="7.7109375" bestFit="1" customWidth="1"/>
    <col min="999" max="1001" width="6.7109375" bestFit="1" customWidth="1"/>
    <col min="1002" max="1002" width="5.7109375" bestFit="1" customWidth="1"/>
    <col min="1003" max="1003" width="6.7109375" bestFit="1" customWidth="1"/>
    <col min="1004" max="1004" width="7.7109375" bestFit="1" customWidth="1"/>
    <col min="1005" max="1007" width="6.7109375" bestFit="1" customWidth="1"/>
    <col min="1008" max="1008" width="5.7109375" bestFit="1" customWidth="1"/>
    <col min="1009" max="1009" width="6.7109375" bestFit="1" customWidth="1"/>
    <col min="1010" max="1010" width="5.7109375" bestFit="1" customWidth="1"/>
    <col min="1011" max="1014" width="6.7109375" bestFit="1" customWidth="1"/>
    <col min="1015" max="1015" width="5.7109375" bestFit="1" customWidth="1"/>
    <col min="1016" max="1016" width="3.7109375" bestFit="1" customWidth="1"/>
    <col min="1017" max="1020" width="6.7109375" bestFit="1" customWidth="1"/>
    <col min="1021" max="1021" width="5.7109375" bestFit="1" customWidth="1"/>
    <col min="1022" max="1030" width="6.7109375" bestFit="1" customWidth="1"/>
    <col min="1031" max="1032" width="5.7109375" bestFit="1" customWidth="1"/>
    <col min="1033" max="1035" width="6.7109375" bestFit="1" customWidth="1"/>
    <col min="1036" max="1036" width="5.7109375" bestFit="1" customWidth="1"/>
    <col min="1037" max="1039" width="6.7109375" bestFit="1" customWidth="1"/>
    <col min="1040" max="1040" width="3.7109375" bestFit="1" customWidth="1"/>
    <col min="1041" max="1041" width="6.7109375" bestFit="1" customWidth="1"/>
    <col min="1042" max="1042" width="5.7109375" bestFit="1" customWidth="1"/>
    <col min="1043" max="1043" width="6.7109375" bestFit="1" customWidth="1"/>
    <col min="1044" max="1044" width="5.7109375" bestFit="1" customWidth="1"/>
    <col min="1045" max="1045" width="6.7109375" bestFit="1" customWidth="1"/>
    <col min="1046" max="1046" width="3.7109375" bestFit="1" customWidth="1"/>
    <col min="1047" max="1048" width="6.7109375" bestFit="1" customWidth="1"/>
    <col min="1049" max="1049" width="5.7109375" bestFit="1" customWidth="1"/>
    <col min="1050" max="1050" width="6.7109375" bestFit="1" customWidth="1"/>
    <col min="1051" max="1051" width="4.7109375" bestFit="1" customWidth="1"/>
    <col min="1052" max="1054" width="6.7109375" bestFit="1" customWidth="1"/>
    <col min="1055" max="1056" width="5.7109375" bestFit="1" customWidth="1"/>
    <col min="1057" max="1059" width="6.7109375" bestFit="1" customWidth="1"/>
    <col min="1060" max="1060" width="3.7109375" bestFit="1" customWidth="1"/>
    <col min="1061" max="1066" width="6.7109375" bestFit="1" customWidth="1"/>
    <col min="1067" max="1067" width="3.7109375" bestFit="1" customWidth="1"/>
    <col min="1068" max="1070" width="6.7109375" bestFit="1" customWidth="1"/>
    <col min="1071" max="1071" width="5.7109375" bestFit="1" customWidth="1"/>
    <col min="1072" max="1073" width="3.7109375" bestFit="1" customWidth="1"/>
    <col min="1074" max="1075" width="6.7109375" bestFit="1" customWidth="1"/>
    <col min="1076" max="1076" width="3.7109375" bestFit="1" customWidth="1"/>
    <col min="1077" max="1077" width="6.7109375" bestFit="1" customWidth="1"/>
    <col min="1078" max="1078" width="7.7109375" bestFit="1" customWidth="1"/>
    <col min="1079" max="1079" width="6.7109375" bestFit="1" customWidth="1"/>
    <col min="1080" max="1080" width="5.7109375" bestFit="1" customWidth="1"/>
    <col min="1081" max="1081" width="6.7109375" bestFit="1" customWidth="1"/>
    <col min="1082" max="1082" width="3.7109375" bestFit="1" customWidth="1"/>
    <col min="1083" max="1086" width="6.7109375" bestFit="1" customWidth="1"/>
    <col min="1087" max="1087" width="3.7109375" bestFit="1" customWidth="1"/>
    <col min="1088" max="1088" width="6.7109375" bestFit="1" customWidth="1"/>
    <col min="1089" max="1089" width="7.7109375" bestFit="1" customWidth="1"/>
    <col min="1090" max="1090" width="3.7109375" bestFit="1" customWidth="1"/>
    <col min="1091" max="1091" width="6.7109375" bestFit="1" customWidth="1"/>
    <col min="1092" max="1092" width="3.7109375" bestFit="1" customWidth="1"/>
    <col min="1093" max="1094" width="6.7109375" bestFit="1" customWidth="1"/>
    <col min="1095" max="1095" width="3.7109375" bestFit="1" customWidth="1"/>
    <col min="1096" max="1098" width="6.7109375" bestFit="1" customWidth="1"/>
    <col min="1099" max="1099" width="3.7109375" bestFit="1" customWidth="1"/>
    <col min="1100" max="1100" width="7.7109375" bestFit="1" customWidth="1"/>
    <col min="1101" max="1101" width="5.7109375" bestFit="1" customWidth="1"/>
    <col min="1102" max="1102" width="6.7109375" bestFit="1" customWidth="1"/>
    <col min="1103" max="1103" width="3.7109375" bestFit="1" customWidth="1"/>
    <col min="1104" max="1109" width="6.7109375" bestFit="1" customWidth="1"/>
    <col min="1110" max="1110" width="3.7109375" bestFit="1" customWidth="1"/>
    <col min="1111" max="1111" width="4.7109375" bestFit="1" customWidth="1"/>
    <col min="1112" max="1112" width="5.7109375" bestFit="1" customWidth="1"/>
    <col min="1113" max="1113" width="4.7109375" bestFit="1" customWidth="1"/>
    <col min="1114" max="1120" width="5.7109375" bestFit="1" customWidth="1"/>
    <col min="1121" max="1121" width="3.7109375" bestFit="1" customWidth="1"/>
    <col min="1122" max="1122" width="5.7109375" bestFit="1" customWidth="1"/>
    <col min="1123" max="1123" width="7.28515625" bestFit="1" customWidth="1"/>
    <col min="1124" max="1124" width="12.140625" bestFit="1" customWidth="1"/>
    <col min="1125" max="1125" width="11.28515625" bestFit="1" customWidth="1"/>
  </cols>
  <sheetData>
    <row r="3" spans="1:16" x14ac:dyDescent="0.25">
      <c r="B3" s="2" t="s">
        <v>897</v>
      </c>
    </row>
    <row r="4" spans="1:16" x14ac:dyDescent="0.25">
      <c r="B4" t="s">
        <v>908</v>
      </c>
      <c r="F4" t="s">
        <v>911</v>
      </c>
      <c r="J4" t="s">
        <v>912</v>
      </c>
      <c r="N4" t="s">
        <v>909</v>
      </c>
      <c r="O4" t="s">
        <v>910</v>
      </c>
      <c r="P4" t="s">
        <v>913</v>
      </c>
    </row>
    <row r="5" spans="1:16" x14ac:dyDescent="0.25">
      <c r="A5" s="2" t="s">
        <v>900</v>
      </c>
      <c r="B5">
        <v>2023</v>
      </c>
      <c r="C5">
        <v>2024</v>
      </c>
      <c r="D5">
        <v>2025</v>
      </c>
      <c r="E5" t="s">
        <v>898</v>
      </c>
      <c r="F5">
        <v>2023</v>
      </c>
      <c r="G5">
        <v>2024</v>
      </c>
      <c r="H5">
        <v>2025</v>
      </c>
      <c r="I5" t="s">
        <v>898</v>
      </c>
      <c r="J5">
        <v>2023</v>
      </c>
      <c r="K5">
        <v>2024</v>
      </c>
      <c r="L5">
        <v>2025</v>
      </c>
      <c r="M5" t="s">
        <v>898</v>
      </c>
    </row>
    <row r="6" spans="1:16" x14ac:dyDescent="0.25">
      <c r="A6" s="4" t="s">
        <v>901</v>
      </c>
      <c r="B6" s="3">
        <v>188541.87</v>
      </c>
      <c r="C6" s="3">
        <v>1246652.07</v>
      </c>
      <c r="D6" s="3">
        <v>279380.32</v>
      </c>
      <c r="E6" s="3"/>
      <c r="F6" s="3"/>
      <c r="G6" s="3"/>
      <c r="H6" s="3"/>
      <c r="I6" s="3"/>
      <c r="J6" s="3">
        <v>188541.87</v>
      </c>
      <c r="K6" s="3">
        <v>1246652.07</v>
      </c>
      <c r="L6" s="3">
        <v>279380.32</v>
      </c>
      <c r="M6" s="3"/>
      <c r="N6" s="3">
        <v>1714574.26</v>
      </c>
      <c r="O6" s="3"/>
      <c r="P6" s="3">
        <v>1714574.26</v>
      </c>
    </row>
    <row r="7" spans="1:16" x14ac:dyDescent="0.25">
      <c r="A7" s="4" t="s">
        <v>902</v>
      </c>
      <c r="B7" s="3">
        <v>-164983.97000000003</v>
      </c>
      <c r="C7" s="3">
        <v>-1133797.0400000033</v>
      </c>
      <c r="D7" s="3">
        <v>-345174.55</v>
      </c>
      <c r="E7" s="3"/>
      <c r="F7" s="3">
        <v>-164983.97000000003</v>
      </c>
      <c r="G7" s="3">
        <v>-1136884.5600000033</v>
      </c>
      <c r="H7" s="3">
        <v>-345174.55</v>
      </c>
      <c r="I7" s="3"/>
      <c r="J7" s="3"/>
      <c r="K7" s="3"/>
      <c r="L7" s="3"/>
      <c r="M7" s="3"/>
      <c r="N7" s="3">
        <v>-1643955.5600000033</v>
      </c>
      <c r="O7" s="3">
        <v>-1647043.0800000033</v>
      </c>
      <c r="P7" s="3"/>
    </row>
    <row r="8" spans="1:16" x14ac:dyDescent="0.25">
      <c r="A8" s="4" t="s">
        <v>898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x14ac:dyDescent="0.25">
      <c r="A9" s="4" t="s">
        <v>899</v>
      </c>
      <c r="B9" s="3">
        <v>23557.899999999965</v>
      </c>
      <c r="C9" s="3">
        <v>112855.02999999677</v>
      </c>
      <c r="D9" s="3">
        <v>-65794.229999999981</v>
      </c>
      <c r="E9" s="3"/>
      <c r="F9" s="3">
        <v>-164983.97000000003</v>
      </c>
      <c r="G9" s="3">
        <v>-1136884.5600000033</v>
      </c>
      <c r="H9" s="3">
        <v>-345174.55</v>
      </c>
      <c r="I9" s="3"/>
      <c r="J9" s="3">
        <v>188541.87</v>
      </c>
      <c r="K9" s="3">
        <v>1246652.07</v>
      </c>
      <c r="L9" s="3">
        <v>279380.32</v>
      </c>
      <c r="M9" s="3"/>
      <c r="N9" s="3">
        <v>70618.699999996694</v>
      </c>
      <c r="O9" s="3">
        <v>-1647043.0800000033</v>
      </c>
      <c r="P9" s="3">
        <v>1714574.26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144"/>
  <sheetViews>
    <sheetView tabSelected="1" topLeftCell="B1" workbookViewId="0">
      <selection activeCell="B3" sqref="B3"/>
    </sheetView>
  </sheetViews>
  <sheetFormatPr defaultRowHeight="15" x14ac:dyDescent="0.25"/>
  <cols>
    <col min="1" max="1" width="9.140625" style="5"/>
    <col min="2" max="2" width="26.140625" style="5" customWidth="1"/>
    <col min="3" max="3" width="14" style="5" customWidth="1"/>
    <col min="4" max="4" width="86.28515625" style="5" customWidth="1"/>
    <col min="5" max="5" width="20.28515625" style="5" customWidth="1"/>
    <col min="6" max="8" width="11.7109375" style="5" customWidth="1"/>
    <col min="9" max="10" width="10.85546875" style="5" customWidth="1"/>
    <col min="11" max="16384" width="9.140625" style="5"/>
  </cols>
  <sheetData>
    <row r="1" spans="1:11" x14ac:dyDescent="0.25">
      <c r="A1" s="5" t="s">
        <v>906</v>
      </c>
      <c r="B1" s="5" t="s">
        <v>907</v>
      </c>
      <c r="C1" s="5" t="s">
        <v>6</v>
      </c>
      <c r="D1" s="5" t="s">
        <v>0</v>
      </c>
      <c r="E1" s="5" t="s">
        <v>905</v>
      </c>
      <c r="F1" s="5" t="s">
        <v>901</v>
      </c>
      <c r="G1" s="5" t="s">
        <v>902</v>
      </c>
      <c r="H1" s="5" t="s">
        <v>903</v>
      </c>
      <c r="I1" s="5" t="s">
        <v>7</v>
      </c>
      <c r="J1" s="5" t="s">
        <v>904</v>
      </c>
      <c r="K1" s="5" t="s">
        <v>8</v>
      </c>
    </row>
    <row r="2" spans="1:11" x14ac:dyDescent="0.25">
      <c r="A2" s="5">
        <f>YEAR(C2)</f>
        <v>2025</v>
      </c>
      <c r="B2" s="5">
        <f>MONTH(C2)</f>
        <v>1</v>
      </c>
      <c r="C2" s="6">
        <v>45659</v>
      </c>
      <c r="D2" s="5" t="s">
        <v>818</v>
      </c>
      <c r="E2" s="5" t="s">
        <v>902</v>
      </c>
      <c r="G2" s="5">
        <v>-78184.95</v>
      </c>
      <c r="H2" s="5">
        <f>(-1*G2)</f>
        <v>78184.95</v>
      </c>
      <c r="I2" s="5">
        <v>-78184.95</v>
      </c>
      <c r="J2" s="5">
        <f>(F2+H2)</f>
        <v>78184.95</v>
      </c>
      <c r="K2" s="5">
        <v>65620.56</v>
      </c>
    </row>
    <row r="3" spans="1:11" x14ac:dyDescent="0.25">
      <c r="A3" s="5">
        <f t="shared" ref="A3:A66" si="0">YEAR(C3)</f>
        <v>2024</v>
      </c>
      <c r="B3" s="5">
        <f t="shared" ref="B3:B66" si="1">MONTH(C3)</f>
        <v>10</v>
      </c>
      <c r="C3" s="6">
        <v>45569</v>
      </c>
      <c r="D3" s="5" t="s">
        <v>648</v>
      </c>
      <c r="E3" s="5" t="s">
        <v>902</v>
      </c>
      <c r="G3" s="5">
        <v>-37537.53</v>
      </c>
      <c r="H3" s="5">
        <f t="shared" ref="H3:H66" si="2">(-1*G3)</f>
        <v>37537.53</v>
      </c>
      <c r="I3" s="5">
        <v>-37537.53</v>
      </c>
      <c r="J3" s="5">
        <f t="shared" ref="J3:J66" si="3">(F3+H3)</f>
        <v>37537.53</v>
      </c>
      <c r="K3" s="5">
        <v>49970.64</v>
      </c>
    </row>
    <row r="4" spans="1:11" x14ac:dyDescent="0.25">
      <c r="A4" s="5">
        <f t="shared" si="0"/>
        <v>2024</v>
      </c>
      <c r="B4" s="5">
        <f t="shared" si="1"/>
        <v>12</v>
      </c>
      <c r="C4" s="6">
        <v>45653</v>
      </c>
      <c r="D4" s="5" t="s">
        <v>799</v>
      </c>
      <c r="E4" s="5" t="s">
        <v>902</v>
      </c>
      <c r="G4" s="5">
        <v>-36469.589999999997</v>
      </c>
      <c r="H4" s="5">
        <f t="shared" si="2"/>
        <v>36469.589999999997</v>
      </c>
      <c r="I4" s="5">
        <v>-36469.589999999997</v>
      </c>
      <c r="J4" s="5">
        <f t="shared" si="3"/>
        <v>36469.589999999997</v>
      </c>
      <c r="K4" s="5">
        <v>99530.46</v>
      </c>
    </row>
    <row r="5" spans="1:11" x14ac:dyDescent="0.25">
      <c r="A5" s="5">
        <f t="shared" si="0"/>
        <v>2024</v>
      </c>
      <c r="B5" s="5">
        <f t="shared" si="1"/>
        <v>12</v>
      </c>
      <c r="C5" s="6">
        <v>45642</v>
      </c>
      <c r="D5" s="5" t="s">
        <v>792</v>
      </c>
      <c r="E5" s="5" t="s">
        <v>902</v>
      </c>
      <c r="G5" s="5">
        <v>-30177.42</v>
      </c>
      <c r="H5" s="5">
        <f t="shared" si="2"/>
        <v>30177.42</v>
      </c>
      <c r="I5" s="5">
        <v>-30177.42</v>
      </c>
      <c r="J5" s="5">
        <f t="shared" si="3"/>
        <v>30177.42</v>
      </c>
      <c r="K5" s="5">
        <v>40686.15</v>
      </c>
    </row>
    <row r="6" spans="1:11" x14ac:dyDescent="0.25">
      <c r="A6" s="5">
        <f t="shared" si="0"/>
        <v>2025</v>
      </c>
      <c r="B6" s="5">
        <f t="shared" si="1"/>
        <v>2</v>
      </c>
      <c r="C6" s="6">
        <v>45695</v>
      </c>
      <c r="D6" s="5" t="s">
        <v>859</v>
      </c>
      <c r="E6" s="5" t="s">
        <v>902</v>
      </c>
      <c r="G6" s="5">
        <v>-26101.68</v>
      </c>
      <c r="H6" s="5">
        <f t="shared" si="2"/>
        <v>26101.68</v>
      </c>
      <c r="I6" s="5">
        <v>-26101.68</v>
      </c>
      <c r="J6" s="5">
        <f t="shared" si="3"/>
        <v>26101.68</v>
      </c>
      <c r="K6" s="5">
        <v>47257.67</v>
      </c>
    </row>
    <row r="7" spans="1:11" x14ac:dyDescent="0.25">
      <c r="A7" s="5">
        <f t="shared" si="0"/>
        <v>2024</v>
      </c>
      <c r="B7" s="5">
        <f t="shared" si="1"/>
        <v>8</v>
      </c>
      <c r="C7" s="6">
        <v>45512</v>
      </c>
      <c r="D7" s="5" t="s">
        <v>500</v>
      </c>
      <c r="E7" s="5" t="s">
        <v>902</v>
      </c>
      <c r="G7" s="5">
        <v>-25818.32</v>
      </c>
      <c r="H7" s="5">
        <f t="shared" si="2"/>
        <v>25818.32</v>
      </c>
      <c r="I7" s="5">
        <v>-25818.32</v>
      </c>
      <c r="J7" s="5">
        <f t="shared" si="3"/>
        <v>25818.32</v>
      </c>
      <c r="K7" s="5">
        <v>15427.69</v>
      </c>
    </row>
    <row r="8" spans="1:11" x14ac:dyDescent="0.25">
      <c r="A8" s="5">
        <f t="shared" si="0"/>
        <v>2025</v>
      </c>
      <c r="B8" s="5">
        <f t="shared" si="1"/>
        <v>1</v>
      </c>
      <c r="C8" s="6">
        <v>45681</v>
      </c>
      <c r="D8" s="5" t="s">
        <v>843</v>
      </c>
      <c r="E8" s="5" t="s">
        <v>902</v>
      </c>
      <c r="G8" s="5">
        <v>-25780.19</v>
      </c>
      <c r="H8" s="5">
        <f t="shared" si="2"/>
        <v>25780.19</v>
      </c>
      <c r="I8" s="5">
        <v>-25780.19</v>
      </c>
      <c r="J8" s="5">
        <f t="shared" si="3"/>
        <v>25780.19</v>
      </c>
      <c r="K8" s="5">
        <v>52609.2</v>
      </c>
    </row>
    <row r="9" spans="1:11" x14ac:dyDescent="0.25">
      <c r="A9" s="5">
        <f t="shared" si="0"/>
        <v>2024</v>
      </c>
      <c r="B9" s="5">
        <f t="shared" si="1"/>
        <v>11</v>
      </c>
      <c r="C9" s="6">
        <v>45597</v>
      </c>
      <c r="D9" s="5" t="s">
        <v>711</v>
      </c>
      <c r="E9" s="5" t="s">
        <v>902</v>
      </c>
      <c r="G9" s="5">
        <v>-25735.39</v>
      </c>
      <c r="H9" s="5">
        <f t="shared" si="2"/>
        <v>25735.39</v>
      </c>
      <c r="I9" s="5">
        <v>-25735.39</v>
      </c>
      <c r="J9" s="5">
        <f t="shared" si="3"/>
        <v>25735.39</v>
      </c>
      <c r="K9" s="5">
        <v>36377.61</v>
      </c>
    </row>
    <row r="10" spans="1:11" x14ac:dyDescent="0.25">
      <c r="A10" s="5">
        <f t="shared" si="0"/>
        <v>2024</v>
      </c>
      <c r="B10" s="5">
        <f t="shared" si="1"/>
        <v>10</v>
      </c>
      <c r="C10" s="6">
        <v>45583</v>
      </c>
      <c r="D10" s="5" t="s">
        <v>680</v>
      </c>
      <c r="E10" s="5" t="s">
        <v>902</v>
      </c>
      <c r="G10" s="5">
        <v>-25446.04</v>
      </c>
      <c r="H10" s="5">
        <f t="shared" si="2"/>
        <v>25446.04</v>
      </c>
      <c r="I10" s="5">
        <v>-25446.04</v>
      </c>
      <c r="J10" s="5">
        <f t="shared" si="3"/>
        <v>25446.04</v>
      </c>
      <c r="K10" s="5">
        <v>70987.600000000006</v>
      </c>
    </row>
    <row r="11" spans="1:11" x14ac:dyDescent="0.25">
      <c r="A11" s="5">
        <f t="shared" si="0"/>
        <v>2024</v>
      </c>
      <c r="B11" s="5">
        <f t="shared" si="1"/>
        <v>8</v>
      </c>
      <c r="C11" s="6">
        <v>45527</v>
      </c>
      <c r="D11" s="5" t="s">
        <v>526</v>
      </c>
      <c r="E11" s="5" t="s">
        <v>902</v>
      </c>
      <c r="G11" s="5">
        <v>-24937.71</v>
      </c>
      <c r="H11" s="5">
        <f t="shared" si="2"/>
        <v>24937.71</v>
      </c>
      <c r="I11" s="5">
        <v>-24937.71</v>
      </c>
      <c r="J11" s="5">
        <f t="shared" si="3"/>
        <v>24937.71</v>
      </c>
      <c r="K11" s="5">
        <v>30664.52</v>
      </c>
    </row>
    <row r="12" spans="1:11" x14ac:dyDescent="0.25">
      <c r="A12" s="5">
        <f t="shared" si="0"/>
        <v>2024</v>
      </c>
      <c r="B12" s="5">
        <f t="shared" si="1"/>
        <v>8</v>
      </c>
      <c r="C12" s="6">
        <v>45526</v>
      </c>
      <c r="D12" s="5" t="s">
        <v>523</v>
      </c>
      <c r="E12" s="5" t="s">
        <v>902</v>
      </c>
      <c r="G12" s="5">
        <v>-24000</v>
      </c>
      <c r="H12" s="5">
        <f t="shared" si="2"/>
        <v>24000</v>
      </c>
      <c r="I12" s="5">
        <v>-24000</v>
      </c>
      <c r="J12" s="5">
        <f t="shared" si="3"/>
        <v>24000</v>
      </c>
      <c r="K12" s="5">
        <v>54299.15</v>
      </c>
    </row>
    <row r="13" spans="1:11" x14ac:dyDescent="0.25">
      <c r="A13" s="5">
        <f t="shared" si="0"/>
        <v>2024</v>
      </c>
      <c r="B13" s="5">
        <f t="shared" si="1"/>
        <v>9</v>
      </c>
      <c r="C13" s="6">
        <v>45541</v>
      </c>
      <c r="D13" s="5" t="s">
        <v>570</v>
      </c>
      <c r="E13" s="5" t="s">
        <v>902</v>
      </c>
      <c r="G13" s="5">
        <v>-23601.119999999999</v>
      </c>
      <c r="H13" s="5">
        <f t="shared" si="2"/>
        <v>23601.119999999999</v>
      </c>
      <c r="I13" s="5">
        <v>-23601.119999999999</v>
      </c>
      <c r="J13" s="5">
        <f t="shared" si="3"/>
        <v>23601.119999999999</v>
      </c>
      <c r="K13" s="5">
        <v>54895.83</v>
      </c>
    </row>
    <row r="14" spans="1:11" x14ac:dyDescent="0.25">
      <c r="A14" s="5">
        <f t="shared" si="0"/>
        <v>2024</v>
      </c>
      <c r="B14" s="5">
        <f t="shared" si="1"/>
        <v>9</v>
      </c>
      <c r="C14" s="6">
        <v>45555</v>
      </c>
      <c r="D14" s="5" t="s">
        <v>604</v>
      </c>
      <c r="E14" s="5" t="s">
        <v>902</v>
      </c>
      <c r="G14" s="5">
        <v>-21641.34</v>
      </c>
      <c r="H14" s="5">
        <f t="shared" si="2"/>
        <v>21641.34</v>
      </c>
      <c r="I14" s="5">
        <v>-21641.34</v>
      </c>
      <c r="J14" s="5">
        <f t="shared" si="3"/>
        <v>21641.34</v>
      </c>
      <c r="K14" s="5">
        <v>61130.12</v>
      </c>
    </row>
    <row r="15" spans="1:11" x14ac:dyDescent="0.25">
      <c r="A15" s="5">
        <f t="shared" si="0"/>
        <v>2024</v>
      </c>
      <c r="B15" s="5">
        <f t="shared" si="1"/>
        <v>11</v>
      </c>
      <c r="C15" s="6">
        <v>45611</v>
      </c>
      <c r="D15" s="5" t="s">
        <v>740</v>
      </c>
      <c r="E15" s="5" t="s">
        <v>902</v>
      </c>
      <c r="G15" s="5">
        <v>-21640.71</v>
      </c>
      <c r="H15" s="5">
        <f t="shared" si="2"/>
        <v>21640.71</v>
      </c>
      <c r="I15" s="5">
        <v>-21640.71</v>
      </c>
      <c r="J15" s="5">
        <f t="shared" si="3"/>
        <v>21640.71</v>
      </c>
      <c r="K15" s="5">
        <v>11168.3</v>
      </c>
    </row>
    <row r="16" spans="1:11" x14ac:dyDescent="0.25">
      <c r="A16" s="5">
        <f t="shared" si="0"/>
        <v>2025</v>
      </c>
      <c r="B16" s="5">
        <f t="shared" si="1"/>
        <v>1</v>
      </c>
      <c r="C16" s="6">
        <v>45667</v>
      </c>
      <c r="D16" s="5" t="s">
        <v>832</v>
      </c>
      <c r="E16" s="5" t="s">
        <v>902</v>
      </c>
      <c r="G16" s="5">
        <v>-21486.77</v>
      </c>
      <c r="H16" s="5">
        <f t="shared" si="2"/>
        <v>21486.77</v>
      </c>
      <c r="I16" s="5">
        <v>-21486.77</v>
      </c>
      <c r="J16" s="5">
        <f t="shared" si="3"/>
        <v>21486.77</v>
      </c>
      <c r="K16" s="5">
        <v>41607.58</v>
      </c>
    </row>
    <row r="17" spans="1:11" x14ac:dyDescent="0.25">
      <c r="A17" s="5">
        <f t="shared" si="0"/>
        <v>2024</v>
      </c>
      <c r="B17" s="5">
        <f t="shared" si="1"/>
        <v>3</v>
      </c>
      <c r="C17" s="6">
        <v>45358</v>
      </c>
      <c r="D17" s="5" t="s">
        <v>213</v>
      </c>
      <c r="E17" s="5" t="s">
        <v>902</v>
      </c>
      <c r="G17" s="5">
        <v>-20656.77</v>
      </c>
      <c r="H17" s="5">
        <f t="shared" si="2"/>
        <v>20656.77</v>
      </c>
      <c r="I17" s="5">
        <v>-20656.77</v>
      </c>
      <c r="J17" s="5">
        <f t="shared" si="3"/>
        <v>20656.77</v>
      </c>
      <c r="K17" s="5">
        <v>26079</v>
      </c>
    </row>
    <row r="18" spans="1:11" x14ac:dyDescent="0.25">
      <c r="A18" s="5">
        <f t="shared" si="0"/>
        <v>2024</v>
      </c>
      <c r="B18" s="5">
        <f t="shared" si="1"/>
        <v>4</v>
      </c>
      <c r="C18" s="6">
        <v>45399</v>
      </c>
      <c r="D18" s="5" t="s">
        <v>282</v>
      </c>
      <c r="E18" s="5" t="s">
        <v>902</v>
      </c>
      <c r="G18" s="5">
        <v>-20000</v>
      </c>
      <c r="H18" s="5">
        <f t="shared" si="2"/>
        <v>20000</v>
      </c>
      <c r="I18" s="5">
        <v>-20000</v>
      </c>
      <c r="J18" s="5">
        <f t="shared" si="3"/>
        <v>20000</v>
      </c>
      <c r="K18" s="5">
        <v>27172.76</v>
      </c>
    </row>
    <row r="19" spans="1:11" x14ac:dyDescent="0.25">
      <c r="A19" s="5">
        <f t="shared" si="0"/>
        <v>2025</v>
      </c>
      <c r="B19" s="5">
        <f t="shared" si="1"/>
        <v>1</v>
      </c>
      <c r="C19" s="6">
        <v>45663</v>
      </c>
      <c r="D19" s="5" t="s">
        <v>825</v>
      </c>
      <c r="E19" s="5" t="s">
        <v>902</v>
      </c>
      <c r="G19" s="5">
        <v>-20000</v>
      </c>
      <c r="H19" s="5">
        <f t="shared" si="2"/>
        <v>20000</v>
      </c>
      <c r="I19" s="5">
        <v>-20000</v>
      </c>
      <c r="J19" s="5">
        <f t="shared" si="3"/>
        <v>20000</v>
      </c>
      <c r="K19" s="5">
        <v>86789.36</v>
      </c>
    </row>
    <row r="20" spans="1:11" x14ac:dyDescent="0.25">
      <c r="A20" s="5">
        <f t="shared" si="0"/>
        <v>2025</v>
      </c>
      <c r="B20" s="5">
        <f t="shared" si="1"/>
        <v>2</v>
      </c>
      <c r="C20" s="6">
        <v>45709</v>
      </c>
      <c r="D20" s="5" t="s">
        <v>879</v>
      </c>
      <c r="E20" s="5" t="s">
        <v>902</v>
      </c>
      <c r="G20" s="5">
        <v>-19855.04</v>
      </c>
      <c r="H20" s="5">
        <f t="shared" si="2"/>
        <v>19855.04</v>
      </c>
      <c r="I20" s="5">
        <v>-19855.04</v>
      </c>
      <c r="J20" s="5">
        <f t="shared" si="3"/>
        <v>19855.04</v>
      </c>
      <c r="K20" s="5">
        <v>44403.07</v>
      </c>
    </row>
    <row r="21" spans="1:11" x14ac:dyDescent="0.25">
      <c r="A21" s="5">
        <f t="shared" si="0"/>
        <v>2024</v>
      </c>
      <c r="B21" s="5">
        <f t="shared" si="1"/>
        <v>7</v>
      </c>
      <c r="C21" s="6">
        <v>45498</v>
      </c>
      <c r="D21" s="5" t="s">
        <v>461</v>
      </c>
      <c r="E21" s="5" t="s">
        <v>902</v>
      </c>
      <c r="G21" s="5">
        <v>-19269.150000000001</v>
      </c>
      <c r="H21" s="5">
        <f t="shared" si="2"/>
        <v>19269.150000000001</v>
      </c>
      <c r="I21" s="5">
        <v>-19269.150000000001</v>
      </c>
      <c r="J21" s="5">
        <f t="shared" si="3"/>
        <v>19269.150000000001</v>
      </c>
      <c r="K21" s="5">
        <v>25397.78</v>
      </c>
    </row>
    <row r="22" spans="1:11" x14ac:dyDescent="0.25">
      <c r="A22" s="5">
        <f t="shared" si="0"/>
        <v>2024</v>
      </c>
      <c r="B22" s="5">
        <f t="shared" si="1"/>
        <v>5</v>
      </c>
      <c r="C22" s="6">
        <v>45443</v>
      </c>
      <c r="D22" s="5" t="s">
        <v>359</v>
      </c>
      <c r="E22" s="5" t="s">
        <v>902</v>
      </c>
      <c r="G22" s="5">
        <v>-18944.400000000001</v>
      </c>
      <c r="H22" s="5">
        <f t="shared" si="2"/>
        <v>18944.400000000001</v>
      </c>
      <c r="I22" s="5">
        <v>-18944.400000000001</v>
      </c>
      <c r="J22" s="5">
        <f t="shared" si="3"/>
        <v>18944.400000000001</v>
      </c>
      <c r="K22" s="5">
        <v>14819.88</v>
      </c>
    </row>
    <row r="23" spans="1:11" x14ac:dyDescent="0.25">
      <c r="A23" s="5">
        <f t="shared" si="0"/>
        <v>2024</v>
      </c>
      <c r="B23" s="5">
        <f t="shared" si="1"/>
        <v>6</v>
      </c>
      <c r="C23" s="6">
        <v>45456</v>
      </c>
      <c r="D23" s="5" t="s">
        <v>380</v>
      </c>
      <c r="E23" s="5" t="s">
        <v>902</v>
      </c>
      <c r="G23" s="5">
        <v>-18897.11</v>
      </c>
      <c r="H23" s="5">
        <f t="shared" si="2"/>
        <v>18897.11</v>
      </c>
      <c r="I23" s="5">
        <v>-18897.11</v>
      </c>
      <c r="J23" s="5">
        <f t="shared" si="3"/>
        <v>18897.11</v>
      </c>
      <c r="K23" s="5">
        <v>24498.15</v>
      </c>
    </row>
    <row r="24" spans="1:11" x14ac:dyDescent="0.25">
      <c r="A24" s="5">
        <f t="shared" si="0"/>
        <v>2024</v>
      </c>
      <c r="B24" s="5">
        <f t="shared" si="1"/>
        <v>3</v>
      </c>
      <c r="C24" s="6">
        <v>45372</v>
      </c>
      <c r="D24" s="5" t="s">
        <v>238</v>
      </c>
      <c r="E24" s="5" t="s">
        <v>902</v>
      </c>
      <c r="G24" s="5">
        <v>-18760.060000000001</v>
      </c>
      <c r="H24" s="5">
        <f t="shared" si="2"/>
        <v>18760.060000000001</v>
      </c>
      <c r="I24" s="5">
        <v>-18760.060000000001</v>
      </c>
      <c r="J24" s="5">
        <f t="shared" si="3"/>
        <v>18760.060000000001</v>
      </c>
      <c r="K24" s="5">
        <v>8648.33</v>
      </c>
    </row>
    <row r="25" spans="1:11" x14ac:dyDescent="0.25">
      <c r="A25" s="5">
        <f t="shared" si="0"/>
        <v>2024</v>
      </c>
      <c r="B25" s="5">
        <f t="shared" si="1"/>
        <v>5</v>
      </c>
      <c r="C25" s="6">
        <v>45415</v>
      </c>
      <c r="D25" s="5" t="s">
        <v>316</v>
      </c>
      <c r="E25" s="5" t="s">
        <v>902</v>
      </c>
      <c r="G25" s="5">
        <v>-18575.29</v>
      </c>
      <c r="H25" s="5">
        <f t="shared" si="2"/>
        <v>18575.29</v>
      </c>
      <c r="I25" s="5">
        <v>-18575.29</v>
      </c>
      <c r="J25" s="5">
        <f t="shared" si="3"/>
        <v>18575.29</v>
      </c>
      <c r="K25" s="5">
        <v>8659.07</v>
      </c>
    </row>
    <row r="26" spans="1:11" x14ac:dyDescent="0.25">
      <c r="A26" s="5">
        <f t="shared" si="0"/>
        <v>2024</v>
      </c>
      <c r="B26" s="5">
        <f t="shared" si="1"/>
        <v>4</v>
      </c>
      <c r="C26" s="6">
        <v>45387</v>
      </c>
      <c r="D26" s="5" t="s">
        <v>268</v>
      </c>
      <c r="E26" s="5" t="s">
        <v>902</v>
      </c>
      <c r="G26" s="5">
        <v>-18562.080000000002</v>
      </c>
      <c r="H26" s="5">
        <f t="shared" si="2"/>
        <v>18562.080000000002</v>
      </c>
      <c r="I26" s="5">
        <v>-18562.080000000002</v>
      </c>
      <c r="J26" s="5">
        <f t="shared" si="3"/>
        <v>18562.080000000002</v>
      </c>
      <c r="K26" s="5">
        <v>15831.17</v>
      </c>
    </row>
    <row r="27" spans="1:11" x14ac:dyDescent="0.25">
      <c r="A27" s="5">
        <f t="shared" si="0"/>
        <v>2024</v>
      </c>
      <c r="B27" s="5">
        <f t="shared" si="1"/>
        <v>12</v>
      </c>
      <c r="C27" s="6">
        <v>45639</v>
      </c>
      <c r="D27" s="5" t="s">
        <v>786</v>
      </c>
      <c r="E27" s="5" t="s">
        <v>902</v>
      </c>
      <c r="G27" s="5">
        <v>-18514.95</v>
      </c>
      <c r="H27" s="5">
        <f t="shared" si="2"/>
        <v>18514.95</v>
      </c>
      <c r="I27" s="5">
        <v>-18514.95</v>
      </c>
      <c r="J27" s="5">
        <f t="shared" si="3"/>
        <v>18514.95</v>
      </c>
      <c r="K27" s="5">
        <v>6458.8</v>
      </c>
    </row>
    <row r="28" spans="1:11" x14ac:dyDescent="0.25">
      <c r="A28" s="5">
        <f t="shared" si="0"/>
        <v>2024</v>
      </c>
      <c r="B28" s="5">
        <f t="shared" si="1"/>
        <v>7</v>
      </c>
      <c r="C28" s="6">
        <v>45485</v>
      </c>
      <c r="D28" s="5" t="s">
        <v>434</v>
      </c>
      <c r="E28" s="5" t="s">
        <v>902</v>
      </c>
      <c r="G28" s="5">
        <v>-18433.349999999999</v>
      </c>
      <c r="H28" s="5">
        <f t="shared" si="2"/>
        <v>18433.349999999999</v>
      </c>
      <c r="I28" s="5">
        <v>-18433.349999999999</v>
      </c>
      <c r="J28" s="5">
        <f t="shared" si="3"/>
        <v>18433.349999999999</v>
      </c>
      <c r="K28" s="5">
        <v>63043.839999999997</v>
      </c>
    </row>
    <row r="29" spans="1:11" x14ac:dyDescent="0.25">
      <c r="A29" s="5">
        <f t="shared" si="0"/>
        <v>2024</v>
      </c>
      <c r="B29" s="5">
        <f t="shared" si="1"/>
        <v>6</v>
      </c>
      <c r="C29" s="6">
        <v>45470</v>
      </c>
      <c r="D29" s="5" t="s">
        <v>404</v>
      </c>
      <c r="E29" s="5" t="s">
        <v>902</v>
      </c>
      <c r="G29" s="5">
        <v>-18358</v>
      </c>
      <c r="H29" s="5">
        <f t="shared" si="2"/>
        <v>18358</v>
      </c>
      <c r="I29" s="5">
        <v>-18358</v>
      </c>
      <c r="J29" s="5">
        <f t="shared" si="3"/>
        <v>18358</v>
      </c>
      <c r="K29" s="5">
        <v>60050.36</v>
      </c>
    </row>
    <row r="30" spans="1:11" x14ac:dyDescent="0.25">
      <c r="A30" s="5">
        <f t="shared" si="0"/>
        <v>2024</v>
      </c>
      <c r="B30" s="5">
        <f t="shared" si="1"/>
        <v>4</v>
      </c>
      <c r="C30" s="6">
        <v>45400</v>
      </c>
      <c r="D30" s="5" t="s">
        <v>285</v>
      </c>
      <c r="E30" s="5" t="s">
        <v>902</v>
      </c>
      <c r="G30" s="5">
        <v>-18207.28</v>
      </c>
      <c r="H30" s="5">
        <f t="shared" si="2"/>
        <v>18207.28</v>
      </c>
      <c r="I30" s="5">
        <v>-18207.28</v>
      </c>
      <c r="J30" s="5">
        <f t="shared" si="3"/>
        <v>18207.28</v>
      </c>
      <c r="K30" s="5">
        <v>8905.43</v>
      </c>
    </row>
    <row r="31" spans="1:11" x14ac:dyDescent="0.25">
      <c r="A31" s="5">
        <f t="shared" si="0"/>
        <v>2024</v>
      </c>
      <c r="B31" s="5">
        <f t="shared" si="1"/>
        <v>5</v>
      </c>
      <c r="C31" s="6">
        <v>45429</v>
      </c>
      <c r="D31" s="5" t="s">
        <v>338</v>
      </c>
      <c r="E31" s="5" t="s">
        <v>902</v>
      </c>
      <c r="G31" s="5">
        <v>-17952.7</v>
      </c>
      <c r="H31" s="5">
        <f t="shared" si="2"/>
        <v>17952.7</v>
      </c>
      <c r="I31" s="5">
        <v>-17952.7</v>
      </c>
      <c r="J31" s="5">
        <f t="shared" si="3"/>
        <v>17952.7</v>
      </c>
      <c r="K31" s="5">
        <v>12467.84</v>
      </c>
    </row>
    <row r="32" spans="1:11" x14ac:dyDescent="0.25">
      <c r="A32" s="5">
        <f t="shared" si="0"/>
        <v>2025</v>
      </c>
      <c r="B32" s="5">
        <f t="shared" si="1"/>
        <v>1</v>
      </c>
      <c r="C32" s="6">
        <v>45666</v>
      </c>
      <c r="D32" s="5" t="s">
        <v>831</v>
      </c>
      <c r="E32" s="5" t="s">
        <v>902</v>
      </c>
      <c r="G32" s="5">
        <v>-17549.900000000001</v>
      </c>
      <c r="H32" s="5">
        <f t="shared" si="2"/>
        <v>17549.900000000001</v>
      </c>
      <c r="I32" s="5">
        <v>-17549.900000000001</v>
      </c>
      <c r="J32" s="5">
        <f t="shared" si="3"/>
        <v>17549.900000000001</v>
      </c>
      <c r="K32" s="5">
        <v>59954.73</v>
      </c>
    </row>
    <row r="33" spans="1:11" x14ac:dyDescent="0.25">
      <c r="A33" s="5">
        <f t="shared" si="0"/>
        <v>2024</v>
      </c>
      <c r="B33" s="5">
        <f t="shared" si="1"/>
        <v>11</v>
      </c>
      <c r="C33" s="6">
        <v>45608</v>
      </c>
      <c r="D33" s="5" t="s">
        <v>734</v>
      </c>
      <c r="E33" s="5" t="s">
        <v>902</v>
      </c>
      <c r="G33" s="5">
        <v>-17048.75</v>
      </c>
      <c r="H33" s="5">
        <f t="shared" si="2"/>
        <v>17048.75</v>
      </c>
      <c r="I33" s="5">
        <v>-17048.75</v>
      </c>
      <c r="J33" s="5">
        <f t="shared" si="3"/>
        <v>17048.75</v>
      </c>
      <c r="K33" s="5">
        <v>32707.87</v>
      </c>
    </row>
    <row r="34" spans="1:11" x14ac:dyDescent="0.25">
      <c r="A34" s="5">
        <f t="shared" si="0"/>
        <v>2023</v>
      </c>
      <c r="B34" s="5">
        <f t="shared" si="1"/>
        <v>12</v>
      </c>
      <c r="C34" s="6">
        <v>45288</v>
      </c>
      <c r="D34" s="5" t="s">
        <v>112</v>
      </c>
      <c r="E34" s="5" t="s">
        <v>902</v>
      </c>
      <c r="G34" s="5">
        <v>-15000</v>
      </c>
      <c r="H34" s="5">
        <f t="shared" si="2"/>
        <v>15000</v>
      </c>
      <c r="I34" s="5">
        <v>-15000</v>
      </c>
      <c r="J34" s="5">
        <f t="shared" si="3"/>
        <v>15000</v>
      </c>
      <c r="K34" s="5">
        <v>47324.81</v>
      </c>
    </row>
    <row r="35" spans="1:11" x14ac:dyDescent="0.25">
      <c r="A35" s="5">
        <f t="shared" si="0"/>
        <v>2024</v>
      </c>
      <c r="B35" s="5">
        <f t="shared" si="1"/>
        <v>1</v>
      </c>
      <c r="C35" s="6">
        <v>45301</v>
      </c>
      <c r="D35" s="5" t="s">
        <v>132</v>
      </c>
      <c r="E35" s="5" t="s">
        <v>902</v>
      </c>
      <c r="G35" s="5">
        <v>-15000</v>
      </c>
      <c r="H35" s="5">
        <f t="shared" si="2"/>
        <v>15000</v>
      </c>
      <c r="I35" s="5">
        <v>-15000</v>
      </c>
      <c r="J35" s="5">
        <f t="shared" si="3"/>
        <v>15000</v>
      </c>
      <c r="K35" s="5">
        <v>32090.37</v>
      </c>
    </row>
    <row r="36" spans="1:11" x14ac:dyDescent="0.25">
      <c r="A36" s="5">
        <f t="shared" si="0"/>
        <v>2025</v>
      </c>
      <c r="B36" s="5">
        <f t="shared" si="1"/>
        <v>1</v>
      </c>
      <c r="C36" s="6">
        <v>45686</v>
      </c>
      <c r="D36" s="5" t="s">
        <v>850</v>
      </c>
      <c r="E36" s="5" t="s">
        <v>902</v>
      </c>
      <c r="G36" s="5">
        <v>-15000</v>
      </c>
      <c r="H36" s="5">
        <f t="shared" si="2"/>
        <v>15000</v>
      </c>
      <c r="I36" s="5">
        <v>-15000</v>
      </c>
      <c r="J36" s="5">
        <f t="shared" si="3"/>
        <v>15000</v>
      </c>
      <c r="K36" s="5">
        <v>40824.35</v>
      </c>
    </row>
    <row r="37" spans="1:11" x14ac:dyDescent="0.25">
      <c r="A37" s="5">
        <f t="shared" si="0"/>
        <v>2024</v>
      </c>
      <c r="B37" s="5">
        <f t="shared" si="1"/>
        <v>12</v>
      </c>
      <c r="C37" s="6">
        <v>45656</v>
      </c>
      <c r="D37" s="5" t="s">
        <v>803</v>
      </c>
      <c r="E37" s="5" t="s">
        <v>902</v>
      </c>
      <c r="G37" s="5">
        <v>-14000</v>
      </c>
      <c r="H37" s="5">
        <f t="shared" si="2"/>
        <v>14000</v>
      </c>
      <c r="I37" s="5">
        <v>-14000</v>
      </c>
      <c r="J37" s="5">
        <f t="shared" si="3"/>
        <v>14000</v>
      </c>
      <c r="K37" s="5">
        <v>144382.10999999999</v>
      </c>
    </row>
    <row r="38" spans="1:11" x14ac:dyDescent="0.25">
      <c r="A38" s="5">
        <f t="shared" si="0"/>
        <v>2024</v>
      </c>
      <c r="B38" s="5">
        <f t="shared" si="1"/>
        <v>11</v>
      </c>
      <c r="C38" s="6">
        <v>45625</v>
      </c>
      <c r="D38" s="5" t="s">
        <v>763</v>
      </c>
      <c r="E38" s="5" t="s">
        <v>902</v>
      </c>
      <c r="G38" s="5">
        <v>-13244.44</v>
      </c>
      <c r="H38" s="5">
        <f t="shared" si="2"/>
        <v>13244.44</v>
      </c>
      <c r="I38" s="5">
        <v>-13244.44</v>
      </c>
      <c r="J38" s="5">
        <f t="shared" si="3"/>
        <v>13244.44</v>
      </c>
      <c r="K38" s="5">
        <v>6347.14</v>
      </c>
    </row>
    <row r="39" spans="1:11" x14ac:dyDescent="0.25">
      <c r="A39" s="5">
        <f t="shared" si="0"/>
        <v>2024</v>
      </c>
      <c r="B39" s="5">
        <f t="shared" si="1"/>
        <v>5</v>
      </c>
      <c r="C39" s="6">
        <v>45443</v>
      </c>
      <c r="D39" s="5" t="s">
        <v>358</v>
      </c>
      <c r="E39" s="5" t="s">
        <v>902</v>
      </c>
      <c r="G39" s="5">
        <v>-11588.83</v>
      </c>
      <c r="H39" s="5">
        <f t="shared" si="2"/>
        <v>11588.83</v>
      </c>
      <c r="I39" s="5">
        <v>-11588.83</v>
      </c>
      <c r="J39" s="5">
        <f t="shared" si="3"/>
        <v>11588.83</v>
      </c>
      <c r="K39" s="5">
        <v>33764.28</v>
      </c>
    </row>
    <row r="40" spans="1:11" x14ac:dyDescent="0.25">
      <c r="A40" s="5">
        <f t="shared" si="0"/>
        <v>2024</v>
      </c>
      <c r="B40" s="5">
        <f t="shared" si="1"/>
        <v>8</v>
      </c>
      <c r="C40" s="6">
        <v>45533</v>
      </c>
      <c r="D40" s="5" t="s">
        <v>544</v>
      </c>
      <c r="E40" s="5" t="s">
        <v>902</v>
      </c>
      <c r="G40" s="5">
        <v>-10780</v>
      </c>
      <c r="H40" s="5">
        <f t="shared" si="2"/>
        <v>10780</v>
      </c>
      <c r="I40" s="5">
        <v>-10780</v>
      </c>
      <c r="J40" s="5">
        <f t="shared" si="3"/>
        <v>10780</v>
      </c>
      <c r="K40" s="5">
        <v>32697.57</v>
      </c>
    </row>
    <row r="41" spans="1:11" x14ac:dyDescent="0.25">
      <c r="A41" s="5">
        <f t="shared" si="0"/>
        <v>2024</v>
      </c>
      <c r="B41" s="5">
        <f t="shared" si="1"/>
        <v>2</v>
      </c>
      <c r="C41" s="6">
        <v>45330</v>
      </c>
      <c r="D41" s="5" t="s">
        <v>179</v>
      </c>
      <c r="E41" s="5" t="s">
        <v>902</v>
      </c>
      <c r="G41" s="5">
        <v>-10482.81</v>
      </c>
      <c r="H41" s="5">
        <f t="shared" si="2"/>
        <v>10482.81</v>
      </c>
      <c r="I41" s="5">
        <v>-10482.81</v>
      </c>
      <c r="J41" s="5">
        <f t="shared" si="3"/>
        <v>10482.81</v>
      </c>
      <c r="K41" s="5">
        <v>23949.360000000001</v>
      </c>
    </row>
    <row r="42" spans="1:11" x14ac:dyDescent="0.25">
      <c r="A42" s="5">
        <f t="shared" si="0"/>
        <v>2024</v>
      </c>
      <c r="B42" s="5">
        <f t="shared" si="1"/>
        <v>2</v>
      </c>
      <c r="C42" s="6">
        <v>45344</v>
      </c>
      <c r="D42" s="5" t="s">
        <v>192</v>
      </c>
      <c r="E42" s="5" t="s">
        <v>902</v>
      </c>
      <c r="G42" s="5">
        <v>-10326.18</v>
      </c>
      <c r="H42" s="5">
        <f t="shared" si="2"/>
        <v>10326.18</v>
      </c>
      <c r="I42" s="5">
        <v>-10326.18</v>
      </c>
      <c r="J42" s="5">
        <f t="shared" si="3"/>
        <v>10326.18</v>
      </c>
      <c r="K42" s="5">
        <v>21523.29</v>
      </c>
    </row>
    <row r="43" spans="1:11" x14ac:dyDescent="0.25">
      <c r="A43" s="5">
        <f t="shared" si="0"/>
        <v>2024</v>
      </c>
      <c r="B43" s="5">
        <f t="shared" si="1"/>
        <v>7</v>
      </c>
      <c r="C43" s="6">
        <v>45489</v>
      </c>
      <c r="D43" s="5" t="s">
        <v>442</v>
      </c>
      <c r="E43" s="5" t="s">
        <v>902</v>
      </c>
      <c r="G43" s="5">
        <v>-10325.25</v>
      </c>
      <c r="H43" s="5">
        <f t="shared" si="2"/>
        <v>10325.25</v>
      </c>
      <c r="I43" s="5">
        <v>-10325.25</v>
      </c>
      <c r="J43" s="5">
        <f t="shared" si="3"/>
        <v>10325.25</v>
      </c>
      <c r="K43" s="5">
        <v>53208.44</v>
      </c>
    </row>
    <row r="44" spans="1:11" x14ac:dyDescent="0.25">
      <c r="A44" s="5">
        <f t="shared" si="0"/>
        <v>2024</v>
      </c>
      <c r="B44" s="5">
        <f t="shared" si="1"/>
        <v>1</v>
      </c>
      <c r="C44" s="6">
        <v>45316</v>
      </c>
      <c r="D44" s="5" t="s">
        <v>155</v>
      </c>
      <c r="E44" s="5" t="s">
        <v>902</v>
      </c>
      <c r="G44" s="5">
        <v>-10202.219999999999</v>
      </c>
      <c r="H44" s="5">
        <f t="shared" si="2"/>
        <v>10202.219999999999</v>
      </c>
      <c r="I44" s="5">
        <v>-10202.219999999999</v>
      </c>
      <c r="J44" s="5">
        <f t="shared" si="3"/>
        <v>10202.219999999999</v>
      </c>
      <c r="K44" s="5">
        <v>31111.79</v>
      </c>
    </row>
    <row r="45" spans="1:11" x14ac:dyDescent="0.25">
      <c r="A45" s="5">
        <f t="shared" si="0"/>
        <v>2025</v>
      </c>
      <c r="B45" s="5">
        <f t="shared" si="1"/>
        <v>1</v>
      </c>
      <c r="C45" s="6">
        <v>45672</v>
      </c>
      <c r="D45" s="5" t="s">
        <v>837</v>
      </c>
      <c r="E45" s="5" t="s">
        <v>902</v>
      </c>
      <c r="G45" s="5">
        <v>-10000</v>
      </c>
      <c r="H45" s="5">
        <f t="shared" si="2"/>
        <v>10000</v>
      </c>
      <c r="I45" s="5">
        <v>-10000</v>
      </c>
      <c r="J45" s="5">
        <f t="shared" si="3"/>
        <v>10000</v>
      </c>
      <c r="K45" s="5">
        <v>45868.61</v>
      </c>
    </row>
    <row r="46" spans="1:11" x14ac:dyDescent="0.25">
      <c r="A46" s="5">
        <f t="shared" si="0"/>
        <v>2023</v>
      </c>
      <c r="B46" s="5">
        <f t="shared" si="1"/>
        <v>12</v>
      </c>
      <c r="C46" s="6">
        <v>45261</v>
      </c>
      <c r="D46" s="5" t="s">
        <v>84</v>
      </c>
      <c r="E46" s="5" t="s">
        <v>902</v>
      </c>
      <c r="G46" s="5">
        <v>-9995.92</v>
      </c>
      <c r="H46" s="5">
        <f t="shared" si="2"/>
        <v>9995.92</v>
      </c>
      <c r="I46" s="5">
        <v>-9995.92</v>
      </c>
      <c r="J46" s="5">
        <f t="shared" si="3"/>
        <v>9995.92</v>
      </c>
      <c r="K46" s="5">
        <v>22662.21</v>
      </c>
    </row>
    <row r="47" spans="1:11" x14ac:dyDescent="0.25">
      <c r="A47" s="5">
        <f t="shared" si="0"/>
        <v>2023</v>
      </c>
      <c r="B47" s="5">
        <f t="shared" si="1"/>
        <v>12</v>
      </c>
      <c r="C47" s="6">
        <v>45288</v>
      </c>
      <c r="D47" s="5" t="s">
        <v>113</v>
      </c>
      <c r="E47" s="5" t="s">
        <v>902</v>
      </c>
      <c r="G47" s="5">
        <v>-9859.36</v>
      </c>
      <c r="H47" s="5">
        <f t="shared" si="2"/>
        <v>9859.36</v>
      </c>
      <c r="I47" s="5">
        <v>-9859.36</v>
      </c>
      <c r="J47" s="5">
        <f t="shared" si="3"/>
        <v>9859.36</v>
      </c>
      <c r="K47" s="5">
        <v>37465.449999999997</v>
      </c>
    </row>
    <row r="48" spans="1:11" x14ac:dyDescent="0.25">
      <c r="A48" s="5">
        <f t="shared" si="0"/>
        <v>2023</v>
      </c>
      <c r="B48" s="5">
        <f t="shared" si="1"/>
        <v>10</v>
      </c>
      <c r="C48" s="6">
        <v>45203</v>
      </c>
      <c r="D48" s="5" t="s">
        <v>31</v>
      </c>
      <c r="E48" s="5" t="s">
        <v>902</v>
      </c>
      <c r="G48" s="5">
        <v>-9637.02</v>
      </c>
      <c r="H48" s="5">
        <f t="shared" si="2"/>
        <v>9637.02</v>
      </c>
      <c r="I48" s="5">
        <v>-9637.02</v>
      </c>
      <c r="J48" s="5">
        <f t="shared" si="3"/>
        <v>9637.02</v>
      </c>
      <c r="K48" s="5">
        <v>13513.9</v>
      </c>
    </row>
    <row r="49" spans="1:11" x14ac:dyDescent="0.25">
      <c r="A49" s="5">
        <f t="shared" si="0"/>
        <v>2024</v>
      </c>
      <c r="B49" s="5">
        <f t="shared" si="1"/>
        <v>1</v>
      </c>
      <c r="C49" s="6">
        <v>45303</v>
      </c>
      <c r="D49" s="5" t="s">
        <v>139</v>
      </c>
      <c r="E49" s="5" t="s">
        <v>902</v>
      </c>
      <c r="G49" s="5">
        <v>-9448.3700000000008</v>
      </c>
      <c r="H49" s="5">
        <f t="shared" si="2"/>
        <v>9448.3700000000008</v>
      </c>
      <c r="I49" s="5">
        <v>-9448.3700000000008</v>
      </c>
      <c r="J49" s="5">
        <f t="shared" si="3"/>
        <v>9448.3700000000008</v>
      </c>
      <c r="K49" s="5">
        <v>24259.17</v>
      </c>
    </row>
    <row r="50" spans="1:11" x14ac:dyDescent="0.25">
      <c r="A50" s="5">
        <f t="shared" si="0"/>
        <v>2023</v>
      </c>
      <c r="B50" s="5">
        <f t="shared" si="1"/>
        <v>11</v>
      </c>
      <c r="C50" s="6">
        <v>45246</v>
      </c>
      <c r="D50" s="5" t="s">
        <v>70</v>
      </c>
      <c r="E50" s="5" t="s">
        <v>902</v>
      </c>
      <c r="G50" s="5">
        <v>-9391.5400000000009</v>
      </c>
      <c r="H50" s="5">
        <f t="shared" si="2"/>
        <v>9391.5400000000009</v>
      </c>
      <c r="I50" s="5">
        <v>-9391.5400000000009</v>
      </c>
      <c r="J50" s="5">
        <f t="shared" si="3"/>
        <v>9391.5400000000009</v>
      </c>
      <c r="K50" s="5">
        <v>28482.91</v>
      </c>
    </row>
    <row r="51" spans="1:11" x14ac:dyDescent="0.25">
      <c r="A51" s="5">
        <f t="shared" si="0"/>
        <v>2024</v>
      </c>
      <c r="B51" s="5">
        <f t="shared" si="1"/>
        <v>8</v>
      </c>
      <c r="C51" s="6">
        <v>45523</v>
      </c>
      <c r="D51" s="5" t="s">
        <v>520</v>
      </c>
      <c r="E51" s="5" t="s">
        <v>902</v>
      </c>
      <c r="G51" s="5">
        <v>-9000</v>
      </c>
      <c r="H51" s="5">
        <f t="shared" si="2"/>
        <v>9000</v>
      </c>
      <c r="I51" s="5">
        <v>-9000</v>
      </c>
      <c r="J51" s="5">
        <f t="shared" si="3"/>
        <v>9000</v>
      </c>
      <c r="K51" s="5">
        <v>61899.199999999997</v>
      </c>
    </row>
    <row r="52" spans="1:11" x14ac:dyDescent="0.25">
      <c r="A52" s="5">
        <f t="shared" si="0"/>
        <v>2023</v>
      </c>
      <c r="B52" s="5">
        <f t="shared" si="1"/>
        <v>11</v>
      </c>
      <c r="C52" s="6">
        <v>45232</v>
      </c>
      <c r="D52" s="5" t="s">
        <v>60</v>
      </c>
      <c r="E52" s="5" t="s">
        <v>902</v>
      </c>
      <c r="G52" s="5">
        <v>-8967.16</v>
      </c>
      <c r="H52" s="5">
        <f t="shared" si="2"/>
        <v>8967.16</v>
      </c>
      <c r="I52" s="5">
        <v>-8967.16</v>
      </c>
      <c r="J52" s="5">
        <f t="shared" si="3"/>
        <v>8967.16</v>
      </c>
      <c r="K52" s="5">
        <v>15578.25</v>
      </c>
    </row>
    <row r="53" spans="1:11" x14ac:dyDescent="0.25">
      <c r="A53" s="5">
        <f t="shared" si="0"/>
        <v>2024</v>
      </c>
      <c r="B53" s="5">
        <f t="shared" si="1"/>
        <v>1</v>
      </c>
      <c r="C53" s="6">
        <v>45302</v>
      </c>
      <c r="D53" s="5" t="s">
        <v>135</v>
      </c>
      <c r="E53" s="5" t="s">
        <v>902</v>
      </c>
      <c r="G53" s="5">
        <v>-8099.74</v>
      </c>
      <c r="H53" s="5">
        <f t="shared" si="2"/>
        <v>8099.74</v>
      </c>
      <c r="I53" s="5">
        <v>-8099.74</v>
      </c>
      <c r="J53" s="5">
        <f t="shared" si="3"/>
        <v>8099.74</v>
      </c>
      <c r="K53" s="5">
        <v>37318.57</v>
      </c>
    </row>
    <row r="54" spans="1:11" x14ac:dyDescent="0.25">
      <c r="A54" s="5">
        <f t="shared" si="0"/>
        <v>2023</v>
      </c>
      <c r="B54" s="5">
        <f t="shared" si="1"/>
        <v>11</v>
      </c>
      <c r="C54" s="6">
        <v>45231</v>
      </c>
      <c r="D54" s="5" t="s">
        <v>57</v>
      </c>
      <c r="E54" s="5" t="s">
        <v>902</v>
      </c>
      <c r="G54" s="5">
        <v>-8087.07</v>
      </c>
      <c r="H54" s="5">
        <f t="shared" si="2"/>
        <v>8087.07</v>
      </c>
      <c r="I54" s="5">
        <v>-8087.07</v>
      </c>
      <c r="J54" s="5">
        <f t="shared" si="3"/>
        <v>8087.07</v>
      </c>
      <c r="K54" s="5">
        <v>24623.54</v>
      </c>
    </row>
    <row r="55" spans="1:11" x14ac:dyDescent="0.25">
      <c r="A55" s="5">
        <f t="shared" si="0"/>
        <v>2024</v>
      </c>
      <c r="B55" s="5">
        <f t="shared" si="1"/>
        <v>10</v>
      </c>
      <c r="C55" s="6">
        <v>45567</v>
      </c>
      <c r="D55" s="5" t="s">
        <v>634</v>
      </c>
      <c r="E55" s="5" t="s">
        <v>902</v>
      </c>
      <c r="G55" s="5">
        <v>-8010</v>
      </c>
      <c r="H55" s="5">
        <f t="shared" si="2"/>
        <v>8010</v>
      </c>
      <c r="I55" s="5">
        <v>-8010</v>
      </c>
      <c r="J55" s="5">
        <f t="shared" si="3"/>
        <v>8010</v>
      </c>
      <c r="K55" s="5">
        <v>79214.41</v>
      </c>
    </row>
    <row r="56" spans="1:11" x14ac:dyDescent="0.25">
      <c r="A56" s="5">
        <f t="shared" si="0"/>
        <v>2024</v>
      </c>
      <c r="B56" s="5">
        <f t="shared" si="1"/>
        <v>10</v>
      </c>
      <c r="C56" s="6">
        <v>45569</v>
      </c>
      <c r="D56" s="5" t="s">
        <v>649</v>
      </c>
      <c r="E56" s="5" t="s">
        <v>902</v>
      </c>
      <c r="G56" s="5">
        <v>-7809.87</v>
      </c>
      <c r="H56" s="5">
        <f t="shared" si="2"/>
        <v>7809.87</v>
      </c>
      <c r="I56" s="5">
        <v>-7809.87</v>
      </c>
      <c r="J56" s="5">
        <f t="shared" si="3"/>
        <v>7809.87</v>
      </c>
      <c r="K56" s="5">
        <v>42160.77</v>
      </c>
    </row>
    <row r="57" spans="1:11" x14ac:dyDescent="0.25">
      <c r="A57" s="5">
        <f t="shared" si="0"/>
        <v>2025</v>
      </c>
      <c r="B57" s="5">
        <f t="shared" si="1"/>
        <v>2</v>
      </c>
      <c r="C57" s="6">
        <v>45695</v>
      </c>
      <c r="D57" s="5" t="s">
        <v>860</v>
      </c>
      <c r="E57" s="5" t="s">
        <v>902</v>
      </c>
      <c r="G57" s="5">
        <v>-7728.43</v>
      </c>
      <c r="H57" s="5">
        <f t="shared" si="2"/>
        <v>7728.43</v>
      </c>
      <c r="I57" s="5">
        <v>-7728.43</v>
      </c>
      <c r="J57" s="5">
        <f t="shared" si="3"/>
        <v>7728.43</v>
      </c>
      <c r="K57" s="5">
        <v>39529.24</v>
      </c>
    </row>
    <row r="58" spans="1:11" x14ac:dyDescent="0.25">
      <c r="A58" s="5">
        <f t="shared" si="0"/>
        <v>2023</v>
      </c>
      <c r="B58" s="5">
        <f t="shared" si="1"/>
        <v>12</v>
      </c>
      <c r="C58" s="6">
        <v>45274</v>
      </c>
      <c r="D58" s="5" t="s">
        <v>99</v>
      </c>
      <c r="E58" s="5" t="s">
        <v>902</v>
      </c>
      <c r="G58" s="5">
        <v>-7614.31</v>
      </c>
      <c r="H58" s="5">
        <f t="shared" si="2"/>
        <v>7614.31</v>
      </c>
      <c r="I58" s="5">
        <v>-7614.31</v>
      </c>
      <c r="J58" s="5">
        <f t="shared" si="3"/>
        <v>7614.31</v>
      </c>
      <c r="K58" s="5">
        <v>46541.94</v>
      </c>
    </row>
    <row r="59" spans="1:11" x14ac:dyDescent="0.25">
      <c r="A59" s="5">
        <f t="shared" si="0"/>
        <v>2025</v>
      </c>
      <c r="B59" s="5">
        <f t="shared" si="1"/>
        <v>1</v>
      </c>
      <c r="C59" s="6">
        <v>45681</v>
      </c>
      <c r="D59" s="5" t="s">
        <v>844</v>
      </c>
      <c r="E59" s="5" t="s">
        <v>902</v>
      </c>
      <c r="G59" s="5">
        <v>-7589.02</v>
      </c>
      <c r="H59" s="5">
        <f t="shared" si="2"/>
        <v>7589.02</v>
      </c>
      <c r="I59" s="5">
        <v>-7589.02</v>
      </c>
      <c r="J59" s="5">
        <f t="shared" si="3"/>
        <v>7589.02</v>
      </c>
      <c r="K59" s="5">
        <v>45020.18</v>
      </c>
    </row>
    <row r="60" spans="1:11" x14ac:dyDescent="0.25">
      <c r="A60" s="5">
        <f t="shared" si="0"/>
        <v>2023</v>
      </c>
      <c r="B60" s="5">
        <f t="shared" si="1"/>
        <v>10</v>
      </c>
      <c r="C60" s="6">
        <v>45219</v>
      </c>
      <c r="D60" s="5" t="s">
        <v>53</v>
      </c>
      <c r="E60" s="5" t="s">
        <v>902</v>
      </c>
      <c r="G60" s="5">
        <v>-7557.43</v>
      </c>
      <c r="H60" s="5">
        <f t="shared" si="2"/>
        <v>7557.43</v>
      </c>
      <c r="I60" s="5">
        <v>-7557.43</v>
      </c>
      <c r="J60" s="5">
        <f t="shared" si="3"/>
        <v>7557.43</v>
      </c>
      <c r="K60" s="5">
        <v>5553.38</v>
      </c>
    </row>
    <row r="61" spans="1:11" x14ac:dyDescent="0.25">
      <c r="A61" s="5">
        <f t="shared" si="0"/>
        <v>2024</v>
      </c>
      <c r="B61" s="5">
        <f t="shared" si="1"/>
        <v>8</v>
      </c>
      <c r="C61" s="6">
        <v>45512</v>
      </c>
      <c r="D61" s="5" t="s">
        <v>501</v>
      </c>
      <c r="E61" s="5" t="s">
        <v>902</v>
      </c>
      <c r="G61" s="5">
        <v>-7496.54</v>
      </c>
      <c r="H61" s="5">
        <f t="shared" si="2"/>
        <v>7496.54</v>
      </c>
      <c r="I61" s="5">
        <v>-7496.54</v>
      </c>
      <c r="J61" s="5">
        <f t="shared" si="3"/>
        <v>7496.54</v>
      </c>
      <c r="K61" s="5">
        <v>7931.15</v>
      </c>
    </row>
    <row r="62" spans="1:11" x14ac:dyDescent="0.25">
      <c r="A62" s="5">
        <f t="shared" si="0"/>
        <v>2024</v>
      </c>
      <c r="B62" s="5">
        <f t="shared" si="1"/>
        <v>9</v>
      </c>
      <c r="C62" s="6">
        <v>45554</v>
      </c>
      <c r="D62" s="5" t="s">
        <v>601</v>
      </c>
      <c r="E62" s="5" t="s">
        <v>902</v>
      </c>
      <c r="G62" s="5">
        <v>-7200</v>
      </c>
      <c r="H62" s="5">
        <f t="shared" si="2"/>
        <v>7200</v>
      </c>
      <c r="I62" s="5">
        <v>-7200</v>
      </c>
      <c r="J62" s="5">
        <f t="shared" si="3"/>
        <v>7200</v>
      </c>
      <c r="K62" s="5">
        <v>82534.31</v>
      </c>
    </row>
    <row r="63" spans="1:11" x14ac:dyDescent="0.25">
      <c r="A63" s="5">
        <f t="shared" si="0"/>
        <v>2023</v>
      </c>
      <c r="B63" s="5">
        <f t="shared" si="1"/>
        <v>10</v>
      </c>
      <c r="C63" s="6">
        <v>45204</v>
      </c>
      <c r="D63" s="5" t="s">
        <v>38</v>
      </c>
      <c r="E63" s="5" t="s">
        <v>902</v>
      </c>
      <c r="G63" s="5">
        <v>-7034.34</v>
      </c>
      <c r="H63" s="5">
        <f t="shared" si="2"/>
        <v>7034.34</v>
      </c>
      <c r="I63" s="5">
        <v>-7034.34</v>
      </c>
      <c r="J63" s="5">
        <f t="shared" si="3"/>
        <v>7034.34</v>
      </c>
      <c r="K63" s="5">
        <v>3644.39</v>
      </c>
    </row>
    <row r="64" spans="1:11" x14ac:dyDescent="0.25">
      <c r="A64" s="5">
        <f t="shared" si="0"/>
        <v>2024</v>
      </c>
      <c r="B64" s="5">
        <f t="shared" si="1"/>
        <v>12</v>
      </c>
      <c r="C64" s="6">
        <v>45653</v>
      </c>
      <c r="D64" s="5" t="s">
        <v>798</v>
      </c>
      <c r="E64" s="5" t="s">
        <v>902</v>
      </c>
      <c r="G64" s="5">
        <v>-6916.83</v>
      </c>
      <c r="H64" s="5">
        <f t="shared" si="2"/>
        <v>6916.83</v>
      </c>
      <c r="I64" s="5">
        <v>-6916.83</v>
      </c>
      <c r="J64" s="5">
        <f t="shared" si="3"/>
        <v>6916.83</v>
      </c>
      <c r="K64" s="5">
        <v>136000.04999999999</v>
      </c>
    </row>
    <row r="65" spans="1:11" x14ac:dyDescent="0.25">
      <c r="A65" s="5">
        <f t="shared" si="0"/>
        <v>2024</v>
      </c>
      <c r="B65" s="5">
        <f t="shared" si="1"/>
        <v>10</v>
      </c>
      <c r="C65" s="6">
        <v>45583</v>
      </c>
      <c r="D65" s="5" t="s">
        <v>681</v>
      </c>
      <c r="E65" s="5" t="s">
        <v>902</v>
      </c>
      <c r="G65" s="5">
        <v>-6651.6</v>
      </c>
      <c r="H65" s="5">
        <f t="shared" si="2"/>
        <v>6651.6</v>
      </c>
      <c r="I65" s="5">
        <v>-6651.6</v>
      </c>
      <c r="J65" s="5">
        <f t="shared" si="3"/>
        <v>6651.6</v>
      </c>
      <c r="K65" s="5">
        <v>64336</v>
      </c>
    </row>
    <row r="66" spans="1:11" x14ac:dyDescent="0.25">
      <c r="A66" s="5">
        <f t="shared" si="0"/>
        <v>2024</v>
      </c>
      <c r="B66" s="5">
        <f t="shared" si="1"/>
        <v>8</v>
      </c>
      <c r="C66" s="6">
        <v>45527</v>
      </c>
      <c r="D66" s="5" t="s">
        <v>527</v>
      </c>
      <c r="E66" s="5" t="s">
        <v>902</v>
      </c>
      <c r="G66" s="5">
        <v>-6620.72</v>
      </c>
      <c r="H66" s="5">
        <f t="shared" si="2"/>
        <v>6620.72</v>
      </c>
      <c r="I66" s="5">
        <v>-6620.72</v>
      </c>
      <c r="J66" s="5">
        <f t="shared" si="3"/>
        <v>6620.72</v>
      </c>
      <c r="K66" s="5">
        <v>24043.8</v>
      </c>
    </row>
    <row r="67" spans="1:11" x14ac:dyDescent="0.25">
      <c r="A67" s="5">
        <f t="shared" ref="A67:A130" si="4">YEAR(C67)</f>
        <v>2024</v>
      </c>
      <c r="B67" s="5">
        <f t="shared" ref="B67:B130" si="5">MONTH(C67)</f>
        <v>8</v>
      </c>
      <c r="C67" s="6">
        <v>45509</v>
      </c>
      <c r="D67" s="5" t="s">
        <v>492</v>
      </c>
      <c r="E67" s="5" t="s">
        <v>902</v>
      </c>
      <c r="G67" s="5">
        <v>-6460.35</v>
      </c>
      <c r="H67" s="5">
        <f t="shared" ref="H67:H130" si="6">(-1*G67)</f>
        <v>6460.35</v>
      </c>
      <c r="I67" s="5">
        <v>-6460.35</v>
      </c>
      <c r="J67" s="5">
        <f t="shared" ref="J67:J130" si="7">(F67+H67)</f>
        <v>6460.35</v>
      </c>
      <c r="K67" s="5">
        <v>42776.94</v>
      </c>
    </row>
    <row r="68" spans="1:11" x14ac:dyDescent="0.25">
      <c r="A68" s="5">
        <f t="shared" si="4"/>
        <v>2025</v>
      </c>
      <c r="B68" s="5">
        <f t="shared" si="5"/>
        <v>1</v>
      </c>
      <c r="C68" s="6">
        <v>45659</v>
      </c>
      <c r="D68" s="5" t="s">
        <v>817</v>
      </c>
      <c r="E68" s="5" t="s">
        <v>902</v>
      </c>
      <c r="G68" s="5">
        <v>-6400</v>
      </c>
      <c r="H68" s="5">
        <f t="shared" si="6"/>
        <v>6400</v>
      </c>
      <c r="I68" s="5">
        <v>-6400</v>
      </c>
      <c r="J68" s="5">
        <f t="shared" si="7"/>
        <v>6400</v>
      </c>
      <c r="K68" s="5">
        <v>143805.51</v>
      </c>
    </row>
    <row r="69" spans="1:11" x14ac:dyDescent="0.25">
      <c r="A69" s="5">
        <f t="shared" si="4"/>
        <v>2024</v>
      </c>
      <c r="B69" s="5">
        <f t="shared" si="5"/>
        <v>12</v>
      </c>
      <c r="C69" s="6">
        <v>45653</v>
      </c>
      <c r="D69" s="5" t="s">
        <v>800</v>
      </c>
      <c r="E69" s="5" t="s">
        <v>902</v>
      </c>
      <c r="G69" s="5">
        <v>-6185.73</v>
      </c>
      <c r="H69" s="5">
        <f t="shared" si="6"/>
        <v>6185.73</v>
      </c>
      <c r="I69" s="5">
        <v>-6185.73</v>
      </c>
      <c r="J69" s="5">
        <f t="shared" si="7"/>
        <v>6185.73</v>
      </c>
      <c r="K69" s="5">
        <v>93344.73</v>
      </c>
    </row>
    <row r="70" spans="1:11" x14ac:dyDescent="0.25">
      <c r="A70" s="5">
        <f t="shared" si="4"/>
        <v>2025</v>
      </c>
      <c r="B70" s="5">
        <f t="shared" si="5"/>
        <v>2</v>
      </c>
      <c r="C70" s="6">
        <v>45706</v>
      </c>
      <c r="D70" s="5" t="s">
        <v>868</v>
      </c>
      <c r="E70" s="5" t="s">
        <v>902</v>
      </c>
      <c r="G70" s="5">
        <v>-6126.56</v>
      </c>
      <c r="H70" s="5">
        <f t="shared" si="6"/>
        <v>6126.56</v>
      </c>
      <c r="I70" s="5">
        <v>-6126.56</v>
      </c>
      <c r="J70" s="5">
        <f t="shared" si="7"/>
        <v>6126.56</v>
      </c>
      <c r="K70" s="5">
        <v>58114.89</v>
      </c>
    </row>
    <row r="71" spans="1:11" x14ac:dyDescent="0.25">
      <c r="A71" s="5">
        <f t="shared" si="4"/>
        <v>2024</v>
      </c>
      <c r="B71" s="5">
        <f t="shared" si="5"/>
        <v>9</v>
      </c>
      <c r="C71" s="6">
        <v>45541</v>
      </c>
      <c r="D71" s="5" t="s">
        <v>571</v>
      </c>
      <c r="E71" s="5" t="s">
        <v>902</v>
      </c>
      <c r="G71" s="5">
        <v>-6068.24</v>
      </c>
      <c r="H71" s="5">
        <f t="shared" si="6"/>
        <v>6068.24</v>
      </c>
      <c r="I71" s="5">
        <v>-6068.24</v>
      </c>
      <c r="J71" s="5">
        <f t="shared" si="7"/>
        <v>6068.24</v>
      </c>
      <c r="K71" s="5">
        <v>48827.59</v>
      </c>
    </row>
    <row r="72" spans="1:11" x14ac:dyDescent="0.25">
      <c r="A72" s="5">
        <f t="shared" si="4"/>
        <v>2024</v>
      </c>
      <c r="B72" s="5">
        <f t="shared" si="5"/>
        <v>6</v>
      </c>
      <c r="C72" s="6">
        <v>45470</v>
      </c>
      <c r="D72" s="5" t="s">
        <v>400</v>
      </c>
      <c r="E72" s="5" t="s">
        <v>902</v>
      </c>
      <c r="G72" s="5">
        <v>-5405.5</v>
      </c>
      <c r="H72" s="5">
        <f t="shared" si="6"/>
        <v>5405.5</v>
      </c>
      <c r="I72" s="5">
        <v>-5405.5</v>
      </c>
      <c r="J72" s="5">
        <f t="shared" si="7"/>
        <v>5405.5</v>
      </c>
      <c r="K72" s="5">
        <v>80397.17</v>
      </c>
    </row>
    <row r="73" spans="1:11" x14ac:dyDescent="0.25">
      <c r="A73" s="5">
        <f t="shared" si="4"/>
        <v>2025</v>
      </c>
      <c r="B73" s="5">
        <f t="shared" si="5"/>
        <v>1</v>
      </c>
      <c r="C73" s="6">
        <v>45659</v>
      </c>
      <c r="D73" s="5" t="s">
        <v>819</v>
      </c>
      <c r="E73" s="5" t="s">
        <v>902</v>
      </c>
      <c r="G73" s="5">
        <v>-5300.8</v>
      </c>
      <c r="H73" s="5">
        <f t="shared" si="6"/>
        <v>5300.8</v>
      </c>
      <c r="I73" s="5">
        <v>-5300.8</v>
      </c>
      <c r="J73" s="5">
        <f t="shared" si="7"/>
        <v>5300.8</v>
      </c>
      <c r="K73" s="5">
        <v>60319.76</v>
      </c>
    </row>
    <row r="74" spans="1:11" x14ac:dyDescent="0.25">
      <c r="A74" s="5">
        <f t="shared" si="4"/>
        <v>2024</v>
      </c>
      <c r="B74" s="5">
        <f t="shared" si="5"/>
        <v>9</v>
      </c>
      <c r="C74" s="6">
        <v>45562</v>
      </c>
      <c r="D74" s="5" t="s">
        <v>618</v>
      </c>
      <c r="E74" s="5" t="s">
        <v>902</v>
      </c>
      <c r="G74" s="5">
        <v>-5114.5</v>
      </c>
      <c r="H74" s="5">
        <f t="shared" si="6"/>
        <v>5114.5</v>
      </c>
      <c r="I74" s="5">
        <v>-5114.5</v>
      </c>
      <c r="J74" s="5">
        <f t="shared" si="7"/>
        <v>5114.5</v>
      </c>
      <c r="K74" s="5">
        <v>77664.75</v>
      </c>
    </row>
    <row r="75" spans="1:11" x14ac:dyDescent="0.25">
      <c r="A75" s="5">
        <f t="shared" si="4"/>
        <v>2025</v>
      </c>
      <c r="B75" s="5">
        <f t="shared" si="5"/>
        <v>1</v>
      </c>
      <c r="C75" s="6">
        <v>45664</v>
      </c>
      <c r="D75" s="5" t="s">
        <v>827</v>
      </c>
      <c r="E75" s="5" t="s">
        <v>902</v>
      </c>
      <c r="G75" s="5">
        <v>-5089.5</v>
      </c>
      <c r="H75" s="5">
        <f t="shared" si="6"/>
        <v>5089.5</v>
      </c>
      <c r="I75" s="5">
        <v>-5089.5</v>
      </c>
      <c r="J75" s="5">
        <f t="shared" si="7"/>
        <v>5089.5</v>
      </c>
      <c r="K75" s="5">
        <v>78770.19</v>
      </c>
    </row>
    <row r="76" spans="1:11" x14ac:dyDescent="0.25">
      <c r="A76" s="5">
        <f t="shared" si="4"/>
        <v>2025</v>
      </c>
      <c r="B76" s="5">
        <f t="shared" si="5"/>
        <v>1</v>
      </c>
      <c r="C76" s="6">
        <v>45667</v>
      </c>
      <c r="D76" s="5" t="s">
        <v>833</v>
      </c>
      <c r="E76" s="5" t="s">
        <v>902</v>
      </c>
      <c r="G76" s="5">
        <v>-5020.3900000000003</v>
      </c>
      <c r="H76" s="5">
        <f t="shared" si="6"/>
        <v>5020.3900000000003</v>
      </c>
      <c r="I76" s="5">
        <v>-5020.3900000000003</v>
      </c>
      <c r="J76" s="5">
        <f t="shared" si="7"/>
        <v>5020.3900000000003</v>
      </c>
      <c r="K76" s="5">
        <v>36587.19</v>
      </c>
    </row>
    <row r="77" spans="1:11" x14ac:dyDescent="0.25">
      <c r="A77" s="5">
        <f t="shared" si="4"/>
        <v>2024</v>
      </c>
      <c r="B77" s="5">
        <f t="shared" si="5"/>
        <v>4</v>
      </c>
      <c r="C77" s="6">
        <v>45407</v>
      </c>
      <c r="D77" s="5" t="s">
        <v>299</v>
      </c>
      <c r="E77" s="5" t="s">
        <v>902</v>
      </c>
      <c r="G77" s="5">
        <v>-5000</v>
      </c>
      <c r="H77" s="5">
        <f t="shared" si="6"/>
        <v>5000</v>
      </c>
      <c r="I77" s="5">
        <v>-5000</v>
      </c>
      <c r="J77" s="5">
        <f t="shared" si="7"/>
        <v>5000</v>
      </c>
      <c r="K77" s="5">
        <v>6804.69</v>
      </c>
    </row>
    <row r="78" spans="1:11" x14ac:dyDescent="0.25">
      <c r="A78" s="5">
        <f t="shared" si="4"/>
        <v>2024</v>
      </c>
      <c r="B78" s="5">
        <f t="shared" si="5"/>
        <v>10</v>
      </c>
      <c r="C78" s="6">
        <v>45596</v>
      </c>
      <c r="D78" s="5" t="s">
        <v>708</v>
      </c>
      <c r="E78" s="5" t="s">
        <v>902</v>
      </c>
      <c r="G78" s="5">
        <v>-5000</v>
      </c>
      <c r="H78" s="5">
        <f t="shared" si="6"/>
        <v>5000</v>
      </c>
      <c r="I78" s="5">
        <v>-5000</v>
      </c>
      <c r="J78" s="5">
        <f t="shared" si="7"/>
        <v>5000</v>
      </c>
      <c r="K78" s="5">
        <v>66986.63</v>
      </c>
    </row>
    <row r="79" spans="1:11" x14ac:dyDescent="0.25">
      <c r="A79" s="5">
        <f t="shared" si="4"/>
        <v>2025</v>
      </c>
      <c r="B79" s="5">
        <f t="shared" si="5"/>
        <v>2</v>
      </c>
      <c r="C79" s="6">
        <v>45714</v>
      </c>
      <c r="D79" s="5" t="s">
        <v>886</v>
      </c>
      <c r="E79" s="5" t="s">
        <v>902</v>
      </c>
      <c r="G79" s="5">
        <v>-5000</v>
      </c>
      <c r="H79" s="5">
        <f t="shared" si="6"/>
        <v>5000</v>
      </c>
      <c r="I79" s="5">
        <v>-5000</v>
      </c>
      <c r="J79" s="5">
        <f t="shared" si="7"/>
        <v>5000</v>
      </c>
      <c r="K79" s="5">
        <v>56357.49</v>
      </c>
    </row>
    <row r="80" spans="1:11" x14ac:dyDescent="0.25">
      <c r="A80" s="5">
        <f t="shared" si="4"/>
        <v>2024</v>
      </c>
      <c r="B80" s="5">
        <f t="shared" si="5"/>
        <v>12</v>
      </c>
      <c r="C80" s="6">
        <v>45639</v>
      </c>
      <c r="D80" s="5" t="s">
        <v>787</v>
      </c>
      <c r="E80" s="5" t="s">
        <v>902</v>
      </c>
      <c r="G80" s="5">
        <v>-4964.04</v>
      </c>
      <c r="H80" s="5">
        <f t="shared" si="6"/>
        <v>4964.04</v>
      </c>
      <c r="I80" s="5">
        <v>-4964.04</v>
      </c>
      <c r="J80" s="5">
        <f t="shared" si="7"/>
        <v>4964.04</v>
      </c>
      <c r="K80" s="5">
        <v>1494.76</v>
      </c>
    </row>
    <row r="81" spans="1:11" x14ac:dyDescent="0.25">
      <c r="A81" s="5">
        <f t="shared" si="4"/>
        <v>2024</v>
      </c>
      <c r="B81" s="5">
        <f t="shared" si="5"/>
        <v>11</v>
      </c>
      <c r="C81" s="6">
        <v>45625</v>
      </c>
      <c r="D81" s="5" t="s">
        <v>764</v>
      </c>
      <c r="E81" s="5" t="s">
        <v>902</v>
      </c>
      <c r="G81" s="5">
        <v>-4934.7700000000004</v>
      </c>
      <c r="H81" s="5">
        <f t="shared" si="6"/>
        <v>4934.7700000000004</v>
      </c>
      <c r="I81" s="5">
        <v>-4934.7700000000004</v>
      </c>
      <c r="J81" s="5">
        <f t="shared" si="7"/>
        <v>4934.7700000000004</v>
      </c>
      <c r="K81" s="5">
        <v>1412.37</v>
      </c>
    </row>
    <row r="82" spans="1:11" x14ac:dyDescent="0.25">
      <c r="A82" s="5">
        <f t="shared" si="4"/>
        <v>2023</v>
      </c>
      <c r="B82" s="5">
        <f t="shared" si="5"/>
        <v>9</v>
      </c>
      <c r="C82" s="6">
        <v>45191</v>
      </c>
      <c r="D82" s="5" t="s">
        <v>23</v>
      </c>
      <c r="E82" s="5" t="s">
        <v>902</v>
      </c>
      <c r="G82" s="5">
        <v>-4801.0200000000004</v>
      </c>
      <c r="H82" s="5">
        <f t="shared" si="6"/>
        <v>4801.0200000000004</v>
      </c>
      <c r="I82" s="5">
        <v>-4801.0200000000004</v>
      </c>
      <c r="J82" s="5">
        <f t="shared" si="7"/>
        <v>4801.0200000000004</v>
      </c>
      <c r="K82" s="5">
        <v>9906.84</v>
      </c>
    </row>
    <row r="83" spans="1:11" x14ac:dyDescent="0.25">
      <c r="A83" s="5">
        <f t="shared" si="4"/>
        <v>2023</v>
      </c>
      <c r="B83" s="5">
        <f t="shared" si="5"/>
        <v>11</v>
      </c>
      <c r="C83" s="6">
        <v>45231</v>
      </c>
      <c r="D83" s="5" t="s">
        <v>56</v>
      </c>
      <c r="E83" s="5" t="s">
        <v>902</v>
      </c>
      <c r="G83" s="5">
        <v>-4801</v>
      </c>
      <c r="H83" s="5">
        <f t="shared" si="6"/>
        <v>4801</v>
      </c>
      <c r="I83" s="5">
        <v>-4801</v>
      </c>
      <c r="J83" s="5">
        <f t="shared" si="7"/>
        <v>4801</v>
      </c>
      <c r="K83" s="5">
        <v>32710.61</v>
      </c>
    </row>
    <row r="84" spans="1:11" x14ac:dyDescent="0.25">
      <c r="A84" s="5">
        <f t="shared" si="4"/>
        <v>2023</v>
      </c>
      <c r="B84" s="5">
        <f t="shared" si="5"/>
        <v>12</v>
      </c>
      <c r="C84" s="6">
        <v>45261</v>
      </c>
      <c r="D84" s="5" t="s">
        <v>83</v>
      </c>
      <c r="E84" s="5" t="s">
        <v>902</v>
      </c>
      <c r="G84" s="5">
        <v>-4801</v>
      </c>
      <c r="H84" s="5">
        <f t="shared" si="6"/>
        <v>4801</v>
      </c>
      <c r="I84" s="5">
        <v>-4801</v>
      </c>
      <c r="J84" s="5">
        <f t="shared" si="7"/>
        <v>4801</v>
      </c>
      <c r="K84" s="5">
        <v>32658.13</v>
      </c>
    </row>
    <row r="85" spans="1:11" x14ac:dyDescent="0.25">
      <c r="A85" s="5">
        <f t="shared" si="4"/>
        <v>2024</v>
      </c>
      <c r="B85" s="5">
        <f t="shared" si="5"/>
        <v>1</v>
      </c>
      <c r="C85" s="6">
        <v>45293</v>
      </c>
      <c r="D85" s="5" t="s">
        <v>119</v>
      </c>
      <c r="E85" s="5" t="s">
        <v>902</v>
      </c>
      <c r="G85" s="5">
        <v>-4801</v>
      </c>
      <c r="H85" s="5">
        <f t="shared" si="6"/>
        <v>4801</v>
      </c>
      <c r="I85" s="5">
        <v>-4801</v>
      </c>
      <c r="J85" s="5">
        <f t="shared" si="7"/>
        <v>4801</v>
      </c>
      <c r="K85" s="5">
        <v>28687.93</v>
      </c>
    </row>
    <row r="86" spans="1:11" x14ac:dyDescent="0.25">
      <c r="A86" s="5">
        <f t="shared" si="4"/>
        <v>2024</v>
      </c>
      <c r="B86" s="5">
        <f t="shared" si="5"/>
        <v>2</v>
      </c>
      <c r="C86" s="6">
        <v>45323</v>
      </c>
      <c r="D86" s="5" t="s">
        <v>167</v>
      </c>
      <c r="E86" s="5" t="s">
        <v>902</v>
      </c>
      <c r="G86" s="5">
        <v>-4801</v>
      </c>
      <c r="H86" s="5">
        <f t="shared" si="6"/>
        <v>4801</v>
      </c>
      <c r="I86" s="5">
        <v>-4801</v>
      </c>
      <c r="J86" s="5">
        <f t="shared" si="7"/>
        <v>4801</v>
      </c>
      <c r="K86" s="5">
        <v>20827.05</v>
      </c>
    </row>
    <row r="87" spans="1:11" x14ac:dyDescent="0.25">
      <c r="A87" s="5">
        <f t="shared" si="4"/>
        <v>2024</v>
      </c>
      <c r="B87" s="5">
        <f t="shared" si="5"/>
        <v>3</v>
      </c>
      <c r="C87" s="6">
        <v>45352</v>
      </c>
      <c r="D87" s="5" t="s">
        <v>203</v>
      </c>
      <c r="E87" s="5" t="s">
        <v>902</v>
      </c>
      <c r="G87" s="5">
        <v>-4801</v>
      </c>
      <c r="H87" s="5">
        <f t="shared" si="6"/>
        <v>4801</v>
      </c>
      <c r="I87" s="5">
        <v>-4801</v>
      </c>
      <c r="J87" s="5">
        <f t="shared" si="7"/>
        <v>4801</v>
      </c>
      <c r="K87" s="5">
        <v>24299.040000000001</v>
      </c>
    </row>
    <row r="88" spans="1:11" x14ac:dyDescent="0.25">
      <c r="A88" s="5">
        <f t="shared" si="4"/>
        <v>2024</v>
      </c>
      <c r="B88" s="5">
        <f t="shared" si="5"/>
        <v>4</v>
      </c>
      <c r="C88" s="6">
        <v>45383</v>
      </c>
      <c r="D88" s="5" t="s">
        <v>259</v>
      </c>
      <c r="E88" s="5" t="s">
        <v>902</v>
      </c>
      <c r="G88" s="5">
        <v>-4801</v>
      </c>
      <c r="H88" s="5">
        <f t="shared" si="6"/>
        <v>4801</v>
      </c>
      <c r="I88" s="5">
        <v>-4801</v>
      </c>
      <c r="J88" s="5">
        <f t="shared" si="7"/>
        <v>4801</v>
      </c>
      <c r="K88" s="5">
        <v>19325.21</v>
      </c>
    </row>
    <row r="89" spans="1:11" x14ac:dyDescent="0.25">
      <c r="A89" s="5">
        <f t="shared" si="4"/>
        <v>2024</v>
      </c>
      <c r="B89" s="5">
        <f t="shared" si="5"/>
        <v>5</v>
      </c>
      <c r="C89" s="6">
        <v>45413</v>
      </c>
      <c r="D89" s="5" t="s">
        <v>307</v>
      </c>
      <c r="E89" s="5" t="s">
        <v>902</v>
      </c>
      <c r="G89" s="5">
        <v>-4801</v>
      </c>
      <c r="H89" s="5">
        <f t="shared" si="6"/>
        <v>4801</v>
      </c>
      <c r="I89" s="5">
        <v>-4801</v>
      </c>
      <c r="J89" s="5">
        <f t="shared" si="7"/>
        <v>4801</v>
      </c>
      <c r="K89" s="5">
        <v>15741.31</v>
      </c>
    </row>
    <row r="90" spans="1:11" x14ac:dyDescent="0.25">
      <c r="A90" s="5">
        <f t="shared" si="4"/>
        <v>2024</v>
      </c>
      <c r="B90" s="5">
        <f t="shared" si="5"/>
        <v>6</v>
      </c>
      <c r="C90" s="6">
        <v>45446</v>
      </c>
      <c r="D90" s="5" t="s">
        <v>365</v>
      </c>
      <c r="E90" s="5" t="s">
        <v>902</v>
      </c>
      <c r="G90" s="5">
        <v>-4801</v>
      </c>
      <c r="H90" s="5">
        <f t="shared" si="6"/>
        <v>4801</v>
      </c>
      <c r="I90" s="5">
        <v>-4801</v>
      </c>
      <c r="J90" s="5">
        <f t="shared" si="7"/>
        <v>4801</v>
      </c>
      <c r="K90" s="5">
        <v>5959.15</v>
      </c>
    </row>
    <row r="91" spans="1:11" x14ac:dyDescent="0.25">
      <c r="A91" s="5">
        <f t="shared" si="4"/>
        <v>2024</v>
      </c>
      <c r="B91" s="5">
        <f t="shared" si="5"/>
        <v>7</v>
      </c>
      <c r="C91" s="6">
        <v>45474</v>
      </c>
      <c r="D91" s="5" t="s">
        <v>416</v>
      </c>
      <c r="E91" s="5" t="s">
        <v>902</v>
      </c>
      <c r="G91" s="5">
        <v>-4801</v>
      </c>
      <c r="H91" s="5">
        <f t="shared" si="6"/>
        <v>4801</v>
      </c>
      <c r="I91" s="5">
        <v>-4801</v>
      </c>
      <c r="J91" s="5">
        <f t="shared" si="7"/>
        <v>4801</v>
      </c>
      <c r="K91" s="5">
        <v>62823.55</v>
      </c>
    </row>
    <row r="92" spans="1:11" x14ac:dyDescent="0.25">
      <c r="A92" s="5">
        <f t="shared" si="4"/>
        <v>2024</v>
      </c>
      <c r="B92" s="5">
        <f t="shared" si="5"/>
        <v>8</v>
      </c>
      <c r="C92" s="6">
        <v>45505</v>
      </c>
      <c r="D92" s="5" t="s">
        <v>481</v>
      </c>
      <c r="E92" s="5" t="s">
        <v>902</v>
      </c>
      <c r="G92" s="5">
        <v>-4801</v>
      </c>
      <c r="H92" s="5">
        <f t="shared" si="6"/>
        <v>4801</v>
      </c>
      <c r="I92" s="5">
        <v>-4801</v>
      </c>
      <c r="J92" s="5">
        <f t="shared" si="7"/>
        <v>4801</v>
      </c>
      <c r="K92" s="5">
        <v>42850.46</v>
      </c>
    </row>
    <row r="93" spans="1:11" x14ac:dyDescent="0.25">
      <c r="A93" s="5">
        <f t="shared" si="4"/>
        <v>2024</v>
      </c>
      <c r="B93" s="5">
        <f t="shared" si="5"/>
        <v>9</v>
      </c>
      <c r="C93" s="6">
        <v>45538</v>
      </c>
      <c r="D93" s="5" t="s">
        <v>556</v>
      </c>
      <c r="E93" s="5" t="s">
        <v>902</v>
      </c>
      <c r="G93" s="5">
        <v>-4801</v>
      </c>
      <c r="H93" s="5">
        <f t="shared" si="6"/>
        <v>4801</v>
      </c>
      <c r="I93" s="5">
        <v>-4801</v>
      </c>
      <c r="J93" s="5">
        <f t="shared" si="7"/>
        <v>4801</v>
      </c>
      <c r="K93" s="5">
        <v>71257.64</v>
      </c>
    </row>
    <row r="94" spans="1:11" x14ac:dyDescent="0.25">
      <c r="A94" s="5">
        <f t="shared" si="4"/>
        <v>2024</v>
      </c>
      <c r="B94" s="5">
        <f t="shared" si="5"/>
        <v>10</v>
      </c>
      <c r="C94" s="6">
        <v>45566</v>
      </c>
      <c r="D94" s="5" t="s">
        <v>631</v>
      </c>
      <c r="E94" s="5" t="s">
        <v>902</v>
      </c>
      <c r="G94" s="5">
        <v>-4801</v>
      </c>
      <c r="H94" s="5">
        <f t="shared" si="6"/>
        <v>4801</v>
      </c>
      <c r="I94" s="5">
        <v>-4801</v>
      </c>
      <c r="J94" s="5">
        <f t="shared" si="7"/>
        <v>4801</v>
      </c>
      <c r="K94" s="5">
        <v>89148.72</v>
      </c>
    </row>
    <row r="95" spans="1:11" x14ac:dyDescent="0.25">
      <c r="A95" s="5">
        <f t="shared" si="4"/>
        <v>2024</v>
      </c>
      <c r="B95" s="5">
        <f t="shared" si="5"/>
        <v>11</v>
      </c>
      <c r="C95" s="6">
        <v>45597</v>
      </c>
      <c r="D95" s="5" t="s">
        <v>710</v>
      </c>
      <c r="E95" s="5" t="s">
        <v>902</v>
      </c>
      <c r="G95" s="5">
        <v>-4801</v>
      </c>
      <c r="H95" s="5">
        <f t="shared" si="6"/>
        <v>4801</v>
      </c>
      <c r="I95" s="5">
        <v>-4801</v>
      </c>
      <c r="J95" s="5">
        <f t="shared" si="7"/>
        <v>4801</v>
      </c>
      <c r="K95" s="5">
        <v>62113</v>
      </c>
    </row>
    <row r="96" spans="1:11" x14ac:dyDescent="0.25">
      <c r="A96" s="5">
        <f t="shared" si="4"/>
        <v>2025</v>
      </c>
      <c r="B96" s="5">
        <f t="shared" si="5"/>
        <v>1</v>
      </c>
      <c r="C96" s="6">
        <v>45688</v>
      </c>
      <c r="D96" s="5" t="s">
        <v>827</v>
      </c>
      <c r="E96" s="5" t="s">
        <v>902</v>
      </c>
      <c r="G96" s="5">
        <v>-4801</v>
      </c>
      <c r="H96" s="5">
        <f t="shared" si="6"/>
        <v>4801</v>
      </c>
      <c r="I96" s="5">
        <v>-4801</v>
      </c>
      <c r="J96" s="5">
        <f t="shared" si="7"/>
        <v>4801</v>
      </c>
      <c r="K96" s="5">
        <v>49223.56</v>
      </c>
    </row>
    <row r="97" spans="1:11" x14ac:dyDescent="0.25">
      <c r="A97" s="5">
        <f t="shared" si="4"/>
        <v>2025</v>
      </c>
      <c r="B97" s="5">
        <f t="shared" si="5"/>
        <v>2</v>
      </c>
      <c r="C97" s="6">
        <v>45716</v>
      </c>
      <c r="D97" s="5" t="s">
        <v>827</v>
      </c>
      <c r="E97" s="5" t="s">
        <v>902</v>
      </c>
      <c r="G97" s="5">
        <v>-4801</v>
      </c>
      <c r="H97" s="5">
        <f t="shared" si="6"/>
        <v>4801</v>
      </c>
      <c r="I97" s="5">
        <v>-4801</v>
      </c>
      <c r="J97" s="5">
        <f t="shared" si="7"/>
        <v>4801</v>
      </c>
      <c r="K97" s="5">
        <v>61279.77</v>
      </c>
    </row>
    <row r="98" spans="1:11" x14ac:dyDescent="0.25">
      <c r="A98" s="5">
        <f t="shared" si="4"/>
        <v>2024</v>
      </c>
      <c r="B98" s="5">
        <f t="shared" si="5"/>
        <v>11</v>
      </c>
      <c r="C98" s="6">
        <v>45597</v>
      </c>
      <c r="D98" s="5" t="s">
        <v>712</v>
      </c>
      <c r="E98" s="5" t="s">
        <v>902</v>
      </c>
      <c r="G98" s="5">
        <v>-4714.6499999999996</v>
      </c>
      <c r="H98" s="5">
        <f t="shared" si="6"/>
        <v>4714.6499999999996</v>
      </c>
      <c r="I98" s="5">
        <v>-4714.6499999999996</v>
      </c>
      <c r="J98" s="5">
        <f t="shared" si="7"/>
        <v>4714.6499999999996</v>
      </c>
      <c r="K98" s="5">
        <v>31662.959999999999</v>
      </c>
    </row>
    <row r="99" spans="1:11" x14ac:dyDescent="0.25">
      <c r="A99" s="5">
        <f t="shared" si="4"/>
        <v>2024</v>
      </c>
      <c r="B99" s="5">
        <f t="shared" si="5"/>
        <v>8</v>
      </c>
      <c r="C99" s="6">
        <v>45530</v>
      </c>
      <c r="D99" s="5" t="s">
        <v>531</v>
      </c>
      <c r="E99" s="5" t="s">
        <v>902</v>
      </c>
      <c r="G99" s="5">
        <v>-4648.54</v>
      </c>
      <c r="H99" s="5">
        <f t="shared" si="6"/>
        <v>4648.54</v>
      </c>
      <c r="I99" s="5">
        <v>-4648.54</v>
      </c>
      <c r="J99" s="5">
        <f t="shared" si="7"/>
        <v>4648.54</v>
      </c>
      <c r="K99" s="5">
        <v>36750.33</v>
      </c>
    </row>
    <row r="100" spans="1:11" x14ac:dyDescent="0.25">
      <c r="A100" s="5">
        <f t="shared" si="4"/>
        <v>2024</v>
      </c>
      <c r="B100" s="5">
        <f t="shared" si="5"/>
        <v>11</v>
      </c>
      <c r="C100" s="6">
        <v>45611</v>
      </c>
      <c r="D100" s="5" t="s">
        <v>741</v>
      </c>
      <c r="E100" s="5" t="s">
        <v>902</v>
      </c>
      <c r="G100" s="5">
        <v>-4592.8500000000004</v>
      </c>
      <c r="H100" s="5">
        <f t="shared" si="6"/>
        <v>4592.8500000000004</v>
      </c>
      <c r="I100" s="5">
        <v>-4592.8500000000004</v>
      </c>
      <c r="J100" s="5">
        <f t="shared" si="7"/>
        <v>4592.8500000000004</v>
      </c>
      <c r="K100" s="5">
        <v>6575.45</v>
      </c>
    </row>
    <row r="101" spans="1:11" x14ac:dyDescent="0.25">
      <c r="A101" s="5">
        <f t="shared" si="4"/>
        <v>2024</v>
      </c>
      <c r="B101" s="5">
        <f t="shared" si="5"/>
        <v>9</v>
      </c>
      <c r="C101" s="6">
        <v>45555</v>
      </c>
      <c r="D101" s="5" t="s">
        <v>605</v>
      </c>
      <c r="E101" s="5" t="s">
        <v>902</v>
      </c>
      <c r="G101" s="5">
        <v>-4526.33</v>
      </c>
      <c r="H101" s="5">
        <f t="shared" si="6"/>
        <v>4526.33</v>
      </c>
      <c r="I101" s="5">
        <v>-4526.33</v>
      </c>
      <c r="J101" s="5">
        <f t="shared" si="7"/>
        <v>4526.33</v>
      </c>
      <c r="K101" s="5">
        <v>56603.79</v>
      </c>
    </row>
    <row r="102" spans="1:11" x14ac:dyDescent="0.25">
      <c r="A102" s="5">
        <f t="shared" si="4"/>
        <v>2024</v>
      </c>
      <c r="B102" s="5">
        <f t="shared" si="5"/>
        <v>11</v>
      </c>
      <c r="C102" s="6">
        <v>45609</v>
      </c>
      <c r="D102" s="5" t="s">
        <v>735</v>
      </c>
      <c r="E102" s="5" t="s">
        <v>902</v>
      </c>
      <c r="G102" s="5">
        <v>-4519.68</v>
      </c>
      <c r="H102" s="5">
        <f t="shared" si="6"/>
        <v>4519.68</v>
      </c>
      <c r="I102" s="5">
        <v>-4519.68</v>
      </c>
      <c r="J102" s="5">
        <f t="shared" si="7"/>
        <v>4519.68</v>
      </c>
      <c r="K102" s="5">
        <v>24081.81</v>
      </c>
    </row>
    <row r="103" spans="1:11" x14ac:dyDescent="0.25">
      <c r="A103" s="5">
        <f t="shared" si="4"/>
        <v>2024</v>
      </c>
      <c r="B103" s="5">
        <f t="shared" si="5"/>
        <v>3</v>
      </c>
      <c r="C103" s="6">
        <v>45358</v>
      </c>
      <c r="D103" s="5" t="s">
        <v>214</v>
      </c>
      <c r="E103" s="5" t="s">
        <v>902</v>
      </c>
      <c r="G103" s="5">
        <v>-4326.83</v>
      </c>
      <c r="H103" s="5">
        <f t="shared" si="6"/>
        <v>4326.83</v>
      </c>
      <c r="I103" s="5">
        <v>-4326.83</v>
      </c>
      <c r="J103" s="5">
        <f t="shared" si="7"/>
        <v>4326.83</v>
      </c>
      <c r="K103" s="5">
        <v>21752.17</v>
      </c>
    </row>
    <row r="104" spans="1:11" x14ac:dyDescent="0.25">
      <c r="A104" s="5">
        <f t="shared" si="4"/>
        <v>2025</v>
      </c>
      <c r="B104" s="5">
        <f t="shared" si="5"/>
        <v>2</v>
      </c>
      <c r="C104" s="6">
        <v>45707</v>
      </c>
      <c r="D104" s="5" t="s">
        <v>874</v>
      </c>
      <c r="E104" s="5" t="s">
        <v>902</v>
      </c>
      <c r="G104" s="5">
        <v>-4221.88</v>
      </c>
      <c r="H104" s="5">
        <f t="shared" si="6"/>
        <v>4221.88</v>
      </c>
      <c r="I104" s="5">
        <v>-4221.88</v>
      </c>
      <c r="J104" s="5">
        <f t="shared" si="7"/>
        <v>4221.88</v>
      </c>
      <c r="K104" s="5">
        <v>51571.06</v>
      </c>
    </row>
    <row r="105" spans="1:11" x14ac:dyDescent="0.25">
      <c r="A105" s="5">
        <f t="shared" si="4"/>
        <v>2024</v>
      </c>
      <c r="B105" s="5">
        <f t="shared" si="5"/>
        <v>7</v>
      </c>
      <c r="C105" s="6">
        <v>45498</v>
      </c>
      <c r="D105" s="5" t="s">
        <v>459</v>
      </c>
      <c r="E105" s="5" t="s">
        <v>902</v>
      </c>
      <c r="G105" s="5">
        <v>-4106.3900000000003</v>
      </c>
      <c r="H105" s="5">
        <f t="shared" si="6"/>
        <v>4106.3900000000003</v>
      </c>
      <c r="I105" s="5">
        <v>-4106.3900000000003</v>
      </c>
      <c r="J105" s="5">
        <f t="shared" si="7"/>
        <v>4106.3900000000003</v>
      </c>
      <c r="K105" s="5">
        <v>44720.28</v>
      </c>
    </row>
    <row r="106" spans="1:11" x14ac:dyDescent="0.25">
      <c r="A106" s="5">
        <f t="shared" si="4"/>
        <v>2024</v>
      </c>
      <c r="B106" s="5">
        <f t="shared" si="5"/>
        <v>8</v>
      </c>
      <c r="C106" s="6">
        <v>45516</v>
      </c>
      <c r="D106" s="5" t="s">
        <v>507</v>
      </c>
      <c r="E106" s="5" t="s">
        <v>902</v>
      </c>
      <c r="G106" s="5">
        <v>-4106.3900000000003</v>
      </c>
      <c r="H106" s="5">
        <f t="shared" si="6"/>
        <v>4106.3900000000003</v>
      </c>
      <c r="I106" s="5">
        <v>-4106.3900000000003</v>
      </c>
      <c r="J106" s="5">
        <f t="shared" si="7"/>
        <v>4106.3900000000003</v>
      </c>
      <c r="K106" s="5">
        <v>25922.77</v>
      </c>
    </row>
    <row r="107" spans="1:11" x14ac:dyDescent="0.25">
      <c r="A107" s="5">
        <f t="shared" si="4"/>
        <v>2025</v>
      </c>
      <c r="B107" s="5">
        <f t="shared" si="5"/>
        <v>2</v>
      </c>
      <c r="C107" s="6">
        <v>45709</v>
      </c>
      <c r="D107" s="5" t="s">
        <v>880</v>
      </c>
      <c r="E107" s="5" t="s">
        <v>902</v>
      </c>
      <c r="G107" s="5">
        <v>-4005.53</v>
      </c>
      <c r="H107" s="5">
        <f t="shared" si="6"/>
        <v>4005.53</v>
      </c>
      <c r="I107" s="5">
        <v>-4005.53</v>
      </c>
      <c r="J107" s="5">
        <f t="shared" si="7"/>
        <v>4005.53</v>
      </c>
      <c r="K107" s="5">
        <v>40397.54</v>
      </c>
    </row>
    <row r="108" spans="1:11" x14ac:dyDescent="0.25">
      <c r="A108" s="5">
        <f t="shared" si="4"/>
        <v>2024</v>
      </c>
      <c r="B108" s="5">
        <f t="shared" si="5"/>
        <v>3</v>
      </c>
      <c r="C108" s="6">
        <v>45372</v>
      </c>
      <c r="D108" s="5" t="s">
        <v>239</v>
      </c>
      <c r="E108" s="5" t="s">
        <v>902</v>
      </c>
      <c r="G108" s="5">
        <v>-3779.49</v>
      </c>
      <c r="H108" s="5">
        <f t="shared" si="6"/>
        <v>3779.49</v>
      </c>
      <c r="I108" s="5">
        <v>-3779.49</v>
      </c>
      <c r="J108" s="5">
        <f t="shared" si="7"/>
        <v>3779.49</v>
      </c>
      <c r="K108" s="5">
        <v>4868.84</v>
      </c>
    </row>
    <row r="109" spans="1:11" x14ac:dyDescent="0.25">
      <c r="A109" s="5">
        <f t="shared" si="4"/>
        <v>2024</v>
      </c>
      <c r="B109" s="5">
        <f t="shared" si="5"/>
        <v>2</v>
      </c>
      <c r="C109" s="6">
        <v>45330</v>
      </c>
      <c r="D109" s="5" t="s">
        <v>180</v>
      </c>
      <c r="E109" s="5" t="s">
        <v>902</v>
      </c>
      <c r="G109" s="5">
        <v>-3772.27</v>
      </c>
      <c r="H109" s="5">
        <f t="shared" si="6"/>
        <v>3772.27</v>
      </c>
      <c r="I109" s="5">
        <v>-3772.27</v>
      </c>
      <c r="J109" s="5">
        <f t="shared" si="7"/>
        <v>3772.27</v>
      </c>
      <c r="K109" s="5">
        <v>20177.09</v>
      </c>
    </row>
    <row r="110" spans="1:11" x14ac:dyDescent="0.25">
      <c r="A110" s="5">
        <f t="shared" si="4"/>
        <v>2024</v>
      </c>
      <c r="B110" s="5">
        <f t="shared" si="5"/>
        <v>7</v>
      </c>
      <c r="C110" s="6">
        <v>45485</v>
      </c>
      <c r="D110" s="5" t="s">
        <v>435</v>
      </c>
      <c r="E110" s="5" t="s">
        <v>902</v>
      </c>
      <c r="G110" s="5">
        <v>-3761.56</v>
      </c>
      <c r="H110" s="5">
        <f t="shared" si="6"/>
        <v>3761.56</v>
      </c>
      <c r="I110" s="5">
        <v>-3761.56</v>
      </c>
      <c r="J110" s="5">
        <f t="shared" si="7"/>
        <v>3761.56</v>
      </c>
      <c r="K110" s="5">
        <v>59282.28</v>
      </c>
    </row>
    <row r="111" spans="1:11" x14ac:dyDescent="0.25">
      <c r="A111" s="5">
        <f t="shared" si="4"/>
        <v>2024</v>
      </c>
      <c r="B111" s="5">
        <f t="shared" si="5"/>
        <v>6</v>
      </c>
      <c r="C111" s="6">
        <v>45456</v>
      </c>
      <c r="D111" s="5" t="s">
        <v>381</v>
      </c>
      <c r="E111" s="5" t="s">
        <v>902</v>
      </c>
      <c r="G111" s="5">
        <v>-3748.21</v>
      </c>
      <c r="H111" s="5">
        <f t="shared" si="6"/>
        <v>3748.21</v>
      </c>
      <c r="I111" s="5">
        <v>-3748.21</v>
      </c>
      <c r="J111" s="5">
        <f t="shared" si="7"/>
        <v>3748.21</v>
      </c>
      <c r="K111" s="5">
        <v>20749.939999999999</v>
      </c>
    </row>
    <row r="112" spans="1:11" x14ac:dyDescent="0.25">
      <c r="A112" s="5">
        <f t="shared" si="4"/>
        <v>2024</v>
      </c>
      <c r="B112" s="5">
        <f t="shared" si="5"/>
        <v>7</v>
      </c>
      <c r="C112" s="6">
        <v>45498</v>
      </c>
      <c r="D112" s="5" t="s">
        <v>462</v>
      </c>
      <c r="E112" s="5" t="s">
        <v>902</v>
      </c>
      <c r="G112" s="5">
        <v>-3725.19</v>
      </c>
      <c r="H112" s="5">
        <f t="shared" si="6"/>
        <v>3725.19</v>
      </c>
      <c r="I112" s="5">
        <v>-3725.19</v>
      </c>
      <c r="J112" s="5">
        <f t="shared" si="7"/>
        <v>3725.19</v>
      </c>
      <c r="K112" s="5">
        <v>21672.59</v>
      </c>
    </row>
    <row r="113" spans="1:11" x14ac:dyDescent="0.25">
      <c r="A113" s="5">
        <f t="shared" si="4"/>
        <v>2024</v>
      </c>
      <c r="B113" s="5">
        <f t="shared" si="5"/>
        <v>5</v>
      </c>
      <c r="C113" s="6">
        <v>45443</v>
      </c>
      <c r="D113" s="5" t="s">
        <v>360</v>
      </c>
      <c r="E113" s="5" t="s">
        <v>902</v>
      </c>
      <c r="G113" s="5">
        <v>-3707.96</v>
      </c>
      <c r="H113" s="5">
        <f t="shared" si="6"/>
        <v>3707.96</v>
      </c>
      <c r="I113" s="5">
        <v>-3707.96</v>
      </c>
      <c r="J113" s="5">
        <f t="shared" si="7"/>
        <v>3707.96</v>
      </c>
      <c r="K113" s="5">
        <v>11111.92</v>
      </c>
    </row>
    <row r="114" spans="1:11" x14ac:dyDescent="0.25">
      <c r="A114" s="5">
        <f t="shared" si="4"/>
        <v>2024</v>
      </c>
      <c r="B114" s="5">
        <f t="shared" si="5"/>
        <v>1</v>
      </c>
      <c r="C114" s="6">
        <v>45316</v>
      </c>
      <c r="D114" s="5" t="s">
        <v>156</v>
      </c>
      <c r="E114" s="5" t="s">
        <v>902</v>
      </c>
      <c r="G114" s="5">
        <v>-3699.89</v>
      </c>
      <c r="H114" s="5">
        <f t="shared" si="6"/>
        <v>3699.89</v>
      </c>
      <c r="I114" s="5">
        <v>-3699.89</v>
      </c>
      <c r="J114" s="5">
        <f t="shared" si="7"/>
        <v>3699.89</v>
      </c>
      <c r="K114" s="5">
        <v>27411.9</v>
      </c>
    </row>
    <row r="115" spans="1:11" x14ac:dyDescent="0.25">
      <c r="A115" s="5">
        <f t="shared" si="4"/>
        <v>2025</v>
      </c>
      <c r="B115" s="5">
        <f t="shared" si="5"/>
        <v>3</v>
      </c>
      <c r="C115" s="6">
        <v>45719</v>
      </c>
      <c r="D115" s="5" t="s">
        <v>889</v>
      </c>
      <c r="E115" s="5" t="s">
        <v>902</v>
      </c>
      <c r="G115" s="5">
        <v>-3696.57</v>
      </c>
      <c r="H115" s="5">
        <f t="shared" si="6"/>
        <v>3696.57</v>
      </c>
      <c r="I115" s="5">
        <v>-3696.57</v>
      </c>
      <c r="J115" s="5">
        <f t="shared" si="7"/>
        <v>3696.57</v>
      </c>
      <c r="K115" s="5">
        <v>86744.2</v>
      </c>
    </row>
    <row r="116" spans="1:11" x14ac:dyDescent="0.25">
      <c r="A116" s="5">
        <f t="shared" si="4"/>
        <v>2024</v>
      </c>
      <c r="B116" s="5">
        <f t="shared" si="5"/>
        <v>4</v>
      </c>
      <c r="C116" s="6">
        <v>45387</v>
      </c>
      <c r="D116" s="5" t="s">
        <v>269</v>
      </c>
      <c r="E116" s="5" t="s">
        <v>902</v>
      </c>
      <c r="G116" s="5">
        <v>-3671.32</v>
      </c>
      <c r="H116" s="5">
        <f t="shared" si="6"/>
        <v>3671.32</v>
      </c>
      <c r="I116" s="5">
        <v>-3671.32</v>
      </c>
      <c r="J116" s="5">
        <f t="shared" si="7"/>
        <v>3671.32</v>
      </c>
      <c r="K116" s="5">
        <v>12159.85</v>
      </c>
    </row>
    <row r="117" spans="1:11" x14ac:dyDescent="0.25">
      <c r="A117" s="5">
        <f t="shared" si="4"/>
        <v>2024</v>
      </c>
      <c r="B117" s="5">
        <f t="shared" si="5"/>
        <v>2</v>
      </c>
      <c r="C117" s="6">
        <v>45344</v>
      </c>
      <c r="D117" s="5" t="s">
        <v>193</v>
      </c>
      <c r="E117" s="5" t="s">
        <v>902</v>
      </c>
      <c r="G117" s="5">
        <v>-3636.51</v>
      </c>
      <c r="H117" s="5">
        <f t="shared" si="6"/>
        <v>3636.51</v>
      </c>
      <c r="I117" s="5">
        <v>-3636.51</v>
      </c>
      <c r="J117" s="5">
        <f t="shared" si="7"/>
        <v>3636.51</v>
      </c>
      <c r="K117" s="5">
        <v>17886.78</v>
      </c>
    </row>
    <row r="118" spans="1:11" x14ac:dyDescent="0.25">
      <c r="A118" s="5">
        <f t="shared" si="4"/>
        <v>2024</v>
      </c>
      <c r="B118" s="5">
        <f t="shared" si="5"/>
        <v>5</v>
      </c>
      <c r="C118" s="6">
        <v>45415</v>
      </c>
      <c r="D118" s="5" t="s">
        <v>317</v>
      </c>
      <c r="E118" s="5" t="s">
        <v>902</v>
      </c>
      <c r="G118" s="5">
        <v>-3635.83</v>
      </c>
      <c r="H118" s="5">
        <f t="shared" si="6"/>
        <v>3635.83</v>
      </c>
      <c r="I118" s="5">
        <v>-3635.83</v>
      </c>
      <c r="J118" s="5">
        <f t="shared" si="7"/>
        <v>3635.83</v>
      </c>
      <c r="K118" s="5">
        <v>5023.24</v>
      </c>
    </row>
    <row r="119" spans="1:11" x14ac:dyDescent="0.25">
      <c r="A119" s="5">
        <f t="shared" si="4"/>
        <v>2025</v>
      </c>
      <c r="B119" s="5">
        <f t="shared" si="5"/>
        <v>1</v>
      </c>
      <c r="C119" s="6">
        <v>45678</v>
      </c>
      <c r="D119" s="5" t="s">
        <v>842</v>
      </c>
      <c r="E119" s="5" t="s">
        <v>902</v>
      </c>
      <c r="G119" s="5">
        <v>-3574.07</v>
      </c>
      <c r="H119" s="5">
        <f t="shared" si="6"/>
        <v>3574.07</v>
      </c>
      <c r="I119" s="5">
        <v>-3574.07</v>
      </c>
      <c r="J119" s="5">
        <f t="shared" si="7"/>
        <v>3574.07</v>
      </c>
      <c r="K119" s="5">
        <v>53630.39</v>
      </c>
    </row>
    <row r="120" spans="1:11" x14ac:dyDescent="0.25">
      <c r="A120" s="5">
        <f t="shared" si="4"/>
        <v>2024</v>
      </c>
      <c r="B120" s="5">
        <f t="shared" si="5"/>
        <v>12</v>
      </c>
      <c r="C120" s="6">
        <v>45638</v>
      </c>
      <c r="D120" s="5" t="s">
        <v>783</v>
      </c>
      <c r="E120" s="5" t="s">
        <v>902</v>
      </c>
      <c r="G120" s="5">
        <v>-3522.91</v>
      </c>
      <c r="H120" s="5">
        <f t="shared" si="6"/>
        <v>3522.91</v>
      </c>
      <c r="I120" s="5">
        <v>-3522.91</v>
      </c>
      <c r="J120" s="5">
        <f t="shared" si="7"/>
        <v>3522.91</v>
      </c>
      <c r="K120" s="5">
        <v>22874.75</v>
      </c>
    </row>
    <row r="121" spans="1:11" x14ac:dyDescent="0.25">
      <c r="A121" s="5">
        <f t="shared" si="4"/>
        <v>2024</v>
      </c>
      <c r="B121" s="5">
        <f t="shared" si="5"/>
        <v>4</v>
      </c>
      <c r="C121" s="6">
        <v>45400</v>
      </c>
      <c r="D121" s="5" t="s">
        <v>286</v>
      </c>
      <c r="E121" s="5" t="s">
        <v>902</v>
      </c>
      <c r="G121" s="5">
        <v>-3502.97</v>
      </c>
      <c r="H121" s="5">
        <f t="shared" si="6"/>
        <v>3502.97</v>
      </c>
      <c r="I121" s="5">
        <v>-3502.97</v>
      </c>
      <c r="J121" s="5">
        <f t="shared" si="7"/>
        <v>3502.97</v>
      </c>
      <c r="K121" s="5">
        <v>5402.46</v>
      </c>
    </row>
    <row r="122" spans="1:11" x14ac:dyDescent="0.25">
      <c r="A122" s="5">
        <f t="shared" si="4"/>
        <v>2024</v>
      </c>
      <c r="B122" s="5">
        <f t="shared" si="5"/>
        <v>6</v>
      </c>
      <c r="C122" s="6">
        <v>45470</v>
      </c>
      <c r="D122" s="5" t="s">
        <v>405</v>
      </c>
      <c r="E122" s="5" t="s">
        <v>902</v>
      </c>
      <c r="G122" s="5">
        <v>-3471.15</v>
      </c>
      <c r="H122" s="5">
        <f t="shared" si="6"/>
        <v>3471.15</v>
      </c>
      <c r="I122" s="5">
        <v>-3471.15</v>
      </c>
      <c r="J122" s="5">
        <f t="shared" si="7"/>
        <v>3471.15</v>
      </c>
      <c r="K122" s="5">
        <v>56579.21</v>
      </c>
    </row>
    <row r="123" spans="1:11" x14ac:dyDescent="0.25">
      <c r="A123" s="5">
        <f t="shared" si="4"/>
        <v>2024</v>
      </c>
      <c r="B123" s="5">
        <f t="shared" si="5"/>
        <v>1</v>
      </c>
      <c r="C123" s="6">
        <v>45303</v>
      </c>
      <c r="D123" s="5" t="s">
        <v>140</v>
      </c>
      <c r="E123" s="5" t="s">
        <v>902</v>
      </c>
      <c r="G123" s="5">
        <v>-3368</v>
      </c>
      <c r="H123" s="5">
        <f t="shared" si="6"/>
        <v>3368</v>
      </c>
      <c r="I123" s="5">
        <v>-3368</v>
      </c>
      <c r="J123" s="5">
        <f t="shared" si="7"/>
        <v>3368</v>
      </c>
      <c r="K123" s="5">
        <v>20891.169999999998</v>
      </c>
    </row>
    <row r="124" spans="1:11" x14ac:dyDescent="0.25">
      <c r="A124" s="5">
        <f t="shared" si="4"/>
        <v>2025</v>
      </c>
      <c r="B124" s="5">
        <f t="shared" si="5"/>
        <v>2</v>
      </c>
      <c r="C124" s="6">
        <v>45691</v>
      </c>
      <c r="D124" s="5" t="s">
        <v>819</v>
      </c>
      <c r="E124" s="5" t="s">
        <v>902</v>
      </c>
      <c r="G124" s="5">
        <v>-3291.3</v>
      </c>
      <c r="H124" s="5">
        <f t="shared" si="6"/>
        <v>3291.3</v>
      </c>
      <c r="I124" s="5">
        <v>-3291.3</v>
      </c>
      <c r="J124" s="5">
        <f t="shared" si="7"/>
        <v>3291.3</v>
      </c>
      <c r="K124" s="5">
        <v>56301.81</v>
      </c>
    </row>
    <row r="125" spans="1:11" x14ac:dyDescent="0.25">
      <c r="A125" s="5">
        <f t="shared" si="4"/>
        <v>2024</v>
      </c>
      <c r="B125" s="5">
        <f t="shared" si="5"/>
        <v>5</v>
      </c>
      <c r="C125" s="6">
        <v>45429</v>
      </c>
      <c r="D125" s="5" t="s">
        <v>339</v>
      </c>
      <c r="E125" s="5" t="s">
        <v>902</v>
      </c>
      <c r="G125" s="5">
        <v>-3280.27</v>
      </c>
      <c r="H125" s="5">
        <f t="shared" si="6"/>
        <v>3280.27</v>
      </c>
      <c r="I125" s="5">
        <v>-3280.27</v>
      </c>
      <c r="J125" s="5">
        <f t="shared" si="7"/>
        <v>3280.27</v>
      </c>
      <c r="K125" s="5">
        <v>9187.57</v>
      </c>
    </row>
    <row r="126" spans="1:11" x14ac:dyDescent="0.25">
      <c r="A126" s="5">
        <f t="shared" si="4"/>
        <v>2023</v>
      </c>
      <c r="B126" s="5">
        <f t="shared" si="5"/>
        <v>9</v>
      </c>
      <c r="C126" s="6">
        <v>45177</v>
      </c>
      <c r="D126" s="5" t="s">
        <v>10</v>
      </c>
      <c r="E126" s="5" t="s">
        <v>902</v>
      </c>
      <c r="G126" s="5">
        <v>-3233.69</v>
      </c>
      <c r="H126" s="5">
        <f t="shared" si="6"/>
        <v>3233.69</v>
      </c>
      <c r="I126" s="5">
        <v>-3233.69</v>
      </c>
      <c r="J126" s="5">
        <f t="shared" si="7"/>
        <v>3233.69</v>
      </c>
      <c r="K126" s="5">
        <v>6606.02</v>
      </c>
    </row>
    <row r="127" spans="1:11" x14ac:dyDescent="0.25">
      <c r="A127" s="5">
        <f t="shared" si="4"/>
        <v>2023</v>
      </c>
      <c r="B127" s="5">
        <f t="shared" si="5"/>
        <v>12</v>
      </c>
      <c r="C127" s="6">
        <v>45261</v>
      </c>
      <c r="D127" s="5" t="s">
        <v>85</v>
      </c>
      <c r="E127" s="5" t="s">
        <v>902</v>
      </c>
      <c r="G127" s="5">
        <v>-3183.48</v>
      </c>
      <c r="H127" s="5">
        <f t="shared" si="6"/>
        <v>3183.48</v>
      </c>
      <c r="I127" s="5">
        <v>-3183.48</v>
      </c>
      <c r="J127" s="5">
        <f t="shared" si="7"/>
        <v>3183.48</v>
      </c>
      <c r="K127" s="5">
        <v>19478.73</v>
      </c>
    </row>
    <row r="128" spans="1:11" x14ac:dyDescent="0.25">
      <c r="A128" s="5">
        <f t="shared" si="4"/>
        <v>2023</v>
      </c>
      <c r="B128" s="5">
        <f t="shared" si="5"/>
        <v>12</v>
      </c>
      <c r="C128" s="6">
        <v>45288</v>
      </c>
      <c r="D128" s="5" t="s">
        <v>114</v>
      </c>
      <c r="E128" s="5" t="s">
        <v>902</v>
      </c>
      <c r="G128" s="5">
        <v>-3173.8</v>
      </c>
      <c r="H128" s="5">
        <f t="shared" si="6"/>
        <v>3173.8</v>
      </c>
      <c r="I128" s="5">
        <v>-3173.8</v>
      </c>
      <c r="J128" s="5">
        <f t="shared" si="7"/>
        <v>3173.8</v>
      </c>
      <c r="K128" s="5">
        <v>34291.65</v>
      </c>
    </row>
    <row r="129" spans="1:11" x14ac:dyDescent="0.25">
      <c r="A129" s="5">
        <f t="shared" si="4"/>
        <v>2024</v>
      </c>
      <c r="B129" s="5">
        <f t="shared" si="5"/>
        <v>4</v>
      </c>
      <c r="C129" s="6">
        <v>45401</v>
      </c>
      <c r="D129" s="5" t="s">
        <v>289</v>
      </c>
      <c r="E129" s="5" t="s">
        <v>902</v>
      </c>
      <c r="G129" s="5">
        <v>-3088</v>
      </c>
      <c r="H129" s="5">
        <f t="shared" si="6"/>
        <v>3088</v>
      </c>
      <c r="I129" s="5">
        <v>-3088</v>
      </c>
      <c r="J129" s="5">
        <f t="shared" si="7"/>
        <v>3088</v>
      </c>
      <c r="K129" s="5">
        <v>8600.19</v>
      </c>
    </row>
    <row r="130" spans="1:11" x14ac:dyDescent="0.25">
      <c r="A130" s="5">
        <f t="shared" si="4"/>
        <v>2023</v>
      </c>
      <c r="B130" s="5">
        <f t="shared" si="5"/>
        <v>11</v>
      </c>
      <c r="C130" s="6">
        <v>45246</v>
      </c>
      <c r="D130" s="5" t="s">
        <v>71</v>
      </c>
      <c r="E130" s="5" t="s">
        <v>902</v>
      </c>
      <c r="G130" s="5">
        <v>-3063.53</v>
      </c>
      <c r="H130" s="5">
        <f t="shared" si="6"/>
        <v>3063.53</v>
      </c>
      <c r="I130" s="5">
        <v>-3063.53</v>
      </c>
      <c r="J130" s="5">
        <f t="shared" si="7"/>
        <v>3063.53</v>
      </c>
      <c r="K130" s="5">
        <v>25419.38</v>
      </c>
    </row>
    <row r="131" spans="1:11" x14ac:dyDescent="0.25">
      <c r="A131" s="5">
        <f t="shared" ref="A131:A194" si="8">YEAR(C131)</f>
        <v>2023</v>
      </c>
      <c r="B131" s="5">
        <f t="shared" ref="B131:B194" si="9">MONTH(C131)</f>
        <v>11</v>
      </c>
      <c r="C131" s="6">
        <v>45232</v>
      </c>
      <c r="D131" s="5" t="s">
        <v>61</v>
      </c>
      <c r="E131" s="5" t="s">
        <v>902</v>
      </c>
      <c r="G131" s="5">
        <v>-3051.21</v>
      </c>
      <c r="H131" s="5">
        <f t="shared" ref="H131:H194" si="10">(-1*G131)</f>
        <v>3051.21</v>
      </c>
      <c r="I131" s="5">
        <v>-3051.21</v>
      </c>
      <c r="J131" s="5">
        <f t="shared" ref="J131:J194" si="11">(F131+H131)</f>
        <v>3051.21</v>
      </c>
      <c r="K131" s="5">
        <v>12527.04</v>
      </c>
    </row>
    <row r="132" spans="1:11" x14ac:dyDescent="0.25">
      <c r="A132" s="5">
        <f t="shared" si="8"/>
        <v>2023</v>
      </c>
      <c r="B132" s="5">
        <f t="shared" si="9"/>
        <v>10</v>
      </c>
      <c r="C132" s="6">
        <v>45204</v>
      </c>
      <c r="D132" s="5" t="s">
        <v>39</v>
      </c>
      <c r="E132" s="5" t="s">
        <v>902</v>
      </c>
      <c r="G132" s="5">
        <v>-3046.53</v>
      </c>
      <c r="H132" s="5">
        <f t="shared" si="10"/>
        <v>3046.53</v>
      </c>
      <c r="I132" s="5">
        <v>-3046.53</v>
      </c>
      <c r="J132" s="5">
        <f t="shared" si="11"/>
        <v>3046.53</v>
      </c>
      <c r="K132" s="5">
        <v>597.86</v>
      </c>
    </row>
    <row r="133" spans="1:11" x14ac:dyDescent="0.25">
      <c r="A133" s="5">
        <f t="shared" si="8"/>
        <v>2024</v>
      </c>
      <c r="B133" s="5">
        <f t="shared" si="9"/>
        <v>1</v>
      </c>
      <c r="C133" s="6">
        <v>45295</v>
      </c>
      <c r="D133" s="5" t="s">
        <v>125</v>
      </c>
      <c r="E133" s="5" t="s">
        <v>902</v>
      </c>
      <c r="G133" s="5">
        <v>-2993.94</v>
      </c>
      <c r="H133" s="5">
        <f t="shared" si="10"/>
        <v>2993.94</v>
      </c>
      <c r="I133" s="5">
        <v>-2993.94</v>
      </c>
      <c r="J133" s="5">
        <f t="shared" si="11"/>
        <v>2993.94</v>
      </c>
      <c r="K133" s="5">
        <v>24055.41</v>
      </c>
    </row>
    <row r="134" spans="1:11" x14ac:dyDescent="0.25">
      <c r="A134" s="5">
        <f t="shared" si="8"/>
        <v>2023</v>
      </c>
      <c r="B134" s="5">
        <f t="shared" si="9"/>
        <v>9</v>
      </c>
      <c r="C134" s="6">
        <v>45190</v>
      </c>
      <c r="D134" s="5" t="s">
        <v>20</v>
      </c>
      <c r="E134" s="5" t="s">
        <v>902</v>
      </c>
      <c r="G134" s="5">
        <v>-2989.94</v>
      </c>
      <c r="H134" s="5">
        <f t="shared" si="10"/>
        <v>2989.94</v>
      </c>
      <c r="I134" s="5">
        <v>-2989.94</v>
      </c>
      <c r="J134" s="5">
        <f t="shared" si="11"/>
        <v>2989.94</v>
      </c>
      <c r="K134" s="5">
        <v>14971.76</v>
      </c>
    </row>
    <row r="135" spans="1:11" x14ac:dyDescent="0.25">
      <c r="A135" s="5">
        <f t="shared" si="8"/>
        <v>2024</v>
      </c>
      <c r="B135" s="5">
        <f t="shared" si="9"/>
        <v>1</v>
      </c>
      <c r="C135" s="6">
        <v>45302</v>
      </c>
      <c r="D135" s="5" t="s">
        <v>137</v>
      </c>
      <c r="E135" s="5" t="s">
        <v>902</v>
      </c>
      <c r="G135" s="5">
        <v>-2968.53</v>
      </c>
      <c r="H135" s="5">
        <f t="shared" si="10"/>
        <v>2968.53</v>
      </c>
      <c r="I135" s="5">
        <v>-2968.53</v>
      </c>
      <c r="J135" s="5">
        <f t="shared" si="11"/>
        <v>2968.53</v>
      </c>
      <c r="K135" s="5">
        <v>34007.54</v>
      </c>
    </row>
    <row r="136" spans="1:11" x14ac:dyDescent="0.25">
      <c r="A136" s="5">
        <f t="shared" si="8"/>
        <v>2023</v>
      </c>
      <c r="B136" s="5">
        <f t="shared" si="9"/>
        <v>10</v>
      </c>
      <c r="C136" s="6">
        <v>45219</v>
      </c>
      <c r="D136" s="5" t="s">
        <v>54</v>
      </c>
      <c r="E136" s="5" t="s">
        <v>902</v>
      </c>
      <c r="G136" s="5">
        <v>-2884.31</v>
      </c>
      <c r="H136" s="5">
        <f t="shared" si="10"/>
        <v>2884.31</v>
      </c>
      <c r="I136" s="5">
        <v>-2884.31</v>
      </c>
      <c r="J136" s="5">
        <f t="shared" si="11"/>
        <v>2884.31</v>
      </c>
      <c r="K136" s="5">
        <v>2669.07</v>
      </c>
    </row>
    <row r="137" spans="1:11" x14ac:dyDescent="0.25">
      <c r="A137" s="5">
        <f t="shared" si="8"/>
        <v>2024</v>
      </c>
      <c r="B137" s="5">
        <f t="shared" si="9"/>
        <v>10</v>
      </c>
      <c r="C137" s="6">
        <v>45596</v>
      </c>
      <c r="D137" s="5" t="s">
        <v>705</v>
      </c>
      <c r="E137" s="5" t="s">
        <v>902</v>
      </c>
      <c r="G137" s="5">
        <v>-2865.03</v>
      </c>
      <c r="H137" s="5">
        <f t="shared" si="10"/>
        <v>2865.03</v>
      </c>
      <c r="I137" s="5">
        <v>-2865.03</v>
      </c>
      <c r="J137" s="5">
        <f t="shared" si="11"/>
        <v>2865.03</v>
      </c>
      <c r="K137" s="5">
        <v>72343.8</v>
      </c>
    </row>
    <row r="138" spans="1:11" x14ac:dyDescent="0.25">
      <c r="A138" s="5">
        <f t="shared" si="8"/>
        <v>2025</v>
      </c>
      <c r="B138" s="5">
        <f t="shared" si="9"/>
        <v>1</v>
      </c>
      <c r="C138" s="6">
        <v>45687</v>
      </c>
      <c r="D138" s="5" t="s">
        <v>852</v>
      </c>
      <c r="E138" s="5" t="s">
        <v>902</v>
      </c>
      <c r="G138" s="5">
        <v>-2845.5</v>
      </c>
      <c r="H138" s="5">
        <f t="shared" si="10"/>
        <v>2845.5</v>
      </c>
      <c r="I138" s="5">
        <v>-2845.5</v>
      </c>
      <c r="J138" s="5">
        <f t="shared" si="11"/>
        <v>2845.5</v>
      </c>
      <c r="K138" s="5">
        <v>52524.56</v>
      </c>
    </row>
    <row r="139" spans="1:11" x14ac:dyDescent="0.25">
      <c r="A139" s="5">
        <f t="shared" si="8"/>
        <v>2025</v>
      </c>
      <c r="B139" s="5">
        <f t="shared" si="9"/>
        <v>3</v>
      </c>
      <c r="C139" s="6">
        <v>45719</v>
      </c>
      <c r="D139" s="5" t="s">
        <v>892</v>
      </c>
      <c r="E139" s="5" t="s">
        <v>902</v>
      </c>
      <c r="G139" s="5">
        <v>-2826.26</v>
      </c>
      <c r="H139" s="5">
        <f t="shared" si="10"/>
        <v>2826.26</v>
      </c>
      <c r="I139" s="5">
        <v>-2826.26</v>
      </c>
      <c r="J139" s="5">
        <f t="shared" si="11"/>
        <v>2826.26</v>
      </c>
      <c r="K139" s="5">
        <v>83246.12</v>
      </c>
    </row>
    <row r="140" spans="1:11" x14ac:dyDescent="0.25">
      <c r="A140" s="5">
        <f t="shared" si="8"/>
        <v>2025</v>
      </c>
      <c r="B140" s="5">
        <f t="shared" si="9"/>
        <v>1</v>
      </c>
      <c r="C140" s="6">
        <v>45664</v>
      </c>
      <c r="D140" s="5" t="s">
        <v>826</v>
      </c>
      <c r="E140" s="5" t="s">
        <v>902</v>
      </c>
      <c r="G140" s="5">
        <v>-2791.41</v>
      </c>
      <c r="H140" s="5">
        <f t="shared" si="10"/>
        <v>2791.41</v>
      </c>
      <c r="I140" s="5">
        <v>-2791.41</v>
      </c>
      <c r="J140" s="5">
        <f t="shared" si="11"/>
        <v>2791.41</v>
      </c>
      <c r="K140" s="5">
        <v>83859.69</v>
      </c>
    </row>
    <row r="141" spans="1:11" x14ac:dyDescent="0.25">
      <c r="A141" s="5">
        <f t="shared" si="8"/>
        <v>2024</v>
      </c>
      <c r="B141" s="5">
        <f t="shared" si="9"/>
        <v>6</v>
      </c>
      <c r="C141" s="6">
        <v>45456</v>
      </c>
      <c r="D141" s="5" t="s">
        <v>378</v>
      </c>
      <c r="E141" s="5" t="s">
        <v>902</v>
      </c>
      <c r="G141" s="5">
        <v>-2722.64</v>
      </c>
      <c r="H141" s="5">
        <f t="shared" si="10"/>
        <v>2722.64</v>
      </c>
      <c r="I141" s="5">
        <v>-2722.64</v>
      </c>
      <c r="J141" s="5">
        <f t="shared" si="11"/>
        <v>2722.64</v>
      </c>
      <c r="K141" s="5">
        <v>44879.66</v>
      </c>
    </row>
    <row r="142" spans="1:11" x14ac:dyDescent="0.25">
      <c r="A142" s="5">
        <f t="shared" si="8"/>
        <v>2024</v>
      </c>
      <c r="B142" s="5">
        <f t="shared" si="9"/>
        <v>6</v>
      </c>
      <c r="C142" s="6">
        <v>45463</v>
      </c>
      <c r="D142" s="5" t="s">
        <v>395</v>
      </c>
      <c r="E142" s="5" t="s">
        <v>902</v>
      </c>
      <c r="G142" s="5">
        <v>-2700</v>
      </c>
      <c r="H142" s="5">
        <f t="shared" si="10"/>
        <v>2700</v>
      </c>
      <c r="I142" s="5">
        <v>-2700</v>
      </c>
      <c r="J142" s="5">
        <f t="shared" si="11"/>
        <v>2700</v>
      </c>
      <c r="K142" s="5">
        <v>53125.599999999999</v>
      </c>
    </row>
    <row r="143" spans="1:11" x14ac:dyDescent="0.25">
      <c r="A143" s="5">
        <f t="shared" si="8"/>
        <v>2024</v>
      </c>
      <c r="B143" s="5">
        <f t="shared" si="9"/>
        <v>10</v>
      </c>
      <c r="C143" s="6">
        <v>45580</v>
      </c>
      <c r="D143" s="5" t="s">
        <v>667</v>
      </c>
      <c r="E143" s="5" t="s">
        <v>902</v>
      </c>
      <c r="G143" s="5">
        <v>-2566.5</v>
      </c>
      <c r="H143" s="5">
        <f t="shared" si="10"/>
        <v>2566.5</v>
      </c>
      <c r="I143" s="5">
        <v>-2566.5</v>
      </c>
      <c r="J143" s="5">
        <f t="shared" si="11"/>
        <v>2566.5</v>
      </c>
      <c r="K143" s="5">
        <v>101401.88</v>
      </c>
    </row>
    <row r="144" spans="1:11" x14ac:dyDescent="0.25">
      <c r="A144" s="5">
        <f t="shared" si="8"/>
        <v>2024</v>
      </c>
      <c r="B144" s="5">
        <f t="shared" si="9"/>
        <v>11</v>
      </c>
      <c r="C144" s="6">
        <v>45609</v>
      </c>
      <c r="D144" s="5" t="s">
        <v>735</v>
      </c>
      <c r="E144" s="5" t="s">
        <v>902</v>
      </c>
      <c r="G144" s="5">
        <v>-2566.44</v>
      </c>
      <c r="H144" s="5">
        <f t="shared" si="10"/>
        <v>2566.44</v>
      </c>
      <c r="I144" s="5">
        <v>-2566.44</v>
      </c>
      <c r="J144" s="5">
        <f t="shared" si="11"/>
        <v>2566.44</v>
      </c>
      <c r="K144" s="5">
        <v>30141.43</v>
      </c>
    </row>
    <row r="145" spans="1:11" x14ac:dyDescent="0.25">
      <c r="A145" s="5">
        <f t="shared" si="8"/>
        <v>2024</v>
      </c>
      <c r="B145" s="5">
        <f t="shared" si="9"/>
        <v>8</v>
      </c>
      <c r="C145" s="6">
        <v>45530</v>
      </c>
      <c r="D145" s="5" t="s">
        <v>530</v>
      </c>
      <c r="E145" s="5" t="s">
        <v>902</v>
      </c>
      <c r="G145" s="5">
        <v>-2512</v>
      </c>
      <c r="H145" s="5">
        <f t="shared" si="10"/>
        <v>2512</v>
      </c>
      <c r="I145" s="5">
        <v>-2512</v>
      </c>
      <c r="J145" s="5">
        <f t="shared" si="11"/>
        <v>2512</v>
      </c>
      <c r="K145" s="5">
        <v>41398.870000000003</v>
      </c>
    </row>
    <row r="146" spans="1:11" x14ac:dyDescent="0.25">
      <c r="A146" s="5">
        <f t="shared" si="8"/>
        <v>2024</v>
      </c>
      <c r="B146" s="5">
        <f t="shared" si="9"/>
        <v>10</v>
      </c>
      <c r="C146" s="6">
        <v>45574</v>
      </c>
      <c r="D146" s="5" t="s">
        <v>660</v>
      </c>
      <c r="E146" s="5" t="s">
        <v>902</v>
      </c>
      <c r="G146" s="5">
        <v>-2476.88</v>
      </c>
      <c r="H146" s="5">
        <f t="shared" si="10"/>
        <v>2476.88</v>
      </c>
      <c r="I146" s="5">
        <v>-2476.88</v>
      </c>
      <c r="J146" s="5">
        <f t="shared" si="11"/>
        <v>2476.88</v>
      </c>
      <c r="K146" s="5">
        <v>66770.28</v>
      </c>
    </row>
    <row r="147" spans="1:11" x14ac:dyDescent="0.25">
      <c r="A147" s="5">
        <f t="shared" si="8"/>
        <v>2025</v>
      </c>
      <c r="B147" s="5">
        <f t="shared" si="9"/>
        <v>3</v>
      </c>
      <c r="C147" s="6">
        <v>45719</v>
      </c>
      <c r="D147" s="5" t="s">
        <v>893</v>
      </c>
      <c r="E147" s="5" t="s">
        <v>902</v>
      </c>
      <c r="G147" s="5">
        <v>-2317.94</v>
      </c>
      <c r="H147" s="5">
        <f t="shared" si="10"/>
        <v>2317.94</v>
      </c>
      <c r="I147" s="5">
        <v>-2317.94</v>
      </c>
      <c r="J147" s="5">
        <f t="shared" si="11"/>
        <v>2317.94</v>
      </c>
      <c r="K147" s="5">
        <v>80928.179999999993</v>
      </c>
    </row>
    <row r="148" spans="1:11" x14ac:dyDescent="0.25">
      <c r="A148" s="5">
        <f t="shared" si="8"/>
        <v>2024</v>
      </c>
      <c r="B148" s="5">
        <f t="shared" si="9"/>
        <v>10</v>
      </c>
      <c r="C148" s="6">
        <v>45595</v>
      </c>
      <c r="D148" s="5" t="s">
        <v>698</v>
      </c>
      <c r="E148" s="5" t="s">
        <v>902</v>
      </c>
      <c r="G148" s="5">
        <v>-2313.0500000000002</v>
      </c>
      <c r="H148" s="5">
        <f t="shared" si="10"/>
        <v>2313.0500000000002</v>
      </c>
      <c r="I148" s="5">
        <v>-2313.0500000000002</v>
      </c>
      <c r="J148" s="5">
        <f t="shared" si="11"/>
        <v>2313.0500000000002</v>
      </c>
      <c r="K148" s="5">
        <v>75208.86</v>
      </c>
    </row>
    <row r="149" spans="1:11" x14ac:dyDescent="0.25">
      <c r="A149" s="5">
        <f t="shared" si="8"/>
        <v>2024</v>
      </c>
      <c r="B149" s="5">
        <f t="shared" si="9"/>
        <v>1</v>
      </c>
      <c r="C149" s="6">
        <v>45300</v>
      </c>
      <c r="D149" s="5" t="s">
        <v>130</v>
      </c>
      <c r="E149" s="5" t="s">
        <v>902</v>
      </c>
      <c r="G149" s="5">
        <v>-2255</v>
      </c>
      <c r="H149" s="5">
        <f t="shared" si="10"/>
        <v>2255</v>
      </c>
      <c r="I149" s="5">
        <v>-2255</v>
      </c>
      <c r="J149" s="5">
        <f t="shared" si="11"/>
        <v>2255</v>
      </c>
      <c r="K149" s="5">
        <v>48216.42</v>
      </c>
    </row>
    <row r="150" spans="1:11" x14ac:dyDescent="0.25">
      <c r="A150" s="5">
        <f t="shared" si="8"/>
        <v>2023</v>
      </c>
      <c r="B150" s="5">
        <f t="shared" si="9"/>
        <v>12</v>
      </c>
      <c r="C150" s="6">
        <v>45274</v>
      </c>
      <c r="D150" s="5" t="s">
        <v>100</v>
      </c>
      <c r="E150" s="5" t="s">
        <v>902</v>
      </c>
      <c r="G150" s="5">
        <v>-2228.0700000000002</v>
      </c>
      <c r="H150" s="5">
        <f t="shared" si="10"/>
        <v>2228.0700000000002</v>
      </c>
      <c r="I150" s="5">
        <v>-2228.0700000000002</v>
      </c>
      <c r="J150" s="5">
        <f t="shared" si="11"/>
        <v>2228.0700000000002</v>
      </c>
      <c r="K150" s="5">
        <v>44313.87</v>
      </c>
    </row>
    <row r="151" spans="1:11" x14ac:dyDescent="0.25">
      <c r="A151" s="5">
        <f t="shared" si="8"/>
        <v>2024</v>
      </c>
      <c r="B151" s="5">
        <f t="shared" si="9"/>
        <v>9</v>
      </c>
      <c r="C151" s="6">
        <v>45540</v>
      </c>
      <c r="D151" s="5" t="s">
        <v>564</v>
      </c>
      <c r="E151" s="5" t="s">
        <v>902</v>
      </c>
      <c r="G151" s="5">
        <v>-2115.81</v>
      </c>
      <c r="H151" s="5">
        <f t="shared" si="10"/>
        <v>2115.81</v>
      </c>
      <c r="I151" s="5">
        <v>-2115.81</v>
      </c>
      <c r="J151" s="5">
        <f t="shared" si="11"/>
        <v>2115.81</v>
      </c>
      <c r="K151" s="5">
        <v>80279.11</v>
      </c>
    </row>
    <row r="152" spans="1:11" x14ac:dyDescent="0.25">
      <c r="A152" s="5">
        <f t="shared" si="8"/>
        <v>2024</v>
      </c>
      <c r="B152" s="5">
        <f t="shared" si="9"/>
        <v>3</v>
      </c>
      <c r="C152" s="6">
        <v>45376</v>
      </c>
      <c r="D152" s="5" t="s">
        <v>243</v>
      </c>
      <c r="E152" s="5" t="s">
        <v>902</v>
      </c>
      <c r="G152" s="5">
        <v>-2053.81</v>
      </c>
      <c r="H152" s="5">
        <f t="shared" si="10"/>
        <v>2053.81</v>
      </c>
      <c r="I152" s="5">
        <v>-2053.81</v>
      </c>
      <c r="J152" s="5">
        <f t="shared" si="11"/>
        <v>2053.81</v>
      </c>
      <c r="K152" s="5">
        <v>7585.65</v>
      </c>
    </row>
    <row r="153" spans="1:11" x14ac:dyDescent="0.25">
      <c r="A153" s="5">
        <f t="shared" si="8"/>
        <v>2024</v>
      </c>
      <c r="B153" s="5">
        <f t="shared" si="9"/>
        <v>9</v>
      </c>
      <c r="C153" s="6">
        <v>45547</v>
      </c>
      <c r="D153" s="5" t="s">
        <v>581</v>
      </c>
      <c r="E153" s="5" t="s">
        <v>902</v>
      </c>
      <c r="G153" s="5">
        <v>-2053.2199999999998</v>
      </c>
      <c r="H153" s="5">
        <f t="shared" si="10"/>
        <v>2053.2199999999998</v>
      </c>
      <c r="I153" s="5">
        <v>-2053.2199999999998</v>
      </c>
      <c r="J153" s="5">
        <f t="shared" si="11"/>
        <v>2053.2199999999998</v>
      </c>
      <c r="K153" s="5">
        <v>67558.8</v>
      </c>
    </row>
    <row r="154" spans="1:11" x14ac:dyDescent="0.25">
      <c r="A154" s="5">
        <f t="shared" si="8"/>
        <v>2024</v>
      </c>
      <c r="B154" s="5">
        <f t="shared" si="9"/>
        <v>9</v>
      </c>
      <c r="C154" s="6">
        <v>45547</v>
      </c>
      <c r="D154" s="5" t="s">
        <v>581</v>
      </c>
      <c r="E154" s="5" t="s">
        <v>902</v>
      </c>
      <c r="G154" s="5">
        <v>-2053.17</v>
      </c>
      <c r="H154" s="5">
        <f t="shared" si="10"/>
        <v>2053.17</v>
      </c>
      <c r="I154" s="5">
        <v>-2053.17</v>
      </c>
      <c r="J154" s="5">
        <f t="shared" si="11"/>
        <v>2053.17</v>
      </c>
      <c r="K154" s="5">
        <v>65505.63</v>
      </c>
    </row>
    <row r="155" spans="1:11" x14ac:dyDescent="0.25">
      <c r="A155" s="5">
        <f t="shared" si="8"/>
        <v>2024</v>
      </c>
      <c r="B155" s="5">
        <f t="shared" si="9"/>
        <v>5</v>
      </c>
      <c r="C155" s="6">
        <v>45418</v>
      </c>
      <c r="D155" s="5" t="s">
        <v>324</v>
      </c>
      <c r="E155" s="5" t="s">
        <v>902</v>
      </c>
      <c r="G155" s="5">
        <v>-2000</v>
      </c>
      <c r="H155" s="5">
        <f t="shared" si="10"/>
        <v>2000</v>
      </c>
      <c r="I155" s="5">
        <v>-2000</v>
      </c>
      <c r="J155" s="5">
        <f t="shared" si="11"/>
        <v>2000</v>
      </c>
      <c r="K155" s="5">
        <v>7480.44</v>
      </c>
    </row>
    <row r="156" spans="1:11" x14ac:dyDescent="0.25">
      <c r="A156" s="5">
        <f t="shared" si="8"/>
        <v>2024</v>
      </c>
      <c r="B156" s="5">
        <f t="shared" si="9"/>
        <v>10</v>
      </c>
      <c r="C156" s="6">
        <v>45595</v>
      </c>
      <c r="D156" s="5" t="s">
        <v>700</v>
      </c>
      <c r="E156" s="5" t="s">
        <v>902</v>
      </c>
      <c r="G156" s="5">
        <v>-2000</v>
      </c>
      <c r="H156" s="5">
        <f t="shared" si="10"/>
        <v>2000</v>
      </c>
      <c r="I156" s="5">
        <v>-2000</v>
      </c>
      <c r="J156" s="5">
        <f t="shared" si="11"/>
        <v>2000</v>
      </c>
      <c r="K156" s="5">
        <v>72008.86</v>
      </c>
    </row>
    <row r="157" spans="1:11" x14ac:dyDescent="0.25">
      <c r="A157" s="5">
        <f t="shared" si="8"/>
        <v>2025</v>
      </c>
      <c r="B157" s="5">
        <f t="shared" si="9"/>
        <v>1</v>
      </c>
      <c r="C157" s="6">
        <v>45684</v>
      </c>
      <c r="D157" s="5" t="s">
        <v>847</v>
      </c>
      <c r="E157" s="5" t="s">
        <v>902</v>
      </c>
      <c r="G157" s="5">
        <v>-2000</v>
      </c>
      <c r="H157" s="5">
        <f t="shared" si="10"/>
        <v>2000</v>
      </c>
      <c r="I157" s="5">
        <v>-2000</v>
      </c>
      <c r="J157" s="5">
        <f t="shared" si="11"/>
        <v>2000</v>
      </c>
      <c r="K157" s="5">
        <v>54743.11</v>
      </c>
    </row>
    <row r="158" spans="1:11" x14ac:dyDescent="0.25">
      <c r="A158" s="5">
        <f t="shared" si="8"/>
        <v>2024</v>
      </c>
      <c r="B158" s="5">
        <f t="shared" si="9"/>
        <v>7</v>
      </c>
      <c r="C158" s="6">
        <v>45481</v>
      </c>
      <c r="D158" s="5" t="s">
        <v>429</v>
      </c>
      <c r="E158" s="5" t="s">
        <v>902</v>
      </c>
      <c r="G158" s="5">
        <v>-1971.41</v>
      </c>
      <c r="H158" s="5">
        <f t="shared" si="10"/>
        <v>1971.41</v>
      </c>
      <c r="I158" s="5">
        <v>-1971.41</v>
      </c>
      <c r="J158" s="5">
        <f t="shared" si="11"/>
        <v>1971.41</v>
      </c>
      <c r="K158" s="5">
        <v>82863.16</v>
      </c>
    </row>
    <row r="159" spans="1:11" x14ac:dyDescent="0.25">
      <c r="A159" s="5">
        <f t="shared" si="8"/>
        <v>2023</v>
      </c>
      <c r="B159" s="5">
        <f t="shared" si="9"/>
        <v>11</v>
      </c>
      <c r="C159" s="6">
        <v>45258</v>
      </c>
      <c r="D159" s="5" t="s">
        <v>79</v>
      </c>
      <c r="E159" s="5" t="s">
        <v>902</v>
      </c>
      <c r="G159" s="5">
        <v>-1969.72</v>
      </c>
      <c r="H159" s="5">
        <f t="shared" si="10"/>
        <v>1969.72</v>
      </c>
      <c r="I159" s="5">
        <v>-1969.72</v>
      </c>
      <c r="J159" s="5">
        <f t="shared" si="11"/>
        <v>1969.72</v>
      </c>
      <c r="K159" s="5">
        <v>33505.879999999997</v>
      </c>
    </row>
    <row r="160" spans="1:11" x14ac:dyDescent="0.25">
      <c r="A160" s="5">
        <f t="shared" si="8"/>
        <v>2024</v>
      </c>
      <c r="B160" s="5">
        <f t="shared" si="9"/>
        <v>6</v>
      </c>
      <c r="C160" s="6">
        <v>45471</v>
      </c>
      <c r="D160" s="5" t="s">
        <v>411</v>
      </c>
      <c r="E160" s="5" t="s">
        <v>902</v>
      </c>
      <c r="G160" s="5">
        <v>-1948.66</v>
      </c>
      <c r="H160" s="5">
        <f t="shared" si="10"/>
        <v>1948.66</v>
      </c>
      <c r="I160" s="5">
        <v>-1948.66</v>
      </c>
      <c r="J160" s="5">
        <f t="shared" si="11"/>
        <v>1948.66</v>
      </c>
      <c r="K160" s="5">
        <v>63356.25</v>
      </c>
    </row>
    <row r="161" spans="1:11" x14ac:dyDescent="0.25">
      <c r="A161" s="5">
        <f t="shared" si="8"/>
        <v>2025</v>
      </c>
      <c r="B161" s="5">
        <f t="shared" si="9"/>
        <v>3</v>
      </c>
      <c r="C161" s="6">
        <v>45722</v>
      </c>
      <c r="D161" s="5" t="s">
        <v>896</v>
      </c>
      <c r="E161" s="5" t="s">
        <v>902</v>
      </c>
      <c r="G161" s="5">
        <v>-1921.38</v>
      </c>
      <c r="H161" s="5">
        <f t="shared" si="10"/>
        <v>1921.38</v>
      </c>
      <c r="I161" s="5">
        <v>-1921.38</v>
      </c>
      <c r="J161" s="5">
        <f t="shared" si="11"/>
        <v>1921.38</v>
      </c>
      <c r="K161" s="5">
        <v>77631.179999999993</v>
      </c>
    </row>
    <row r="162" spans="1:11" x14ac:dyDescent="0.25">
      <c r="A162" s="5">
        <f t="shared" si="8"/>
        <v>2023</v>
      </c>
      <c r="B162" s="5">
        <f t="shared" si="9"/>
        <v>9</v>
      </c>
      <c r="C162" s="6">
        <v>45190</v>
      </c>
      <c r="D162" s="5" t="s">
        <v>21</v>
      </c>
      <c r="E162" s="5" t="s">
        <v>902</v>
      </c>
      <c r="G162" s="5">
        <v>-1865.9</v>
      </c>
      <c r="H162" s="5">
        <f t="shared" si="10"/>
        <v>1865.9</v>
      </c>
      <c r="I162" s="5">
        <v>-1865.9</v>
      </c>
      <c r="J162" s="5">
        <f t="shared" si="11"/>
        <v>1865.9</v>
      </c>
      <c r="K162" s="5">
        <v>13105.86</v>
      </c>
    </row>
    <row r="163" spans="1:11" x14ac:dyDescent="0.25">
      <c r="A163" s="5">
        <f t="shared" si="8"/>
        <v>2024</v>
      </c>
      <c r="B163" s="5">
        <f t="shared" si="9"/>
        <v>8</v>
      </c>
      <c r="C163" s="6">
        <v>45532</v>
      </c>
      <c r="D163" s="5" t="s">
        <v>539</v>
      </c>
      <c r="E163" s="5" t="s">
        <v>902</v>
      </c>
      <c r="G163" s="5">
        <v>-1775.67</v>
      </c>
      <c r="H163" s="5">
        <f t="shared" si="10"/>
        <v>1775.67</v>
      </c>
      <c r="I163" s="5">
        <v>-1775.67</v>
      </c>
      <c r="J163" s="5">
        <f t="shared" si="11"/>
        <v>1775.67</v>
      </c>
      <c r="K163" s="5">
        <v>33326.720000000001</v>
      </c>
    </row>
    <row r="164" spans="1:11" x14ac:dyDescent="0.25">
      <c r="A164" s="5">
        <f t="shared" si="8"/>
        <v>2025</v>
      </c>
      <c r="B164" s="5">
        <f t="shared" si="9"/>
        <v>2</v>
      </c>
      <c r="C164" s="6">
        <v>45708</v>
      </c>
      <c r="D164" s="5" t="s">
        <v>877</v>
      </c>
      <c r="E164" s="5" t="s">
        <v>902</v>
      </c>
      <c r="G164" s="5">
        <v>-1733.18</v>
      </c>
      <c r="H164" s="5">
        <f t="shared" si="10"/>
        <v>1733.18</v>
      </c>
      <c r="I164" s="5">
        <v>-1733.18</v>
      </c>
      <c r="J164" s="5">
        <f t="shared" si="11"/>
        <v>1733.18</v>
      </c>
      <c r="K164" s="5">
        <v>58268.38</v>
      </c>
    </row>
    <row r="165" spans="1:11" x14ac:dyDescent="0.25">
      <c r="A165" s="5">
        <f t="shared" si="8"/>
        <v>2024</v>
      </c>
      <c r="B165" s="5">
        <f t="shared" si="9"/>
        <v>2</v>
      </c>
      <c r="C165" s="6">
        <v>45335</v>
      </c>
      <c r="D165" s="5" t="s">
        <v>183</v>
      </c>
      <c r="E165" s="5" t="s">
        <v>902</v>
      </c>
      <c r="G165" s="5">
        <v>-1677.56</v>
      </c>
      <c r="H165" s="5">
        <f t="shared" si="10"/>
        <v>1677.56</v>
      </c>
      <c r="I165" s="5">
        <v>-1677.56</v>
      </c>
      <c r="J165" s="5">
        <f t="shared" si="11"/>
        <v>1677.56</v>
      </c>
      <c r="K165" s="5">
        <v>18118.669999999998</v>
      </c>
    </row>
    <row r="166" spans="1:11" x14ac:dyDescent="0.25">
      <c r="A166" s="5">
        <f t="shared" si="8"/>
        <v>2023</v>
      </c>
      <c r="B166" s="5">
        <f t="shared" si="9"/>
        <v>11</v>
      </c>
      <c r="C166" s="6">
        <v>45245</v>
      </c>
      <c r="D166" s="5" t="s">
        <v>69</v>
      </c>
      <c r="E166" s="5" t="s">
        <v>902</v>
      </c>
      <c r="G166" s="5">
        <v>-1669.58</v>
      </c>
      <c r="H166" s="5">
        <f t="shared" si="10"/>
        <v>1669.58</v>
      </c>
      <c r="I166" s="5">
        <v>-1669.58</v>
      </c>
      <c r="J166" s="5">
        <f t="shared" si="11"/>
        <v>1669.58</v>
      </c>
      <c r="K166" s="5">
        <v>37874.449999999997</v>
      </c>
    </row>
    <row r="167" spans="1:11" x14ac:dyDescent="0.25">
      <c r="A167" s="5">
        <f t="shared" si="8"/>
        <v>2024</v>
      </c>
      <c r="B167" s="5">
        <f t="shared" si="9"/>
        <v>7</v>
      </c>
      <c r="C167" s="6">
        <v>45492</v>
      </c>
      <c r="D167" s="5" t="s">
        <v>449</v>
      </c>
      <c r="E167" s="5" t="s">
        <v>902</v>
      </c>
      <c r="G167" s="5">
        <v>-1640.36</v>
      </c>
      <c r="H167" s="5">
        <f t="shared" si="10"/>
        <v>1640.36</v>
      </c>
      <c r="I167" s="5">
        <v>-1640.36</v>
      </c>
      <c r="J167" s="5">
        <f t="shared" si="11"/>
        <v>1640.36</v>
      </c>
      <c r="K167" s="5">
        <v>49112.63</v>
      </c>
    </row>
    <row r="168" spans="1:11" x14ac:dyDescent="0.25">
      <c r="A168" s="5">
        <f t="shared" si="8"/>
        <v>2023</v>
      </c>
      <c r="B168" s="5">
        <f t="shared" si="9"/>
        <v>11</v>
      </c>
      <c r="C168" s="6">
        <v>45240</v>
      </c>
      <c r="D168" s="5" t="s">
        <v>67</v>
      </c>
      <c r="E168" s="5" t="s">
        <v>902</v>
      </c>
      <c r="G168" s="5">
        <v>-1615</v>
      </c>
      <c r="H168" s="5">
        <f t="shared" si="10"/>
        <v>1615</v>
      </c>
      <c r="I168" s="5">
        <v>-1615</v>
      </c>
      <c r="J168" s="5">
        <f t="shared" si="11"/>
        <v>1615</v>
      </c>
      <c r="K168" s="5">
        <v>39992.93</v>
      </c>
    </row>
    <row r="169" spans="1:11" x14ac:dyDescent="0.25">
      <c r="A169" s="5">
        <f t="shared" si="8"/>
        <v>2024</v>
      </c>
      <c r="B169" s="5">
        <f t="shared" si="9"/>
        <v>11</v>
      </c>
      <c r="C169" s="6">
        <v>45614</v>
      </c>
      <c r="D169" s="5" t="s">
        <v>748</v>
      </c>
      <c r="E169" s="5" t="s">
        <v>902</v>
      </c>
      <c r="G169" s="5">
        <v>-1601.1</v>
      </c>
      <c r="H169" s="5">
        <f t="shared" si="10"/>
        <v>1601.1</v>
      </c>
      <c r="I169" s="5">
        <v>-1601.1</v>
      </c>
      <c r="J169" s="5">
        <f t="shared" si="11"/>
        <v>1601.1</v>
      </c>
      <c r="K169" s="5">
        <v>4633.67</v>
      </c>
    </row>
    <row r="170" spans="1:11" x14ac:dyDescent="0.25">
      <c r="A170" s="5">
        <f t="shared" si="8"/>
        <v>2024</v>
      </c>
      <c r="B170" s="5">
        <f t="shared" si="9"/>
        <v>8</v>
      </c>
      <c r="C170" s="6">
        <v>45506</v>
      </c>
      <c r="D170" s="5" t="s">
        <v>487</v>
      </c>
      <c r="E170" s="5" t="s">
        <v>902</v>
      </c>
      <c r="G170" s="5">
        <v>-1598</v>
      </c>
      <c r="H170" s="5">
        <f t="shared" si="10"/>
        <v>1598</v>
      </c>
      <c r="I170" s="5">
        <v>-1598</v>
      </c>
      <c r="J170" s="5">
        <f t="shared" si="11"/>
        <v>1598</v>
      </c>
      <c r="K170" s="5">
        <v>44088.15</v>
      </c>
    </row>
    <row r="171" spans="1:11" x14ac:dyDescent="0.25">
      <c r="A171" s="5">
        <f t="shared" si="8"/>
        <v>2024</v>
      </c>
      <c r="B171" s="5">
        <f t="shared" si="9"/>
        <v>10</v>
      </c>
      <c r="C171" s="6">
        <v>45566</v>
      </c>
      <c r="D171" s="5" t="s">
        <v>308</v>
      </c>
      <c r="E171" s="5" t="s">
        <v>902</v>
      </c>
      <c r="G171" s="5">
        <v>-1573.87</v>
      </c>
      <c r="H171" s="5">
        <f t="shared" si="10"/>
        <v>1573.87</v>
      </c>
      <c r="I171" s="5">
        <v>-1573.87</v>
      </c>
      <c r="J171" s="5">
        <f t="shared" si="11"/>
        <v>1573.87</v>
      </c>
      <c r="K171" s="5">
        <v>87574.85</v>
      </c>
    </row>
    <row r="172" spans="1:11" x14ac:dyDescent="0.25">
      <c r="A172" s="5">
        <f t="shared" si="8"/>
        <v>2024</v>
      </c>
      <c r="B172" s="5">
        <f t="shared" si="9"/>
        <v>11</v>
      </c>
      <c r="C172" s="6">
        <v>45609</v>
      </c>
      <c r="D172" s="5" t="s">
        <v>735</v>
      </c>
      <c r="E172" s="5" t="s">
        <v>902</v>
      </c>
      <c r="G172" s="5">
        <v>-1539.94</v>
      </c>
      <c r="H172" s="5">
        <f t="shared" si="10"/>
        <v>1539.94</v>
      </c>
      <c r="I172" s="5">
        <v>-1539.94</v>
      </c>
      <c r="J172" s="5">
        <f t="shared" si="11"/>
        <v>1539.94</v>
      </c>
      <c r="K172" s="5">
        <v>28601.49</v>
      </c>
    </row>
    <row r="173" spans="1:11" x14ac:dyDescent="0.25">
      <c r="A173" s="5">
        <f t="shared" si="8"/>
        <v>2024</v>
      </c>
      <c r="B173" s="5">
        <f t="shared" si="9"/>
        <v>7</v>
      </c>
      <c r="C173" s="6">
        <v>45495</v>
      </c>
      <c r="D173" s="5" t="s">
        <v>453</v>
      </c>
      <c r="E173" s="5" t="s">
        <v>902</v>
      </c>
      <c r="G173" s="5">
        <v>-1524.69</v>
      </c>
      <c r="H173" s="5">
        <f t="shared" si="10"/>
        <v>1524.69</v>
      </c>
      <c r="I173" s="5">
        <v>-1524.69</v>
      </c>
      <c r="J173" s="5">
        <f t="shared" si="11"/>
        <v>1524.69</v>
      </c>
      <c r="K173" s="5">
        <v>50258.79</v>
      </c>
    </row>
    <row r="174" spans="1:11" x14ac:dyDescent="0.25">
      <c r="A174" s="5">
        <f t="shared" si="8"/>
        <v>2024</v>
      </c>
      <c r="B174" s="5">
        <f t="shared" si="9"/>
        <v>8</v>
      </c>
      <c r="C174" s="6">
        <v>45524</v>
      </c>
      <c r="D174" s="5" t="s">
        <v>521</v>
      </c>
      <c r="E174" s="5" t="s">
        <v>902</v>
      </c>
      <c r="G174" s="5">
        <v>-1512.13</v>
      </c>
      <c r="H174" s="5">
        <f t="shared" si="10"/>
        <v>1512.13</v>
      </c>
      <c r="I174" s="5">
        <v>-1512.13</v>
      </c>
      <c r="J174" s="5">
        <f t="shared" si="11"/>
        <v>1512.13</v>
      </c>
      <c r="K174" s="5">
        <v>60337.07</v>
      </c>
    </row>
    <row r="175" spans="1:11" x14ac:dyDescent="0.25">
      <c r="A175" s="5">
        <f t="shared" si="8"/>
        <v>2024</v>
      </c>
      <c r="B175" s="5">
        <f t="shared" si="9"/>
        <v>9</v>
      </c>
      <c r="C175" s="6">
        <v>45541</v>
      </c>
      <c r="D175" s="5" t="s">
        <v>569</v>
      </c>
      <c r="E175" s="5" t="s">
        <v>902</v>
      </c>
      <c r="G175" s="5">
        <v>-1500</v>
      </c>
      <c r="H175" s="5">
        <f t="shared" si="10"/>
        <v>1500</v>
      </c>
      <c r="I175" s="5">
        <v>-1500</v>
      </c>
      <c r="J175" s="5">
        <f t="shared" si="11"/>
        <v>1500</v>
      </c>
      <c r="K175" s="5">
        <v>78496.95</v>
      </c>
    </row>
    <row r="176" spans="1:11" x14ac:dyDescent="0.25">
      <c r="A176" s="5">
        <f t="shared" si="8"/>
        <v>2023</v>
      </c>
      <c r="B176" s="5">
        <f t="shared" si="9"/>
        <v>10</v>
      </c>
      <c r="C176" s="6">
        <v>45204</v>
      </c>
      <c r="D176" s="5" t="s">
        <v>34</v>
      </c>
      <c r="E176" s="5" t="s">
        <v>902</v>
      </c>
      <c r="G176" s="5">
        <v>-1488.54</v>
      </c>
      <c r="H176" s="5">
        <f t="shared" si="10"/>
        <v>1488.54</v>
      </c>
      <c r="I176" s="5">
        <v>-1488.54</v>
      </c>
      <c r="J176" s="5">
        <f t="shared" si="11"/>
        <v>1488.54</v>
      </c>
      <c r="K176" s="5">
        <v>11936.36</v>
      </c>
    </row>
    <row r="177" spans="1:11" x14ac:dyDescent="0.25">
      <c r="A177" s="5">
        <f t="shared" si="8"/>
        <v>2024</v>
      </c>
      <c r="B177" s="5">
        <f t="shared" si="9"/>
        <v>6</v>
      </c>
      <c r="C177" s="6">
        <v>45456</v>
      </c>
      <c r="D177" s="5" t="s">
        <v>379</v>
      </c>
      <c r="E177" s="5" t="s">
        <v>902</v>
      </c>
      <c r="G177" s="5">
        <v>-1484.4</v>
      </c>
      <c r="H177" s="5">
        <f t="shared" si="10"/>
        <v>1484.4</v>
      </c>
      <c r="I177" s="5">
        <v>-1484.4</v>
      </c>
      <c r="J177" s="5">
        <f t="shared" si="11"/>
        <v>1484.4</v>
      </c>
      <c r="K177" s="5">
        <v>43395.26</v>
      </c>
    </row>
    <row r="178" spans="1:11" x14ac:dyDescent="0.25">
      <c r="A178" s="5">
        <f t="shared" si="8"/>
        <v>2024</v>
      </c>
      <c r="B178" s="5">
        <f t="shared" si="9"/>
        <v>7</v>
      </c>
      <c r="C178" s="6">
        <v>45499</v>
      </c>
      <c r="D178" s="5" t="s">
        <v>465</v>
      </c>
      <c r="E178" s="5" t="s">
        <v>902</v>
      </c>
      <c r="G178" s="5">
        <v>-1479.22</v>
      </c>
      <c r="H178" s="5">
        <f t="shared" si="10"/>
        <v>1479.22</v>
      </c>
      <c r="I178" s="5">
        <v>-1479.22</v>
      </c>
      <c r="J178" s="5">
        <f t="shared" si="11"/>
        <v>1479.22</v>
      </c>
      <c r="K178" s="5">
        <v>19993.009999999998</v>
      </c>
    </row>
    <row r="179" spans="1:11" x14ac:dyDescent="0.25">
      <c r="A179" s="5">
        <f t="shared" si="8"/>
        <v>2024</v>
      </c>
      <c r="B179" s="5">
        <f t="shared" si="9"/>
        <v>6</v>
      </c>
      <c r="C179" s="6">
        <v>45470</v>
      </c>
      <c r="D179" s="5" t="s">
        <v>401</v>
      </c>
      <c r="E179" s="5" t="s">
        <v>902</v>
      </c>
      <c r="G179" s="5">
        <v>-1478</v>
      </c>
      <c r="H179" s="5">
        <f t="shared" si="10"/>
        <v>1478</v>
      </c>
      <c r="I179" s="5">
        <v>-1478</v>
      </c>
      <c r="J179" s="5">
        <f t="shared" si="11"/>
        <v>1478</v>
      </c>
      <c r="K179" s="5">
        <v>78919.17</v>
      </c>
    </row>
    <row r="180" spans="1:11" x14ac:dyDescent="0.25">
      <c r="A180" s="5">
        <f t="shared" si="8"/>
        <v>2024</v>
      </c>
      <c r="B180" s="5">
        <f t="shared" si="9"/>
        <v>9</v>
      </c>
      <c r="C180" s="6">
        <v>45561</v>
      </c>
      <c r="D180" s="5" t="s">
        <v>614</v>
      </c>
      <c r="E180" s="5" t="s">
        <v>902</v>
      </c>
      <c r="G180" s="5">
        <v>-1445</v>
      </c>
      <c r="H180" s="5">
        <f t="shared" si="10"/>
        <v>1445</v>
      </c>
      <c r="I180" s="5">
        <v>-1445</v>
      </c>
      <c r="J180" s="5">
        <f t="shared" si="11"/>
        <v>1445</v>
      </c>
      <c r="K180" s="5">
        <v>81530.55</v>
      </c>
    </row>
    <row r="181" spans="1:11" x14ac:dyDescent="0.25">
      <c r="A181" s="5">
        <f t="shared" si="8"/>
        <v>2024</v>
      </c>
      <c r="B181" s="5">
        <f t="shared" si="9"/>
        <v>5</v>
      </c>
      <c r="C181" s="6">
        <v>45441</v>
      </c>
      <c r="D181" s="5" t="s">
        <v>356</v>
      </c>
      <c r="E181" s="5" t="s">
        <v>902</v>
      </c>
      <c r="G181" s="5">
        <v>-1428</v>
      </c>
      <c r="H181" s="5">
        <f t="shared" si="10"/>
        <v>1428</v>
      </c>
      <c r="I181" s="5">
        <v>-1428</v>
      </c>
      <c r="J181" s="5">
        <f t="shared" si="11"/>
        <v>1428</v>
      </c>
      <c r="K181" s="5">
        <v>24717.54</v>
      </c>
    </row>
    <row r="182" spans="1:11" x14ac:dyDescent="0.25">
      <c r="A182" s="5">
        <f t="shared" si="8"/>
        <v>2025</v>
      </c>
      <c r="B182" s="5">
        <f t="shared" si="9"/>
        <v>1</v>
      </c>
      <c r="C182" s="6">
        <v>45666</v>
      </c>
      <c r="D182" s="5" t="s">
        <v>830</v>
      </c>
      <c r="E182" s="5" t="s">
        <v>902</v>
      </c>
      <c r="G182" s="5">
        <v>-1420</v>
      </c>
      <c r="H182" s="5">
        <f t="shared" si="10"/>
        <v>1420</v>
      </c>
      <c r="I182" s="5">
        <v>-1420</v>
      </c>
      <c r="J182" s="5">
        <f t="shared" si="11"/>
        <v>1420</v>
      </c>
      <c r="K182" s="5">
        <v>77504.63</v>
      </c>
    </row>
    <row r="183" spans="1:11" x14ac:dyDescent="0.25">
      <c r="A183" s="5">
        <f t="shared" si="8"/>
        <v>2024</v>
      </c>
      <c r="B183" s="5">
        <f t="shared" si="9"/>
        <v>2</v>
      </c>
      <c r="C183" s="6">
        <v>45349</v>
      </c>
      <c r="D183" s="5" t="s">
        <v>199</v>
      </c>
      <c r="E183" s="5" t="s">
        <v>902</v>
      </c>
      <c r="G183" s="5">
        <v>-1388.76</v>
      </c>
      <c r="H183" s="5">
        <f t="shared" si="10"/>
        <v>1388.76</v>
      </c>
      <c r="I183" s="5">
        <v>-1388.76</v>
      </c>
      <c r="J183" s="5">
        <f t="shared" si="11"/>
        <v>1388.76</v>
      </c>
      <c r="K183" s="5">
        <v>22762.400000000001</v>
      </c>
    </row>
    <row r="184" spans="1:11" x14ac:dyDescent="0.25">
      <c r="A184" s="5">
        <f t="shared" si="8"/>
        <v>2024</v>
      </c>
      <c r="B184" s="5">
        <f t="shared" si="9"/>
        <v>2</v>
      </c>
      <c r="C184" s="6">
        <v>45349</v>
      </c>
      <c r="D184" s="5" t="s">
        <v>197</v>
      </c>
      <c r="E184" s="5" t="s">
        <v>902</v>
      </c>
      <c r="G184" s="5">
        <v>-1384.18</v>
      </c>
      <c r="H184" s="5">
        <f t="shared" si="10"/>
        <v>1384.18</v>
      </c>
      <c r="I184" s="5">
        <v>-1384.18</v>
      </c>
      <c r="J184" s="5">
        <f t="shared" si="11"/>
        <v>1384.18</v>
      </c>
      <c r="K184" s="5">
        <v>25002.44</v>
      </c>
    </row>
    <row r="185" spans="1:11" x14ac:dyDescent="0.25">
      <c r="A185" s="5">
        <f t="shared" si="8"/>
        <v>2024</v>
      </c>
      <c r="B185" s="5">
        <f t="shared" si="9"/>
        <v>11</v>
      </c>
      <c r="C185" s="6">
        <v>45597</v>
      </c>
      <c r="D185" s="5" t="s">
        <v>308</v>
      </c>
      <c r="E185" s="5" t="s">
        <v>902</v>
      </c>
      <c r="G185" s="5">
        <v>-1355.56</v>
      </c>
      <c r="H185" s="5">
        <f t="shared" si="10"/>
        <v>1355.56</v>
      </c>
      <c r="I185" s="5">
        <v>-1355.56</v>
      </c>
      <c r="J185" s="5">
        <f t="shared" si="11"/>
        <v>1355.56</v>
      </c>
      <c r="K185" s="5">
        <v>30307.4</v>
      </c>
    </row>
    <row r="186" spans="1:11" x14ac:dyDescent="0.25">
      <c r="A186" s="5">
        <f t="shared" si="8"/>
        <v>2024</v>
      </c>
      <c r="B186" s="5">
        <f t="shared" si="9"/>
        <v>8</v>
      </c>
      <c r="C186" s="6">
        <v>45534</v>
      </c>
      <c r="D186" s="5" t="s">
        <v>545</v>
      </c>
      <c r="E186" s="5" t="s">
        <v>902</v>
      </c>
      <c r="G186" s="5">
        <v>-1347.12</v>
      </c>
      <c r="H186" s="5">
        <f t="shared" si="10"/>
        <v>1347.12</v>
      </c>
      <c r="I186" s="5">
        <v>-1347.12</v>
      </c>
      <c r="J186" s="5">
        <f t="shared" si="11"/>
        <v>1347.12</v>
      </c>
      <c r="K186" s="5">
        <v>31350.45</v>
      </c>
    </row>
    <row r="187" spans="1:11" x14ac:dyDescent="0.25">
      <c r="A187" s="5">
        <f t="shared" si="8"/>
        <v>2024</v>
      </c>
      <c r="B187" s="5">
        <f t="shared" si="9"/>
        <v>4</v>
      </c>
      <c r="C187" s="6">
        <v>45405</v>
      </c>
      <c r="D187" s="5" t="s">
        <v>295</v>
      </c>
      <c r="E187" s="5" t="s">
        <v>902</v>
      </c>
      <c r="G187" s="5">
        <v>-1317.99</v>
      </c>
      <c r="H187" s="5">
        <f t="shared" si="10"/>
        <v>1317.99</v>
      </c>
      <c r="I187" s="5">
        <v>-1317.99</v>
      </c>
      <c r="J187" s="5">
        <f t="shared" si="11"/>
        <v>1317.99</v>
      </c>
      <c r="K187" s="5">
        <v>12207.91</v>
      </c>
    </row>
    <row r="188" spans="1:11" x14ac:dyDescent="0.25">
      <c r="A188" s="5">
        <f t="shared" si="8"/>
        <v>2025</v>
      </c>
      <c r="B188" s="5">
        <f t="shared" si="9"/>
        <v>3</v>
      </c>
      <c r="C188" s="6">
        <v>45719</v>
      </c>
      <c r="D188" s="5" t="s">
        <v>819</v>
      </c>
      <c r="E188" s="5" t="s">
        <v>902</v>
      </c>
      <c r="G188" s="5">
        <v>-1316.64</v>
      </c>
      <c r="H188" s="5">
        <f t="shared" si="10"/>
        <v>1316.64</v>
      </c>
      <c r="I188" s="5">
        <v>-1316.64</v>
      </c>
      <c r="J188" s="5">
        <f t="shared" si="11"/>
        <v>1316.64</v>
      </c>
      <c r="K188" s="5">
        <v>79611.539999999994</v>
      </c>
    </row>
    <row r="189" spans="1:11" x14ac:dyDescent="0.25">
      <c r="A189" s="5">
        <f t="shared" si="8"/>
        <v>2024</v>
      </c>
      <c r="B189" s="5">
        <f t="shared" si="9"/>
        <v>2</v>
      </c>
      <c r="C189" s="6">
        <v>45327</v>
      </c>
      <c r="D189" s="5" t="s">
        <v>173</v>
      </c>
      <c r="E189" s="5" t="s">
        <v>902</v>
      </c>
      <c r="G189" s="5">
        <v>-1311.14</v>
      </c>
      <c r="H189" s="5">
        <f t="shared" si="10"/>
        <v>1311.14</v>
      </c>
      <c r="I189" s="5">
        <v>-1311.14</v>
      </c>
      <c r="J189" s="5">
        <f t="shared" si="11"/>
        <v>1311.14</v>
      </c>
      <c r="K189" s="5">
        <v>35192.76</v>
      </c>
    </row>
    <row r="190" spans="1:11" x14ac:dyDescent="0.25">
      <c r="A190" s="5">
        <f t="shared" si="8"/>
        <v>2024</v>
      </c>
      <c r="B190" s="5">
        <f t="shared" si="9"/>
        <v>5</v>
      </c>
      <c r="C190" s="6">
        <v>45436</v>
      </c>
      <c r="D190" s="5" t="s">
        <v>347</v>
      </c>
      <c r="E190" s="5" t="s">
        <v>902</v>
      </c>
      <c r="G190" s="5">
        <v>-1280.52</v>
      </c>
      <c r="H190" s="5">
        <f t="shared" si="10"/>
        <v>1280.52</v>
      </c>
      <c r="I190" s="5">
        <v>-1280.52</v>
      </c>
      <c r="J190" s="5">
        <f t="shared" si="11"/>
        <v>1280.52</v>
      </c>
      <c r="K190" s="5">
        <v>17254.349999999999</v>
      </c>
    </row>
    <row r="191" spans="1:11" x14ac:dyDescent="0.25">
      <c r="A191" s="5">
        <f t="shared" si="8"/>
        <v>2025</v>
      </c>
      <c r="B191" s="5">
        <f t="shared" si="9"/>
        <v>2</v>
      </c>
      <c r="C191" s="6">
        <v>45706</v>
      </c>
      <c r="D191" s="5" t="s">
        <v>869</v>
      </c>
      <c r="E191" s="5" t="s">
        <v>902</v>
      </c>
      <c r="G191" s="5">
        <v>-1275.9100000000001</v>
      </c>
      <c r="H191" s="5">
        <f t="shared" si="10"/>
        <v>1275.9100000000001</v>
      </c>
      <c r="I191" s="5">
        <v>-1275.9100000000001</v>
      </c>
      <c r="J191" s="5">
        <f t="shared" si="11"/>
        <v>1275.9100000000001</v>
      </c>
      <c r="K191" s="5">
        <v>56838.98</v>
      </c>
    </row>
    <row r="192" spans="1:11" x14ac:dyDescent="0.25">
      <c r="A192" s="5">
        <f t="shared" si="8"/>
        <v>2024</v>
      </c>
      <c r="B192" s="5">
        <f t="shared" si="9"/>
        <v>6</v>
      </c>
      <c r="C192" s="6">
        <v>45471</v>
      </c>
      <c r="D192" s="5" t="s">
        <v>409</v>
      </c>
      <c r="E192" s="5" t="s">
        <v>902</v>
      </c>
      <c r="G192" s="5">
        <v>-1270.3900000000001</v>
      </c>
      <c r="H192" s="5">
        <f t="shared" si="10"/>
        <v>1270.3900000000001</v>
      </c>
      <c r="I192" s="5">
        <v>-1270.3900000000001</v>
      </c>
      <c r="J192" s="5">
        <f t="shared" si="11"/>
        <v>1270.3900000000001</v>
      </c>
      <c r="K192" s="5">
        <v>65435.71</v>
      </c>
    </row>
    <row r="193" spans="1:11" x14ac:dyDescent="0.25">
      <c r="A193" s="5">
        <f t="shared" si="8"/>
        <v>2024</v>
      </c>
      <c r="B193" s="5">
        <f t="shared" si="9"/>
        <v>6</v>
      </c>
      <c r="C193" s="6">
        <v>45460</v>
      </c>
      <c r="D193" s="5" t="s">
        <v>389</v>
      </c>
      <c r="E193" s="5" t="s">
        <v>902</v>
      </c>
      <c r="G193" s="5">
        <v>-1261.74</v>
      </c>
      <c r="H193" s="5">
        <f t="shared" si="10"/>
        <v>1261.74</v>
      </c>
      <c r="I193" s="5">
        <v>-1261.74</v>
      </c>
      <c r="J193" s="5">
        <f t="shared" si="11"/>
        <v>1261.74</v>
      </c>
      <c r="K193" s="5">
        <v>33137.72</v>
      </c>
    </row>
    <row r="194" spans="1:11" x14ac:dyDescent="0.25">
      <c r="A194" s="5">
        <f t="shared" si="8"/>
        <v>2024</v>
      </c>
      <c r="B194" s="5">
        <f t="shared" si="9"/>
        <v>9</v>
      </c>
      <c r="C194" s="6">
        <v>45553</v>
      </c>
      <c r="D194" s="5" t="s">
        <v>596</v>
      </c>
      <c r="E194" s="5" t="s">
        <v>902</v>
      </c>
      <c r="G194" s="5">
        <v>-1260.4100000000001</v>
      </c>
      <c r="H194" s="5">
        <f t="shared" si="10"/>
        <v>1260.4100000000001</v>
      </c>
      <c r="I194" s="5">
        <v>-1260.4100000000001</v>
      </c>
      <c r="J194" s="5">
        <f t="shared" si="11"/>
        <v>1260.4100000000001</v>
      </c>
      <c r="K194" s="5">
        <v>84212.75</v>
      </c>
    </row>
    <row r="195" spans="1:11" x14ac:dyDescent="0.25">
      <c r="A195" s="5">
        <f t="shared" ref="A195:A258" si="12">YEAR(C195)</f>
        <v>2023</v>
      </c>
      <c r="B195" s="5">
        <f t="shared" ref="B195:B258" si="13">MONTH(C195)</f>
        <v>10</v>
      </c>
      <c r="C195" s="6">
        <v>45210</v>
      </c>
      <c r="D195" s="5" t="s">
        <v>46</v>
      </c>
      <c r="E195" s="5" t="s">
        <v>902</v>
      </c>
      <c r="G195" s="5">
        <v>-1259.3499999999999</v>
      </c>
      <c r="H195" s="5">
        <f t="shared" ref="H195:H258" si="14">(-1*G195)</f>
        <v>1259.3499999999999</v>
      </c>
      <c r="I195" s="5">
        <v>-1259.3499999999999</v>
      </c>
      <c r="J195" s="5">
        <f t="shared" ref="J195:J258" si="15">(F195+H195)</f>
        <v>1259.3499999999999</v>
      </c>
      <c r="K195" s="5">
        <v>3160.76</v>
      </c>
    </row>
    <row r="196" spans="1:11" x14ac:dyDescent="0.25">
      <c r="A196" s="5">
        <f t="shared" si="12"/>
        <v>2024</v>
      </c>
      <c r="B196" s="5">
        <f t="shared" si="13"/>
        <v>4</v>
      </c>
      <c r="C196" s="6">
        <v>45411</v>
      </c>
      <c r="D196" s="5" t="s">
        <v>305</v>
      </c>
      <c r="E196" s="5" t="s">
        <v>902</v>
      </c>
      <c r="G196" s="5">
        <v>-1248.1199999999999</v>
      </c>
      <c r="H196" s="5">
        <f t="shared" si="14"/>
        <v>1248.1199999999999</v>
      </c>
      <c r="I196" s="5">
        <v>-1248.1199999999999</v>
      </c>
      <c r="J196" s="5">
        <f t="shared" si="15"/>
        <v>1248.1199999999999</v>
      </c>
      <c r="K196" s="5">
        <v>20624.11</v>
      </c>
    </row>
    <row r="197" spans="1:11" x14ac:dyDescent="0.25">
      <c r="A197" s="5">
        <f t="shared" si="12"/>
        <v>2024</v>
      </c>
      <c r="B197" s="5">
        <f t="shared" si="13"/>
        <v>9</v>
      </c>
      <c r="C197" s="6">
        <v>45552</v>
      </c>
      <c r="D197" s="5" t="s">
        <v>592</v>
      </c>
      <c r="E197" s="5" t="s">
        <v>902</v>
      </c>
      <c r="G197" s="5">
        <v>-1200</v>
      </c>
      <c r="H197" s="5">
        <f t="shared" si="14"/>
        <v>1200</v>
      </c>
      <c r="I197" s="5">
        <v>-1200</v>
      </c>
      <c r="J197" s="5">
        <f t="shared" si="15"/>
        <v>1200</v>
      </c>
      <c r="K197" s="5">
        <v>85813.48</v>
      </c>
    </row>
    <row r="198" spans="1:11" x14ac:dyDescent="0.25">
      <c r="A198" s="5">
        <f t="shared" si="12"/>
        <v>2024</v>
      </c>
      <c r="B198" s="5">
        <f t="shared" si="13"/>
        <v>10</v>
      </c>
      <c r="C198" s="6">
        <v>45567</v>
      </c>
      <c r="D198" s="5" t="s">
        <v>635</v>
      </c>
      <c r="E198" s="5" t="s">
        <v>902</v>
      </c>
      <c r="G198" s="5">
        <v>-1200</v>
      </c>
      <c r="H198" s="5">
        <f t="shared" si="14"/>
        <v>1200</v>
      </c>
      <c r="I198" s="5">
        <v>-1200</v>
      </c>
      <c r="J198" s="5">
        <f t="shared" si="15"/>
        <v>1200</v>
      </c>
      <c r="K198" s="5">
        <v>78014.41</v>
      </c>
    </row>
    <row r="199" spans="1:11" x14ac:dyDescent="0.25">
      <c r="A199" s="5">
        <f t="shared" si="12"/>
        <v>2024</v>
      </c>
      <c r="B199" s="5">
        <f t="shared" si="13"/>
        <v>10</v>
      </c>
      <c r="C199" s="6">
        <v>45581</v>
      </c>
      <c r="D199" s="5" t="s">
        <v>675</v>
      </c>
      <c r="E199" s="5" t="s">
        <v>902</v>
      </c>
      <c r="G199" s="5">
        <v>-1200</v>
      </c>
      <c r="H199" s="5">
        <f t="shared" si="14"/>
        <v>1200</v>
      </c>
      <c r="I199" s="5">
        <v>-1200</v>
      </c>
      <c r="J199" s="5">
        <f t="shared" si="15"/>
        <v>1200</v>
      </c>
      <c r="K199" s="5">
        <v>96852.800000000003</v>
      </c>
    </row>
    <row r="200" spans="1:11" x14ac:dyDescent="0.25">
      <c r="A200" s="5">
        <f t="shared" si="12"/>
        <v>2024</v>
      </c>
      <c r="B200" s="5">
        <f t="shared" si="13"/>
        <v>10</v>
      </c>
      <c r="C200" s="6">
        <v>45595</v>
      </c>
      <c r="D200" s="5" t="s">
        <v>699</v>
      </c>
      <c r="E200" s="5" t="s">
        <v>902</v>
      </c>
      <c r="G200" s="5">
        <v>-1200</v>
      </c>
      <c r="H200" s="5">
        <f t="shared" si="14"/>
        <v>1200</v>
      </c>
      <c r="I200" s="5">
        <v>-1200</v>
      </c>
      <c r="J200" s="5">
        <f t="shared" si="15"/>
        <v>1200</v>
      </c>
      <c r="K200" s="5">
        <v>74008.86</v>
      </c>
    </row>
    <row r="201" spans="1:11" x14ac:dyDescent="0.25">
      <c r="A201" s="5">
        <f t="shared" si="12"/>
        <v>2023</v>
      </c>
      <c r="B201" s="5">
        <f t="shared" si="13"/>
        <v>9</v>
      </c>
      <c r="C201" s="6">
        <v>45177</v>
      </c>
      <c r="D201" s="5" t="s">
        <v>11</v>
      </c>
      <c r="E201" s="5" t="s">
        <v>902</v>
      </c>
      <c r="G201" s="5">
        <v>-1177</v>
      </c>
      <c r="H201" s="5">
        <f t="shared" si="14"/>
        <v>1177</v>
      </c>
      <c r="I201" s="5">
        <v>-1177</v>
      </c>
      <c r="J201" s="5">
        <f t="shared" si="15"/>
        <v>1177</v>
      </c>
      <c r="K201" s="5">
        <v>5429.02</v>
      </c>
    </row>
    <row r="202" spans="1:11" x14ac:dyDescent="0.25">
      <c r="A202" s="5">
        <f t="shared" si="12"/>
        <v>2024</v>
      </c>
      <c r="B202" s="5">
        <f t="shared" si="13"/>
        <v>7</v>
      </c>
      <c r="C202" s="6">
        <v>45474</v>
      </c>
      <c r="D202" s="5" t="s">
        <v>308</v>
      </c>
      <c r="E202" s="5" t="s">
        <v>902</v>
      </c>
      <c r="G202" s="5">
        <v>-1151.3699999999999</v>
      </c>
      <c r="H202" s="5">
        <f t="shared" si="14"/>
        <v>1151.3699999999999</v>
      </c>
      <c r="I202" s="5">
        <v>-1151.3699999999999</v>
      </c>
      <c r="J202" s="5">
        <f t="shared" si="15"/>
        <v>1151.3699999999999</v>
      </c>
      <c r="K202" s="5">
        <v>61672.18</v>
      </c>
    </row>
    <row r="203" spans="1:11" x14ac:dyDescent="0.25">
      <c r="A203" s="5">
        <f t="shared" si="12"/>
        <v>2025</v>
      </c>
      <c r="B203" s="5">
        <f t="shared" si="13"/>
        <v>2</v>
      </c>
      <c r="C203" s="6">
        <v>45712</v>
      </c>
      <c r="D203" s="5" t="s">
        <v>883</v>
      </c>
      <c r="E203" s="5" t="s">
        <v>902</v>
      </c>
      <c r="G203" s="5">
        <v>-1136.1400000000001</v>
      </c>
      <c r="H203" s="5">
        <f t="shared" si="14"/>
        <v>1136.1400000000001</v>
      </c>
      <c r="I203" s="5">
        <v>-1136.1400000000001</v>
      </c>
      <c r="J203" s="5">
        <f t="shared" si="15"/>
        <v>1136.1400000000001</v>
      </c>
      <c r="K203" s="5">
        <v>61845.38</v>
      </c>
    </row>
    <row r="204" spans="1:11" x14ac:dyDescent="0.25">
      <c r="A204" s="5">
        <f t="shared" si="12"/>
        <v>2024</v>
      </c>
      <c r="B204" s="5">
        <f t="shared" si="13"/>
        <v>2</v>
      </c>
      <c r="C204" s="6">
        <v>45335</v>
      </c>
      <c r="D204" s="5" t="s">
        <v>184</v>
      </c>
      <c r="E204" s="5" t="s">
        <v>902</v>
      </c>
      <c r="G204" s="5">
        <v>-1120</v>
      </c>
      <c r="H204" s="5">
        <f t="shared" si="14"/>
        <v>1120</v>
      </c>
      <c r="I204" s="5">
        <v>-1120</v>
      </c>
      <c r="J204" s="5">
        <f t="shared" si="15"/>
        <v>1120</v>
      </c>
      <c r="K204" s="5">
        <v>16998.669999999998</v>
      </c>
    </row>
    <row r="205" spans="1:11" x14ac:dyDescent="0.25">
      <c r="A205" s="5">
        <f t="shared" si="12"/>
        <v>2024</v>
      </c>
      <c r="B205" s="5">
        <f t="shared" si="13"/>
        <v>10</v>
      </c>
      <c r="C205" s="6">
        <v>45583</v>
      </c>
      <c r="D205" s="5" t="s">
        <v>682</v>
      </c>
      <c r="E205" s="5" t="s">
        <v>902</v>
      </c>
      <c r="G205" s="5">
        <v>-1095.83</v>
      </c>
      <c r="H205" s="5">
        <f t="shared" si="14"/>
        <v>1095.83</v>
      </c>
      <c r="I205" s="5">
        <v>-1095.83</v>
      </c>
      <c r="J205" s="5">
        <f t="shared" si="15"/>
        <v>1095.83</v>
      </c>
      <c r="K205" s="5">
        <v>63240.17</v>
      </c>
    </row>
    <row r="206" spans="1:11" x14ac:dyDescent="0.25">
      <c r="A206" s="5">
        <f t="shared" si="12"/>
        <v>2024</v>
      </c>
      <c r="B206" s="5">
        <f t="shared" si="13"/>
        <v>4</v>
      </c>
      <c r="C206" s="6">
        <v>45400</v>
      </c>
      <c r="D206" s="5" t="s">
        <v>287</v>
      </c>
      <c r="E206" s="5" t="s">
        <v>902</v>
      </c>
      <c r="G206" s="5">
        <v>-1076.3</v>
      </c>
      <c r="H206" s="5">
        <f t="shared" si="14"/>
        <v>1076.3</v>
      </c>
      <c r="I206" s="5">
        <v>-1076.3</v>
      </c>
      <c r="J206" s="5">
        <f t="shared" si="15"/>
        <v>1076.3</v>
      </c>
      <c r="K206" s="5">
        <v>4326.16</v>
      </c>
    </row>
    <row r="207" spans="1:11" x14ac:dyDescent="0.25">
      <c r="A207" s="5">
        <f t="shared" si="12"/>
        <v>2024</v>
      </c>
      <c r="B207" s="5">
        <f t="shared" si="13"/>
        <v>1</v>
      </c>
      <c r="C207" s="6">
        <v>45300</v>
      </c>
      <c r="D207" s="5" t="s">
        <v>131</v>
      </c>
      <c r="E207" s="5" t="s">
        <v>902</v>
      </c>
      <c r="G207" s="5">
        <v>-1076.05</v>
      </c>
      <c r="H207" s="5">
        <f t="shared" si="14"/>
        <v>1076.05</v>
      </c>
      <c r="I207" s="5">
        <v>-1076.05</v>
      </c>
      <c r="J207" s="5">
        <f t="shared" si="15"/>
        <v>1076.05</v>
      </c>
      <c r="K207" s="5">
        <v>47140.37</v>
      </c>
    </row>
    <row r="208" spans="1:11" x14ac:dyDescent="0.25">
      <c r="A208" s="5">
        <f t="shared" si="12"/>
        <v>2024</v>
      </c>
      <c r="B208" s="5">
        <f t="shared" si="13"/>
        <v>8</v>
      </c>
      <c r="C208" s="6">
        <v>45527</v>
      </c>
      <c r="D208" s="5" t="s">
        <v>525</v>
      </c>
      <c r="E208" s="5" t="s">
        <v>902</v>
      </c>
      <c r="G208" s="5">
        <v>-1062.97</v>
      </c>
      <c r="H208" s="5">
        <f t="shared" si="14"/>
        <v>1062.97</v>
      </c>
      <c r="I208" s="5">
        <v>-1062.97</v>
      </c>
      <c r="J208" s="5">
        <f t="shared" si="15"/>
        <v>1062.97</v>
      </c>
      <c r="K208" s="5">
        <v>55602.23</v>
      </c>
    </row>
    <row r="209" spans="1:11" x14ac:dyDescent="0.25">
      <c r="A209" s="5">
        <f t="shared" si="12"/>
        <v>2024</v>
      </c>
      <c r="B209" s="5">
        <f t="shared" si="13"/>
        <v>5</v>
      </c>
      <c r="C209" s="6">
        <v>45429</v>
      </c>
      <c r="D209" s="5" t="s">
        <v>340</v>
      </c>
      <c r="E209" s="5" t="s">
        <v>902</v>
      </c>
      <c r="G209" s="5">
        <v>-1054.1300000000001</v>
      </c>
      <c r="H209" s="5">
        <f t="shared" si="14"/>
        <v>1054.1300000000001</v>
      </c>
      <c r="I209" s="5">
        <v>-1054.1300000000001</v>
      </c>
      <c r="J209" s="5">
        <f t="shared" si="15"/>
        <v>1054.1300000000001</v>
      </c>
      <c r="K209" s="5">
        <v>8133.44</v>
      </c>
    </row>
    <row r="210" spans="1:11" x14ac:dyDescent="0.25">
      <c r="A210" s="5">
        <f t="shared" si="12"/>
        <v>2024</v>
      </c>
      <c r="B210" s="5">
        <f t="shared" si="13"/>
        <v>1</v>
      </c>
      <c r="C210" s="6">
        <v>45295</v>
      </c>
      <c r="D210" s="5" t="s">
        <v>124</v>
      </c>
      <c r="E210" s="5" t="s">
        <v>902</v>
      </c>
      <c r="G210" s="5">
        <v>-1050.6099999999999</v>
      </c>
      <c r="H210" s="5">
        <f t="shared" si="14"/>
        <v>1050.6099999999999</v>
      </c>
      <c r="I210" s="5">
        <v>-1050.6099999999999</v>
      </c>
      <c r="J210" s="5">
        <f t="shared" si="15"/>
        <v>1050.6099999999999</v>
      </c>
      <c r="K210" s="5">
        <v>27049.35</v>
      </c>
    </row>
    <row r="211" spans="1:11" x14ac:dyDescent="0.25">
      <c r="A211" s="5">
        <f t="shared" si="12"/>
        <v>2024</v>
      </c>
      <c r="B211" s="5">
        <f t="shared" si="13"/>
        <v>10</v>
      </c>
      <c r="C211" s="6">
        <v>45580</v>
      </c>
      <c r="D211" s="5" t="s">
        <v>667</v>
      </c>
      <c r="E211" s="5" t="s">
        <v>902</v>
      </c>
      <c r="G211" s="5">
        <v>-1026.56</v>
      </c>
      <c r="H211" s="5">
        <f t="shared" si="14"/>
        <v>1026.56</v>
      </c>
      <c r="I211" s="5">
        <v>-1026.56</v>
      </c>
      <c r="J211" s="5">
        <f t="shared" si="15"/>
        <v>1026.56</v>
      </c>
      <c r="K211" s="5">
        <v>100375.32</v>
      </c>
    </row>
    <row r="212" spans="1:11" x14ac:dyDescent="0.25">
      <c r="A212" s="5">
        <f t="shared" si="12"/>
        <v>2024</v>
      </c>
      <c r="B212" s="5">
        <f t="shared" si="13"/>
        <v>2</v>
      </c>
      <c r="C212" s="6">
        <v>45337</v>
      </c>
      <c r="D212" s="5" t="s">
        <v>187</v>
      </c>
      <c r="E212" s="5" t="s">
        <v>902</v>
      </c>
      <c r="G212" s="5">
        <v>-1022.45</v>
      </c>
      <c r="H212" s="5">
        <f t="shared" si="14"/>
        <v>1022.45</v>
      </c>
      <c r="I212" s="5">
        <v>-1022.45</v>
      </c>
      <c r="J212" s="5">
        <f t="shared" si="15"/>
        <v>1022.45</v>
      </c>
      <c r="K212" s="5">
        <v>15531.86</v>
      </c>
    </row>
    <row r="213" spans="1:11" x14ac:dyDescent="0.25">
      <c r="A213" s="5">
        <f t="shared" si="12"/>
        <v>2024</v>
      </c>
      <c r="B213" s="5">
        <f t="shared" si="13"/>
        <v>3</v>
      </c>
      <c r="C213" s="6">
        <v>45359</v>
      </c>
      <c r="D213" s="5" t="s">
        <v>218</v>
      </c>
      <c r="E213" s="5" t="s">
        <v>902</v>
      </c>
      <c r="G213" s="5">
        <v>-1014</v>
      </c>
      <c r="H213" s="5">
        <f t="shared" si="14"/>
        <v>1014</v>
      </c>
      <c r="I213" s="5">
        <v>-1014</v>
      </c>
      <c r="J213" s="5">
        <f t="shared" si="15"/>
        <v>1014</v>
      </c>
      <c r="K213" s="5">
        <v>20531.61</v>
      </c>
    </row>
    <row r="214" spans="1:11" x14ac:dyDescent="0.25">
      <c r="A214" s="5">
        <f t="shared" si="12"/>
        <v>2023</v>
      </c>
      <c r="B214" s="5">
        <f t="shared" si="13"/>
        <v>12</v>
      </c>
      <c r="C214" s="6">
        <v>45274</v>
      </c>
      <c r="D214" s="5" t="s">
        <v>98</v>
      </c>
      <c r="E214" s="5" t="s">
        <v>902</v>
      </c>
      <c r="G214" s="5">
        <v>-993</v>
      </c>
      <c r="H214" s="5">
        <f t="shared" si="14"/>
        <v>993</v>
      </c>
      <c r="I214" s="5">
        <v>-993</v>
      </c>
      <c r="J214" s="5">
        <f t="shared" si="15"/>
        <v>993</v>
      </c>
      <c r="K214" s="5">
        <v>54156.25</v>
      </c>
    </row>
    <row r="215" spans="1:11" x14ac:dyDescent="0.25">
      <c r="A215" s="5">
        <f t="shared" si="12"/>
        <v>2025</v>
      </c>
      <c r="B215" s="5">
        <f t="shared" si="13"/>
        <v>1</v>
      </c>
      <c r="C215" s="6">
        <v>45674</v>
      </c>
      <c r="D215" s="5" t="s">
        <v>838</v>
      </c>
      <c r="E215" s="5" t="s">
        <v>902</v>
      </c>
      <c r="G215" s="5">
        <v>-992.67</v>
      </c>
      <c r="H215" s="5">
        <f t="shared" si="14"/>
        <v>992.67</v>
      </c>
      <c r="I215" s="5">
        <v>-992.67</v>
      </c>
      <c r="J215" s="5">
        <f t="shared" si="15"/>
        <v>992.67</v>
      </c>
      <c r="K215" s="5">
        <v>49656.02</v>
      </c>
    </row>
    <row r="216" spans="1:11" x14ac:dyDescent="0.25">
      <c r="A216" s="5">
        <f t="shared" si="12"/>
        <v>2024</v>
      </c>
      <c r="B216" s="5">
        <f t="shared" si="13"/>
        <v>3</v>
      </c>
      <c r="C216" s="6">
        <v>45369</v>
      </c>
      <c r="D216" s="5" t="s">
        <v>235</v>
      </c>
      <c r="E216" s="5" t="s">
        <v>902</v>
      </c>
      <c r="G216" s="5">
        <v>-990.74</v>
      </c>
      <c r="H216" s="5">
        <f t="shared" si="14"/>
        <v>990.74</v>
      </c>
      <c r="I216" s="5">
        <v>-990.74</v>
      </c>
      <c r="J216" s="5">
        <f t="shared" si="15"/>
        <v>990.74</v>
      </c>
      <c r="K216" s="5">
        <v>27783.8</v>
      </c>
    </row>
    <row r="217" spans="1:11" x14ac:dyDescent="0.25">
      <c r="A217" s="5">
        <f t="shared" si="12"/>
        <v>2024</v>
      </c>
      <c r="B217" s="5">
        <f t="shared" si="13"/>
        <v>1</v>
      </c>
      <c r="C217" s="6">
        <v>45309</v>
      </c>
      <c r="D217" s="5" t="s">
        <v>148</v>
      </c>
      <c r="E217" s="5" t="s">
        <v>902</v>
      </c>
      <c r="G217" s="5">
        <v>-985.16</v>
      </c>
      <c r="H217" s="5">
        <f t="shared" si="14"/>
        <v>985.16</v>
      </c>
      <c r="I217" s="5">
        <v>-985.16</v>
      </c>
      <c r="J217" s="5">
        <f t="shared" si="15"/>
        <v>985.16</v>
      </c>
      <c r="K217" s="5">
        <v>18384.68</v>
      </c>
    </row>
    <row r="218" spans="1:11" x14ac:dyDescent="0.25">
      <c r="A218" s="5">
        <f t="shared" si="12"/>
        <v>2024</v>
      </c>
      <c r="B218" s="5">
        <f t="shared" si="13"/>
        <v>4</v>
      </c>
      <c r="C218" s="6">
        <v>45397</v>
      </c>
      <c r="D218" s="5" t="s">
        <v>281</v>
      </c>
      <c r="E218" s="5" t="s">
        <v>902</v>
      </c>
      <c r="G218" s="5">
        <v>-984</v>
      </c>
      <c r="H218" s="5">
        <f t="shared" si="14"/>
        <v>984</v>
      </c>
      <c r="I218" s="5">
        <v>-984</v>
      </c>
      <c r="J218" s="5">
        <f t="shared" si="15"/>
        <v>984</v>
      </c>
      <c r="K218" s="5">
        <v>47222.76</v>
      </c>
    </row>
    <row r="219" spans="1:11" x14ac:dyDescent="0.25">
      <c r="A219" s="5">
        <f t="shared" si="12"/>
        <v>2024</v>
      </c>
      <c r="B219" s="5">
        <f t="shared" si="13"/>
        <v>9</v>
      </c>
      <c r="C219" s="6">
        <v>45562</v>
      </c>
      <c r="D219" s="5" t="s">
        <v>620</v>
      </c>
      <c r="E219" s="5" t="s">
        <v>902</v>
      </c>
      <c r="G219" s="5">
        <v>-982.16</v>
      </c>
      <c r="H219" s="5">
        <f t="shared" si="14"/>
        <v>982.16</v>
      </c>
      <c r="I219" s="5">
        <v>-982.16</v>
      </c>
      <c r="J219" s="5">
        <f t="shared" si="15"/>
        <v>982.16</v>
      </c>
      <c r="K219" s="5">
        <v>76667.600000000006</v>
      </c>
    </row>
    <row r="220" spans="1:11" x14ac:dyDescent="0.25">
      <c r="A220" s="5">
        <f t="shared" si="12"/>
        <v>2024</v>
      </c>
      <c r="B220" s="5">
        <f t="shared" si="13"/>
        <v>7</v>
      </c>
      <c r="C220" s="6">
        <v>45489</v>
      </c>
      <c r="D220" s="5" t="s">
        <v>444</v>
      </c>
      <c r="E220" s="5" t="s">
        <v>902</v>
      </c>
      <c r="G220" s="5">
        <v>-979.48</v>
      </c>
      <c r="H220" s="5">
        <f t="shared" si="14"/>
        <v>979.48</v>
      </c>
      <c r="I220" s="5">
        <v>-979.48</v>
      </c>
      <c r="J220" s="5">
        <f t="shared" si="15"/>
        <v>979.48</v>
      </c>
      <c r="K220" s="5">
        <v>51276.94</v>
      </c>
    </row>
    <row r="221" spans="1:11" x14ac:dyDescent="0.25">
      <c r="A221" s="5">
        <f t="shared" si="12"/>
        <v>2024</v>
      </c>
      <c r="B221" s="5">
        <f t="shared" si="13"/>
        <v>9</v>
      </c>
      <c r="C221" s="6">
        <v>45565</v>
      </c>
      <c r="D221" s="5" t="s">
        <v>626</v>
      </c>
      <c r="E221" s="5" t="s">
        <v>902</v>
      </c>
      <c r="G221" s="5">
        <v>-976</v>
      </c>
      <c r="H221" s="5">
        <f t="shared" si="14"/>
        <v>976</v>
      </c>
      <c r="I221" s="5">
        <v>-976</v>
      </c>
      <c r="J221" s="5">
        <f t="shared" si="15"/>
        <v>976</v>
      </c>
      <c r="K221" s="5">
        <v>95077.39</v>
      </c>
    </row>
    <row r="222" spans="1:11" x14ac:dyDescent="0.25">
      <c r="A222" s="5">
        <f t="shared" si="12"/>
        <v>2023</v>
      </c>
      <c r="B222" s="5">
        <f t="shared" si="13"/>
        <v>9</v>
      </c>
      <c r="C222" s="6">
        <v>45194</v>
      </c>
      <c r="D222" s="5" t="s">
        <v>27</v>
      </c>
      <c r="E222" s="5" t="s">
        <v>902</v>
      </c>
      <c r="G222" s="5">
        <v>-967.7</v>
      </c>
      <c r="H222" s="5">
        <f t="shared" si="14"/>
        <v>967.7</v>
      </c>
      <c r="I222" s="5">
        <v>-967.7</v>
      </c>
      <c r="J222" s="5">
        <f t="shared" si="15"/>
        <v>967.7</v>
      </c>
      <c r="K222" s="5">
        <v>23590.16</v>
      </c>
    </row>
    <row r="223" spans="1:11" x14ac:dyDescent="0.25">
      <c r="A223" s="5">
        <f t="shared" si="12"/>
        <v>2024</v>
      </c>
      <c r="B223" s="5">
        <f t="shared" si="13"/>
        <v>11</v>
      </c>
      <c r="C223" s="6">
        <v>45611</v>
      </c>
      <c r="D223" s="5" t="s">
        <v>742</v>
      </c>
      <c r="E223" s="5" t="s">
        <v>902</v>
      </c>
      <c r="G223" s="5">
        <v>-961.91</v>
      </c>
      <c r="H223" s="5">
        <f t="shared" si="14"/>
        <v>961.91</v>
      </c>
      <c r="I223" s="5">
        <v>-961.91</v>
      </c>
      <c r="J223" s="5">
        <f t="shared" si="15"/>
        <v>961.91</v>
      </c>
      <c r="K223" s="5">
        <v>5613.54</v>
      </c>
    </row>
    <row r="224" spans="1:11" x14ac:dyDescent="0.25">
      <c r="A224" s="5">
        <f t="shared" si="12"/>
        <v>2024</v>
      </c>
      <c r="B224" s="5">
        <f t="shared" si="13"/>
        <v>7</v>
      </c>
      <c r="C224" s="6">
        <v>45489</v>
      </c>
      <c r="D224" s="5" t="s">
        <v>443</v>
      </c>
      <c r="E224" s="5" t="s">
        <v>902</v>
      </c>
      <c r="G224" s="5">
        <v>-952.02</v>
      </c>
      <c r="H224" s="5">
        <f t="shared" si="14"/>
        <v>952.02</v>
      </c>
      <c r="I224" s="5">
        <v>-952.02</v>
      </c>
      <c r="J224" s="5">
        <f t="shared" si="15"/>
        <v>952.02</v>
      </c>
      <c r="K224" s="5">
        <v>52256.42</v>
      </c>
    </row>
    <row r="225" spans="1:11" x14ac:dyDescent="0.25">
      <c r="A225" s="5">
        <f t="shared" si="12"/>
        <v>2024</v>
      </c>
      <c r="B225" s="5">
        <f t="shared" si="13"/>
        <v>3</v>
      </c>
      <c r="C225" s="6">
        <v>45362</v>
      </c>
      <c r="D225" s="5" t="s">
        <v>223</v>
      </c>
      <c r="E225" s="5" t="s">
        <v>902</v>
      </c>
      <c r="G225" s="5">
        <v>-948</v>
      </c>
      <c r="H225" s="5">
        <f t="shared" si="14"/>
        <v>948</v>
      </c>
      <c r="I225" s="5">
        <v>-948</v>
      </c>
      <c r="J225" s="5">
        <f t="shared" si="15"/>
        <v>948</v>
      </c>
      <c r="K225" s="5">
        <v>27661.96</v>
      </c>
    </row>
    <row r="226" spans="1:11" x14ac:dyDescent="0.25">
      <c r="A226" s="5">
        <f t="shared" si="12"/>
        <v>2023</v>
      </c>
      <c r="B226" s="5">
        <f t="shared" si="13"/>
        <v>12</v>
      </c>
      <c r="C226" s="6">
        <v>45275</v>
      </c>
      <c r="D226" s="5" t="s">
        <v>101</v>
      </c>
      <c r="E226" s="5" t="s">
        <v>902</v>
      </c>
      <c r="G226" s="5">
        <v>-914</v>
      </c>
      <c r="H226" s="5">
        <f t="shared" si="14"/>
        <v>914</v>
      </c>
      <c r="I226" s="5">
        <v>-914</v>
      </c>
      <c r="J226" s="5">
        <f t="shared" si="15"/>
        <v>914</v>
      </c>
      <c r="K226" s="5">
        <v>43399.87</v>
      </c>
    </row>
    <row r="227" spans="1:11" x14ac:dyDescent="0.25">
      <c r="A227" s="5">
        <f t="shared" si="12"/>
        <v>2024</v>
      </c>
      <c r="B227" s="5">
        <f t="shared" si="13"/>
        <v>9</v>
      </c>
      <c r="C227" s="6">
        <v>45548</v>
      </c>
      <c r="D227" s="5" t="s">
        <v>584</v>
      </c>
      <c r="E227" s="5" t="s">
        <v>902</v>
      </c>
      <c r="G227" s="5">
        <v>-913.14</v>
      </c>
      <c r="H227" s="5">
        <f t="shared" si="14"/>
        <v>913.14</v>
      </c>
      <c r="I227" s="5">
        <v>-913.14</v>
      </c>
      <c r="J227" s="5">
        <f t="shared" si="15"/>
        <v>913.14</v>
      </c>
      <c r="K227" s="5">
        <v>73905.89</v>
      </c>
    </row>
    <row r="228" spans="1:11" x14ac:dyDescent="0.25">
      <c r="A228" s="5">
        <f t="shared" si="12"/>
        <v>2023</v>
      </c>
      <c r="B228" s="5">
        <f t="shared" si="13"/>
        <v>11</v>
      </c>
      <c r="C228" s="6">
        <v>45250</v>
      </c>
      <c r="D228" s="5" t="s">
        <v>75</v>
      </c>
      <c r="E228" s="5" t="s">
        <v>902</v>
      </c>
      <c r="G228" s="5">
        <v>-903.49</v>
      </c>
      <c r="H228" s="5">
        <f t="shared" si="14"/>
        <v>903.49</v>
      </c>
      <c r="I228" s="5">
        <v>-903.49</v>
      </c>
      <c r="J228" s="5">
        <f t="shared" si="15"/>
        <v>903.49</v>
      </c>
      <c r="K228" s="5">
        <v>23671.23</v>
      </c>
    </row>
    <row r="229" spans="1:11" x14ac:dyDescent="0.25">
      <c r="A229" s="5">
        <f t="shared" si="12"/>
        <v>2024</v>
      </c>
      <c r="B229" s="5">
        <f t="shared" si="13"/>
        <v>12</v>
      </c>
      <c r="C229" s="6">
        <v>45643</v>
      </c>
      <c r="D229" s="5" t="s">
        <v>793</v>
      </c>
      <c r="E229" s="5" t="s">
        <v>902</v>
      </c>
      <c r="G229" s="5">
        <v>-893.23</v>
      </c>
      <c r="H229" s="5">
        <f t="shared" si="14"/>
        <v>893.23</v>
      </c>
      <c r="I229" s="5">
        <v>-893.23</v>
      </c>
      <c r="J229" s="5">
        <f t="shared" si="15"/>
        <v>893.23</v>
      </c>
      <c r="K229" s="5">
        <v>39792.92</v>
      </c>
    </row>
    <row r="230" spans="1:11" x14ac:dyDescent="0.25">
      <c r="A230" s="5">
        <f t="shared" si="12"/>
        <v>2023</v>
      </c>
      <c r="B230" s="5">
        <f t="shared" si="13"/>
        <v>12</v>
      </c>
      <c r="C230" s="6">
        <v>45274</v>
      </c>
      <c r="D230" s="5" t="s">
        <v>97</v>
      </c>
      <c r="E230" s="5" t="s">
        <v>902</v>
      </c>
      <c r="G230" s="5">
        <v>-867.5</v>
      </c>
      <c r="H230" s="5">
        <f t="shared" si="14"/>
        <v>867.5</v>
      </c>
      <c r="I230" s="5">
        <v>-867.5</v>
      </c>
      <c r="J230" s="5">
        <f t="shared" si="15"/>
        <v>867.5</v>
      </c>
      <c r="K230" s="5">
        <v>55149.25</v>
      </c>
    </row>
    <row r="231" spans="1:11" x14ac:dyDescent="0.25">
      <c r="A231" s="5">
        <f t="shared" si="12"/>
        <v>2024</v>
      </c>
      <c r="B231" s="5">
        <f t="shared" si="13"/>
        <v>1</v>
      </c>
      <c r="C231" s="6">
        <v>45315</v>
      </c>
      <c r="D231" s="5" t="s">
        <v>153</v>
      </c>
      <c r="E231" s="5" t="s">
        <v>902</v>
      </c>
      <c r="G231" s="5">
        <v>-865.87</v>
      </c>
      <c r="H231" s="5">
        <f t="shared" si="14"/>
        <v>865.87</v>
      </c>
      <c r="I231" s="5">
        <v>-865.87</v>
      </c>
      <c r="J231" s="5">
        <f t="shared" si="15"/>
        <v>865.87</v>
      </c>
      <c r="K231" s="5">
        <v>42038.57</v>
      </c>
    </row>
    <row r="232" spans="1:11" x14ac:dyDescent="0.25">
      <c r="A232" s="5">
        <f t="shared" si="12"/>
        <v>2024</v>
      </c>
      <c r="B232" s="5">
        <f t="shared" si="13"/>
        <v>7</v>
      </c>
      <c r="C232" s="6">
        <v>45482</v>
      </c>
      <c r="D232" s="5" t="s">
        <v>432</v>
      </c>
      <c r="E232" s="5" t="s">
        <v>902</v>
      </c>
      <c r="G232" s="5">
        <v>-863.55</v>
      </c>
      <c r="H232" s="5">
        <f t="shared" si="14"/>
        <v>863.55</v>
      </c>
      <c r="I232" s="5">
        <v>-863.55</v>
      </c>
      <c r="J232" s="5">
        <f t="shared" si="15"/>
        <v>863.55</v>
      </c>
      <c r="K232" s="5">
        <v>81443.75</v>
      </c>
    </row>
    <row r="233" spans="1:11" x14ac:dyDescent="0.25">
      <c r="A233" s="5">
        <f t="shared" si="12"/>
        <v>2024</v>
      </c>
      <c r="B233" s="5">
        <f t="shared" si="13"/>
        <v>9</v>
      </c>
      <c r="C233" s="6">
        <v>45565</v>
      </c>
      <c r="D233" s="5" t="s">
        <v>627</v>
      </c>
      <c r="E233" s="5" t="s">
        <v>902</v>
      </c>
      <c r="G233" s="5">
        <v>-849</v>
      </c>
      <c r="H233" s="5">
        <f t="shared" si="14"/>
        <v>849</v>
      </c>
      <c r="I233" s="5">
        <v>-849</v>
      </c>
      <c r="J233" s="5">
        <f t="shared" si="15"/>
        <v>849</v>
      </c>
      <c r="K233" s="5">
        <v>94228.39</v>
      </c>
    </row>
    <row r="234" spans="1:11" x14ac:dyDescent="0.25">
      <c r="A234" s="5">
        <f t="shared" si="12"/>
        <v>2023</v>
      </c>
      <c r="B234" s="5">
        <f t="shared" si="13"/>
        <v>11</v>
      </c>
      <c r="C234" s="6">
        <v>45250</v>
      </c>
      <c r="D234" s="5" t="s">
        <v>76</v>
      </c>
      <c r="E234" s="5" t="s">
        <v>902</v>
      </c>
      <c r="G234" s="5">
        <v>-819.72</v>
      </c>
      <c r="H234" s="5">
        <f t="shared" si="14"/>
        <v>819.72</v>
      </c>
      <c r="I234" s="5">
        <v>-819.72</v>
      </c>
      <c r="J234" s="5">
        <f t="shared" si="15"/>
        <v>819.72</v>
      </c>
      <c r="K234" s="5">
        <v>22851.51</v>
      </c>
    </row>
    <row r="235" spans="1:11" x14ac:dyDescent="0.25">
      <c r="A235" s="5">
        <f t="shared" si="12"/>
        <v>2025</v>
      </c>
      <c r="B235" s="5">
        <f t="shared" si="13"/>
        <v>2</v>
      </c>
      <c r="C235" s="6">
        <v>45707</v>
      </c>
      <c r="D235" s="5" t="s">
        <v>872</v>
      </c>
      <c r="E235" s="5" t="s">
        <v>902</v>
      </c>
      <c r="G235" s="5">
        <v>-772.37</v>
      </c>
      <c r="H235" s="5">
        <f t="shared" si="14"/>
        <v>772.37</v>
      </c>
      <c r="I235" s="5">
        <v>-772.37</v>
      </c>
      <c r="J235" s="5">
        <f t="shared" si="15"/>
        <v>772.37</v>
      </c>
      <c r="K235" s="5">
        <v>55881.69</v>
      </c>
    </row>
    <row r="236" spans="1:11" x14ac:dyDescent="0.25">
      <c r="A236" s="5">
        <f t="shared" si="12"/>
        <v>2024</v>
      </c>
      <c r="B236" s="5">
        <f t="shared" si="13"/>
        <v>10</v>
      </c>
      <c r="C236" s="6">
        <v>45568</v>
      </c>
      <c r="D236" s="5" t="s">
        <v>642</v>
      </c>
      <c r="E236" s="5" t="s">
        <v>902</v>
      </c>
      <c r="G236" s="5">
        <v>-766.8</v>
      </c>
      <c r="H236" s="5">
        <f t="shared" si="14"/>
        <v>766.8</v>
      </c>
      <c r="I236" s="5">
        <v>-766.8</v>
      </c>
      <c r="J236" s="5">
        <f t="shared" si="15"/>
        <v>766.8</v>
      </c>
      <c r="K236" s="5">
        <v>88311.24</v>
      </c>
    </row>
    <row r="237" spans="1:11" x14ac:dyDescent="0.25">
      <c r="A237" s="5">
        <f t="shared" si="12"/>
        <v>2024</v>
      </c>
      <c r="B237" s="5">
        <f t="shared" si="13"/>
        <v>2</v>
      </c>
      <c r="C237" s="6">
        <v>45349</v>
      </c>
      <c r="D237" s="5" t="s">
        <v>197</v>
      </c>
      <c r="E237" s="5" t="s">
        <v>902</v>
      </c>
      <c r="G237" s="5">
        <v>-756.25</v>
      </c>
      <c r="H237" s="5">
        <f t="shared" si="14"/>
        <v>756.25</v>
      </c>
      <c r="I237" s="5">
        <v>-756.25</v>
      </c>
      <c r="J237" s="5">
        <f t="shared" si="15"/>
        <v>756.25</v>
      </c>
      <c r="K237" s="5">
        <v>24246.19</v>
      </c>
    </row>
    <row r="238" spans="1:11" x14ac:dyDescent="0.25">
      <c r="A238" s="5">
        <f t="shared" si="12"/>
        <v>2024</v>
      </c>
      <c r="B238" s="5">
        <f t="shared" si="13"/>
        <v>6</v>
      </c>
      <c r="C238" s="6">
        <v>45457</v>
      </c>
      <c r="D238" s="5" t="s">
        <v>382</v>
      </c>
      <c r="E238" s="5" t="s">
        <v>902</v>
      </c>
      <c r="G238" s="5">
        <v>-753.4</v>
      </c>
      <c r="H238" s="5">
        <f t="shared" si="14"/>
        <v>753.4</v>
      </c>
      <c r="I238" s="5">
        <v>-753.4</v>
      </c>
      <c r="J238" s="5">
        <f t="shared" si="15"/>
        <v>753.4</v>
      </c>
      <c r="K238" s="5">
        <v>20296.54</v>
      </c>
    </row>
    <row r="239" spans="1:11" x14ac:dyDescent="0.25">
      <c r="A239" s="5">
        <f t="shared" si="12"/>
        <v>2024</v>
      </c>
      <c r="B239" s="5">
        <f t="shared" si="13"/>
        <v>8</v>
      </c>
      <c r="C239" s="6">
        <v>45533</v>
      </c>
      <c r="D239" s="5" t="s">
        <v>543</v>
      </c>
      <c r="E239" s="5" t="s">
        <v>902</v>
      </c>
      <c r="G239" s="5">
        <v>-749.78</v>
      </c>
      <c r="H239" s="5">
        <f t="shared" si="14"/>
        <v>749.78</v>
      </c>
      <c r="I239" s="5">
        <v>-749.78</v>
      </c>
      <c r="J239" s="5">
        <f t="shared" si="15"/>
        <v>749.78</v>
      </c>
      <c r="K239" s="5">
        <v>43477.57</v>
      </c>
    </row>
    <row r="240" spans="1:11" x14ac:dyDescent="0.25">
      <c r="A240" s="5">
        <f t="shared" si="12"/>
        <v>2024</v>
      </c>
      <c r="B240" s="5">
        <f t="shared" si="13"/>
        <v>8</v>
      </c>
      <c r="C240" s="6">
        <v>45527</v>
      </c>
      <c r="D240" s="5" t="s">
        <v>524</v>
      </c>
      <c r="E240" s="5" t="s">
        <v>902</v>
      </c>
      <c r="G240" s="5">
        <v>-743.95</v>
      </c>
      <c r="H240" s="5">
        <f t="shared" si="14"/>
        <v>743.95</v>
      </c>
      <c r="I240" s="5">
        <v>-743.95</v>
      </c>
      <c r="J240" s="5">
        <f t="shared" si="15"/>
        <v>743.95</v>
      </c>
      <c r="K240" s="5">
        <v>56665.2</v>
      </c>
    </row>
    <row r="241" spans="1:11" x14ac:dyDescent="0.25">
      <c r="A241" s="5">
        <f t="shared" si="12"/>
        <v>2024</v>
      </c>
      <c r="B241" s="5">
        <f t="shared" si="13"/>
        <v>5</v>
      </c>
      <c r="C241" s="6">
        <v>45440</v>
      </c>
      <c r="D241" s="5" t="s">
        <v>351</v>
      </c>
      <c r="E241" s="5" t="s">
        <v>902</v>
      </c>
      <c r="G241" s="5">
        <v>-724.85</v>
      </c>
      <c r="H241" s="5">
        <f t="shared" si="14"/>
        <v>724.85</v>
      </c>
      <c r="I241" s="5">
        <v>-724.85</v>
      </c>
      <c r="J241" s="5">
        <f t="shared" si="15"/>
        <v>724.85</v>
      </c>
      <c r="K241" s="5">
        <v>27069.54</v>
      </c>
    </row>
    <row r="242" spans="1:11" x14ac:dyDescent="0.25">
      <c r="A242" s="5">
        <f t="shared" si="12"/>
        <v>2024</v>
      </c>
      <c r="B242" s="5">
        <f t="shared" si="13"/>
        <v>1</v>
      </c>
      <c r="C242" s="6">
        <v>45315</v>
      </c>
      <c r="D242" s="5" t="s">
        <v>154</v>
      </c>
      <c r="E242" s="5" t="s">
        <v>902</v>
      </c>
      <c r="G242" s="5">
        <v>-724.56</v>
      </c>
      <c r="H242" s="5">
        <f t="shared" si="14"/>
        <v>724.56</v>
      </c>
      <c r="I242" s="5">
        <v>-724.56</v>
      </c>
      <c r="J242" s="5">
        <f t="shared" si="15"/>
        <v>724.56</v>
      </c>
      <c r="K242" s="5">
        <v>41314.01</v>
      </c>
    </row>
    <row r="243" spans="1:11" x14ac:dyDescent="0.25">
      <c r="A243" s="5">
        <f t="shared" si="12"/>
        <v>2023</v>
      </c>
      <c r="B243" s="5">
        <f t="shared" si="13"/>
        <v>12</v>
      </c>
      <c r="C243" s="6">
        <v>45279</v>
      </c>
      <c r="D243" s="5" t="s">
        <v>104</v>
      </c>
      <c r="E243" s="5" t="s">
        <v>902</v>
      </c>
      <c r="G243" s="5">
        <v>-723.48</v>
      </c>
      <c r="H243" s="5">
        <f t="shared" si="14"/>
        <v>723.48</v>
      </c>
      <c r="I243" s="5">
        <v>-723.48</v>
      </c>
      <c r="J243" s="5">
        <f t="shared" si="15"/>
        <v>723.48</v>
      </c>
      <c r="K243" s="5">
        <v>41746.949999999997</v>
      </c>
    </row>
    <row r="244" spans="1:11" x14ac:dyDescent="0.25">
      <c r="A244" s="5">
        <f t="shared" si="12"/>
        <v>2024</v>
      </c>
      <c r="B244" s="5">
        <f t="shared" si="13"/>
        <v>8</v>
      </c>
      <c r="C244" s="6">
        <v>45509</v>
      </c>
      <c r="D244" s="5" t="s">
        <v>493</v>
      </c>
      <c r="E244" s="5" t="s">
        <v>902</v>
      </c>
      <c r="G244" s="5">
        <v>-718.34</v>
      </c>
      <c r="H244" s="5">
        <f t="shared" si="14"/>
        <v>718.34</v>
      </c>
      <c r="I244" s="5">
        <v>-718.34</v>
      </c>
      <c r="J244" s="5">
        <f t="shared" si="15"/>
        <v>718.34</v>
      </c>
      <c r="K244" s="5">
        <v>42058.6</v>
      </c>
    </row>
    <row r="245" spans="1:11" x14ac:dyDescent="0.25">
      <c r="A245" s="5">
        <f t="shared" si="12"/>
        <v>2023</v>
      </c>
      <c r="B245" s="5">
        <f t="shared" si="13"/>
        <v>12</v>
      </c>
      <c r="C245" s="6">
        <v>45280</v>
      </c>
      <c r="D245" s="5" t="s">
        <v>108</v>
      </c>
      <c r="E245" s="5" t="s">
        <v>902</v>
      </c>
      <c r="G245" s="5">
        <v>-716.51</v>
      </c>
      <c r="H245" s="5">
        <f t="shared" si="14"/>
        <v>716.51</v>
      </c>
      <c r="I245" s="5">
        <v>-716.51</v>
      </c>
      <c r="J245" s="5">
        <f t="shared" si="15"/>
        <v>716.51</v>
      </c>
      <c r="K245" s="5">
        <v>39940.33</v>
      </c>
    </row>
    <row r="246" spans="1:11" x14ac:dyDescent="0.25">
      <c r="A246" s="5">
        <f t="shared" si="12"/>
        <v>2023</v>
      </c>
      <c r="B246" s="5">
        <f t="shared" si="13"/>
        <v>10</v>
      </c>
      <c r="C246" s="6">
        <v>45204</v>
      </c>
      <c r="D246" s="5" t="s">
        <v>36</v>
      </c>
      <c r="E246" s="5" t="s">
        <v>902</v>
      </c>
      <c r="G246" s="5">
        <v>-705.34</v>
      </c>
      <c r="H246" s="5">
        <f t="shared" si="14"/>
        <v>705.34</v>
      </c>
      <c r="I246" s="5">
        <v>-705.34</v>
      </c>
      <c r="J246" s="5">
        <f t="shared" si="15"/>
        <v>705.34</v>
      </c>
      <c r="K246" s="5">
        <v>11125.25</v>
      </c>
    </row>
    <row r="247" spans="1:11" x14ac:dyDescent="0.25">
      <c r="A247" s="5">
        <f t="shared" si="12"/>
        <v>2024</v>
      </c>
      <c r="B247" s="5">
        <f t="shared" si="13"/>
        <v>9</v>
      </c>
      <c r="C247" s="6">
        <v>45538</v>
      </c>
      <c r="D247" s="5" t="s">
        <v>308</v>
      </c>
      <c r="E247" s="5" t="s">
        <v>902</v>
      </c>
      <c r="G247" s="5">
        <v>-691.83</v>
      </c>
      <c r="H247" s="5">
        <f t="shared" si="14"/>
        <v>691.83</v>
      </c>
      <c r="I247" s="5">
        <v>-691.83</v>
      </c>
      <c r="J247" s="5">
        <f t="shared" si="15"/>
        <v>691.83</v>
      </c>
      <c r="K247" s="5">
        <v>70460.52</v>
      </c>
    </row>
    <row r="248" spans="1:11" x14ac:dyDescent="0.25">
      <c r="A248" s="5">
        <f t="shared" si="12"/>
        <v>2024</v>
      </c>
      <c r="B248" s="5">
        <f t="shared" si="13"/>
        <v>10</v>
      </c>
      <c r="C248" s="6">
        <v>45596</v>
      </c>
      <c r="D248" s="5" t="s">
        <v>703</v>
      </c>
      <c r="E248" s="5" t="s">
        <v>902</v>
      </c>
      <c r="G248" s="5">
        <v>-689.43</v>
      </c>
      <c r="H248" s="5">
        <f t="shared" si="14"/>
        <v>689.43</v>
      </c>
      <c r="I248" s="5">
        <v>-689.43</v>
      </c>
      <c r="J248" s="5">
        <f t="shared" si="15"/>
        <v>689.43</v>
      </c>
      <c r="K248" s="5">
        <v>75666.09</v>
      </c>
    </row>
    <row r="249" spans="1:11" x14ac:dyDescent="0.25">
      <c r="A249" s="5">
        <f t="shared" si="12"/>
        <v>2024</v>
      </c>
      <c r="B249" s="5">
        <f t="shared" si="13"/>
        <v>7</v>
      </c>
      <c r="C249" s="6">
        <v>45474</v>
      </c>
      <c r="D249" s="5" t="s">
        <v>417</v>
      </c>
      <c r="E249" s="5" t="s">
        <v>902</v>
      </c>
      <c r="G249" s="5">
        <v>-683.04</v>
      </c>
      <c r="H249" s="5">
        <f t="shared" si="14"/>
        <v>683.04</v>
      </c>
      <c r="I249" s="5">
        <v>-683.04</v>
      </c>
      <c r="J249" s="5">
        <f t="shared" si="15"/>
        <v>683.04</v>
      </c>
      <c r="K249" s="5">
        <v>60989.14</v>
      </c>
    </row>
    <row r="250" spans="1:11" x14ac:dyDescent="0.25">
      <c r="A250" s="5">
        <f t="shared" si="12"/>
        <v>2025</v>
      </c>
      <c r="B250" s="5">
        <f t="shared" si="13"/>
        <v>1</v>
      </c>
      <c r="C250" s="6">
        <v>45681</v>
      </c>
      <c r="D250" s="5" t="s">
        <v>845</v>
      </c>
      <c r="E250" s="5" t="s">
        <v>902</v>
      </c>
      <c r="G250" s="5">
        <v>-669.57</v>
      </c>
      <c r="H250" s="5">
        <f t="shared" si="14"/>
        <v>669.57</v>
      </c>
      <c r="I250" s="5">
        <v>-669.57</v>
      </c>
      <c r="J250" s="5">
        <f t="shared" si="15"/>
        <v>669.57</v>
      </c>
      <c r="K250" s="5">
        <v>44350.61</v>
      </c>
    </row>
    <row r="251" spans="1:11" x14ac:dyDescent="0.25">
      <c r="A251" s="5">
        <f t="shared" si="12"/>
        <v>2024</v>
      </c>
      <c r="B251" s="5">
        <f t="shared" si="13"/>
        <v>7</v>
      </c>
      <c r="C251" s="6">
        <v>45496</v>
      </c>
      <c r="D251" s="5" t="s">
        <v>455</v>
      </c>
      <c r="E251" s="5" t="s">
        <v>902</v>
      </c>
      <c r="G251" s="5">
        <v>-656.69</v>
      </c>
      <c r="H251" s="5">
        <f t="shared" si="14"/>
        <v>656.69</v>
      </c>
      <c r="I251" s="5">
        <v>-656.69</v>
      </c>
      <c r="J251" s="5">
        <f t="shared" si="15"/>
        <v>656.69</v>
      </c>
      <c r="K251" s="5">
        <v>49248.4</v>
      </c>
    </row>
    <row r="252" spans="1:11" x14ac:dyDescent="0.25">
      <c r="A252" s="5">
        <f t="shared" si="12"/>
        <v>2025</v>
      </c>
      <c r="B252" s="5">
        <f t="shared" si="13"/>
        <v>2</v>
      </c>
      <c r="C252" s="6">
        <v>45695</v>
      </c>
      <c r="D252" s="5" t="s">
        <v>861</v>
      </c>
      <c r="E252" s="5" t="s">
        <v>902</v>
      </c>
      <c r="G252" s="5">
        <v>-653.54999999999995</v>
      </c>
      <c r="H252" s="5">
        <f t="shared" si="14"/>
        <v>653.54999999999995</v>
      </c>
      <c r="I252" s="5">
        <v>-653.54999999999995</v>
      </c>
      <c r="J252" s="5">
        <f t="shared" si="15"/>
        <v>653.54999999999995</v>
      </c>
      <c r="K252" s="5">
        <v>38875.69</v>
      </c>
    </row>
    <row r="253" spans="1:11" x14ac:dyDescent="0.25">
      <c r="A253" s="5">
        <f t="shared" si="12"/>
        <v>2023</v>
      </c>
      <c r="B253" s="5">
        <f t="shared" si="13"/>
        <v>12</v>
      </c>
      <c r="C253" s="6">
        <v>45279</v>
      </c>
      <c r="D253" s="5" t="s">
        <v>104</v>
      </c>
      <c r="E253" s="5" t="s">
        <v>902</v>
      </c>
      <c r="G253" s="5">
        <v>-649.99</v>
      </c>
      <c r="H253" s="5">
        <f t="shared" si="14"/>
        <v>649.99</v>
      </c>
      <c r="I253" s="5">
        <v>-649.99</v>
      </c>
      <c r="J253" s="5">
        <f t="shared" si="15"/>
        <v>649.99</v>
      </c>
      <c r="K253" s="5">
        <v>41096.959999999999</v>
      </c>
    </row>
    <row r="254" spans="1:11" x14ac:dyDescent="0.25">
      <c r="A254" s="5">
        <f t="shared" si="12"/>
        <v>2025</v>
      </c>
      <c r="B254" s="5">
        <f t="shared" si="13"/>
        <v>2</v>
      </c>
      <c r="C254" s="6">
        <v>45691</v>
      </c>
      <c r="D254" s="5" t="s">
        <v>720</v>
      </c>
      <c r="E254" s="5" t="s">
        <v>902</v>
      </c>
      <c r="G254" s="5">
        <v>-638.25</v>
      </c>
      <c r="H254" s="5">
        <f t="shared" si="14"/>
        <v>638.25</v>
      </c>
      <c r="I254" s="5">
        <v>-638.25</v>
      </c>
      <c r="J254" s="5">
        <f t="shared" si="15"/>
        <v>638.25</v>
      </c>
      <c r="K254" s="5">
        <v>55663.56</v>
      </c>
    </row>
    <row r="255" spans="1:11" x14ac:dyDescent="0.25">
      <c r="A255" s="5">
        <f t="shared" si="12"/>
        <v>2023</v>
      </c>
      <c r="B255" s="5">
        <f t="shared" si="13"/>
        <v>12</v>
      </c>
      <c r="C255" s="6">
        <v>45288</v>
      </c>
      <c r="D255" s="5" t="s">
        <v>115</v>
      </c>
      <c r="E255" s="5" t="s">
        <v>902</v>
      </c>
      <c r="G255" s="5">
        <v>-603.75</v>
      </c>
      <c r="H255" s="5">
        <f t="shared" si="14"/>
        <v>603.75</v>
      </c>
      <c r="I255" s="5">
        <v>-603.75</v>
      </c>
      <c r="J255" s="5">
        <f t="shared" si="15"/>
        <v>603.75</v>
      </c>
      <c r="K255" s="5">
        <v>33687.9</v>
      </c>
    </row>
    <row r="256" spans="1:11" x14ac:dyDescent="0.25">
      <c r="A256" s="5">
        <f t="shared" si="12"/>
        <v>2024</v>
      </c>
      <c r="B256" s="5">
        <f t="shared" si="13"/>
        <v>12</v>
      </c>
      <c r="C256" s="6">
        <v>45630</v>
      </c>
      <c r="D256" s="5" t="s">
        <v>777</v>
      </c>
      <c r="E256" s="5" t="s">
        <v>902</v>
      </c>
      <c r="G256" s="5">
        <v>-574.55999999999995</v>
      </c>
      <c r="H256" s="5">
        <f t="shared" si="14"/>
        <v>574.55999999999995</v>
      </c>
      <c r="I256" s="5">
        <v>-574.55999999999995</v>
      </c>
      <c r="J256" s="5">
        <f t="shared" si="15"/>
        <v>574.55999999999995</v>
      </c>
      <c r="K256" s="5">
        <v>2056.7199999999998</v>
      </c>
    </row>
    <row r="257" spans="1:11" x14ac:dyDescent="0.25">
      <c r="A257" s="5">
        <f t="shared" si="12"/>
        <v>2024</v>
      </c>
      <c r="B257" s="5">
        <f t="shared" si="13"/>
        <v>1</v>
      </c>
      <c r="C257" s="6">
        <v>45320</v>
      </c>
      <c r="D257" s="5" t="s">
        <v>159</v>
      </c>
      <c r="E257" s="5" t="s">
        <v>902</v>
      </c>
      <c r="G257" s="5">
        <v>-567.53</v>
      </c>
      <c r="H257" s="5">
        <f t="shared" si="14"/>
        <v>567.53</v>
      </c>
      <c r="I257" s="5">
        <v>-567.53</v>
      </c>
      <c r="J257" s="5">
        <f t="shared" si="15"/>
        <v>567.53</v>
      </c>
      <c r="K257" s="5">
        <v>26592.41</v>
      </c>
    </row>
    <row r="258" spans="1:11" x14ac:dyDescent="0.25">
      <c r="A258" s="5">
        <f t="shared" si="12"/>
        <v>2024</v>
      </c>
      <c r="B258" s="5">
        <f t="shared" si="13"/>
        <v>11</v>
      </c>
      <c r="C258" s="6">
        <v>45623</v>
      </c>
      <c r="D258" s="5" t="s">
        <v>759</v>
      </c>
      <c r="E258" s="5" t="s">
        <v>902</v>
      </c>
      <c r="G258" s="5">
        <v>-562.20000000000005</v>
      </c>
      <c r="H258" s="5">
        <f t="shared" si="14"/>
        <v>562.20000000000005</v>
      </c>
      <c r="I258" s="5">
        <v>-562.20000000000005</v>
      </c>
      <c r="J258" s="5">
        <f t="shared" si="15"/>
        <v>562.20000000000005</v>
      </c>
      <c r="K258" s="5">
        <v>20402.3</v>
      </c>
    </row>
    <row r="259" spans="1:11" x14ac:dyDescent="0.25">
      <c r="A259" s="5">
        <f t="shared" ref="A259:A322" si="16">YEAR(C259)</f>
        <v>2024</v>
      </c>
      <c r="B259" s="5">
        <f t="shared" ref="B259:B322" si="17">MONTH(C259)</f>
        <v>8</v>
      </c>
      <c r="C259" s="6">
        <v>45505</v>
      </c>
      <c r="D259" s="5" t="s">
        <v>308</v>
      </c>
      <c r="E259" s="5" t="s">
        <v>902</v>
      </c>
      <c r="G259" s="5">
        <v>-550.58000000000004</v>
      </c>
      <c r="H259" s="5">
        <f t="shared" ref="H259:H322" si="18">(-1*G259)</f>
        <v>550.58000000000004</v>
      </c>
      <c r="I259" s="5">
        <v>-550.58000000000004</v>
      </c>
      <c r="J259" s="5">
        <f t="shared" ref="J259:J322" si="19">(F259+H259)</f>
        <v>550.58000000000004</v>
      </c>
      <c r="K259" s="5">
        <v>42299.88</v>
      </c>
    </row>
    <row r="260" spans="1:11" x14ac:dyDescent="0.25">
      <c r="A260" s="5">
        <f t="shared" si="16"/>
        <v>2024</v>
      </c>
      <c r="B260" s="5">
        <f t="shared" si="17"/>
        <v>4</v>
      </c>
      <c r="C260" s="6">
        <v>45397</v>
      </c>
      <c r="D260" s="5" t="s">
        <v>280</v>
      </c>
      <c r="E260" s="5" t="s">
        <v>902</v>
      </c>
      <c r="G260" s="5">
        <v>-549.52</v>
      </c>
      <c r="H260" s="5">
        <f t="shared" si="18"/>
        <v>549.52</v>
      </c>
      <c r="I260" s="5">
        <v>-549.52</v>
      </c>
      <c r="J260" s="5">
        <f t="shared" si="19"/>
        <v>549.52</v>
      </c>
      <c r="K260" s="5">
        <v>48206.76</v>
      </c>
    </row>
    <row r="261" spans="1:11" x14ac:dyDescent="0.25">
      <c r="A261" s="5">
        <f t="shared" si="16"/>
        <v>2024</v>
      </c>
      <c r="B261" s="5">
        <f t="shared" si="17"/>
        <v>10</v>
      </c>
      <c r="C261" s="6">
        <v>45589</v>
      </c>
      <c r="D261" s="5" t="s">
        <v>690</v>
      </c>
      <c r="E261" s="5" t="s">
        <v>902</v>
      </c>
      <c r="G261" s="5">
        <v>-548.94000000000005</v>
      </c>
      <c r="H261" s="5">
        <f t="shared" si="18"/>
        <v>548.94000000000005</v>
      </c>
      <c r="I261" s="5">
        <v>-548.94000000000005</v>
      </c>
      <c r="J261" s="5">
        <f t="shared" si="19"/>
        <v>548.94000000000005</v>
      </c>
      <c r="K261" s="5">
        <v>71723.8</v>
      </c>
    </row>
    <row r="262" spans="1:11" x14ac:dyDescent="0.25">
      <c r="A262" s="5">
        <f t="shared" si="16"/>
        <v>2024</v>
      </c>
      <c r="B262" s="5">
        <f t="shared" si="17"/>
        <v>6</v>
      </c>
      <c r="C262" s="6">
        <v>45461</v>
      </c>
      <c r="D262" s="5" t="s">
        <v>390</v>
      </c>
      <c r="E262" s="5" t="s">
        <v>902</v>
      </c>
      <c r="G262" s="5">
        <v>-544.13</v>
      </c>
      <c r="H262" s="5">
        <f t="shared" si="18"/>
        <v>544.13</v>
      </c>
      <c r="I262" s="5">
        <v>-544.13</v>
      </c>
      <c r="J262" s="5">
        <f t="shared" si="19"/>
        <v>544.13</v>
      </c>
      <c r="K262" s="5">
        <v>32695.79</v>
      </c>
    </row>
    <row r="263" spans="1:11" x14ac:dyDescent="0.25">
      <c r="A263" s="5">
        <f t="shared" si="16"/>
        <v>2024</v>
      </c>
      <c r="B263" s="5">
        <f t="shared" si="17"/>
        <v>3</v>
      </c>
      <c r="C263" s="6">
        <v>45376</v>
      </c>
      <c r="D263" s="5" t="s">
        <v>242</v>
      </c>
      <c r="E263" s="5" t="s">
        <v>902</v>
      </c>
      <c r="G263" s="5">
        <v>-543.55999999999995</v>
      </c>
      <c r="H263" s="5">
        <f t="shared" si="18"/>
        <v>543.55999999999995</v>
      </c>
      <c r="I263" s="5">
        <v>-543.55999999999995</v>
      </c>
      <c r="J263" s="5">
        <f t="shared" si="19"/>
        <v>543.55999999999995</v>
      </c>
      <c r="K263" s="5">
        <v>9639.4599999999991</v>
      </c>
    </row>
    <row r="264" spans="1:11" x14ac:dyDescent="0.25">
      <c r="A264" s="5">
        <f t="shared" si="16"/>
        <v>2024</v>
      </c>
      <c r="B264" s="5">
        <f t="shared" si="17"/>
        <v>5</v>
      </c>
      <c r="C264" s="6">
        <v>45440</v>
      </c>
      <c r="D264" s="5" t="s">
        <v>353</v>
      </c>
      <c r="E264" s="5" t="s">
        <v>902</v>
      </c>
      <c r="G264" s="5">
        <v>-542.53</v>
      </c>
      <c r="H264" s="5">
        <f t="shared" si="18"/>
        <v>542.53</v>
      </c>
      <c r="I264" s="5">
        <v>-542.53</v>
      </c>
      <c r="J264" s="5">
        <f t="shared" si="19"/>
        <v>542.53</v>
      </c>
      <c r="K264" s="5">
        <v>26358.22</v>
      </c>
    </row>
    <row r="265" spans="1:11" x14ac:dyDescent="0.25">
      <c r="A265" s="5">
        <f t="shared" si="16"/>
        <v>2024</v>
      </c>
      <c r="B265" s="5">
        <f t="shared" si="17"/>
        <v>6</v>
      </c>
      <c r="C265" s="6">
        <v>45469</v>
      </c>
      <c r="D265" s="5" t="s">
        <v>398</v>
      </c>
      <c r="E265" s="5" t="s">
        <v>902</v>
      </c>
      <c r="G265" s="5">
        <v>-542.44000000000005</v>
      </c>
      <c r="H265" s="5">
        <f t="shared" si="18"/>
        <v>542.44000000000005</v>
      </c>
      <c r="I265" s="5">
        <v>-542.44000000000005</v>
      </c>
      <c r="J265" s="5">
        <f t="shared" si="19"/>
        <v>542.44000000000005</v>
      </c>
      <c r="K265" s="5">
        <v>86312.02</v>
      </c>
    </row>
    <row r="266" spans="1:11" x14ac:dyDescent="0.25">
      <c r="A266" s="5">
        <f t="shared" si="16"/>
        <v>2024</v>
      </c>
      <c r="B266" s="5">
        <f t="shared" si="17"/>
        <v>11</v>
      </c>
      <c r="C266" s="6">
        <v>45623</v>
      </c>
      <c r="D266" s="5" t="s">
        <v>759</v>
      </c>
      <c r="E266" s="5" t="s">
        <v>902</v>
      </c>
      <c r="G266" s="5">
        <v>-540.64</v>
      </c>
      <c r="H266" s="5">
        <f t="shared" si="18"/>
        <v>540.64</v>
      </c>
      <c r="I266" s="5">
        <v>-540.64</v>
      </c>
      <c r="J266" s="5">
        <f t="shared" si="19"/>
        <v>540.64</v>
      </c>
      <c r="K266" s="5">
        <v>19861.66</v>
      </c>
    </row>
    <row r="267" spans="1:11" x14ac:dyDescent="0.25">
      <c r="A267" s="5">
        <f t="shared" si="16"/>
        <v>2024</v>
      </c>
      <c r="B267" s="5">
        <f t="shared" si="17"/>
        <v>7</v>
      </c>
      <c r="C267" s="6">
        <v>45499</v>
      </c>
      <c r="D267" s="5" t="s">
        <v>466</v>
      </c>
      <c r="E267" s="5" t="s">
        <v>902</v>
      </c>
      <c r="G267" s="5">
        <v>-536.41999999999996</v>
      </c>
      <c r="H267" s="5">
        <f t="shared" si="18"/>
        <v>536.41999999999996</v>
      </c>
      <c r="I267" s="5">
        <v>-536.41999999999996</v>
      </c>
      <c r="J267" s="5">
        <f t="shared" si="19"/>
        <v>536.41999999999996</v>
      </c>
      <c r="K267" s="5">
        <v>19456.59</v>
      </c>
    </row>
    <row r="268" spans="1:11" x14ac:dyDescent="0.25">
      <c r="A268" s="5">
        <f t="shared" si="16"/>
        <v>2024</v>
      </c>
      <c r="B268" s="5">
        <f t="shared" si="17"/>
        <v>4</v>
      </c>
      <c r="C268" s="6">
        <v>45408</v>
      </c>
      <c r="D268" s="5" t="s">
        <v>300</v>
      </c>
      <c r="E268" s="5" t="s">
        <v>902</v>
      </c>
      <c r="G268" s="5">
        <v>-535.91</v>
      </c>
      <c r="H268" s="5">
        <f t="shared" si="18"/>
        <v>535.91</v>
      </c>
      <c r="I268" s="5">
        <v>-535.91</v>
      </c>
      <c r="J268" s="5">
        <f t="shared" si="19"/>
        <v>535.91</v>
      </c>
      <c r="K268" s="5">
        <v>6268.78</v>
      </c>
    </row>
    <row r="269" spans="1:11" x14ac:dyDescent="0.25">
      <c r="A269" s="5">
        <f t="shared" si="16"/>
        <v>2024</v>
      </c>
      <c r="B269" s="5">
        <f t="shared" si="17"/>
        <v>8</v>
      </c>
      <c r="C269" s="6">
        <v>45531</v>
      </c>
      <c r="D269" s="5" t="s">
        <v>533</v>
      </c>
      <c r="E269" s="5" t="s">
        <v>902</v>
      </c>
      <c r="G269" s="5">
        <v>-535.49</v>
      </c>
      <c r="H269" s="5">
        <f t="shared" si="18"/>
        <v>535.49</v>
      </c>
      <c r="I269" s="5">
        <v>-535.49</v>
      </c>
      <c r="J269" s="5">
        <f t="shared" si="19"/>
        <v>535.49</v>
      </c>
      <c r="K269" s="5">
        <v>36322.839999999997</v>
      </c>
    </row>
    <row r="270" spans="1:11" x14ac:dyDescent="0.25">
      <c r="A270" s="5">
        <f t="shared" si="16"/>
        <v>2024</v>
      </c>
      <c r="B270" s="5">
        <f t="shared" si="17"/>
        <v>11</v>
      </c>
      <c r="C270" s="6">
        <v>45616</v>
      </c>
      <c r="D270" s="5" t="s">
        <v>751</v>
      </c>
      <c r="E270" s="5" t="s">
        <v>902</v>
      </c>
      <c r="G270" s="5">
        <v>-533.13</v>
      </c>
      <c r="H270" s="5">
        <f t="shared" si="18"/>
        <v>533.13</v>
      </c>
      <c r="I270" s="5">
        <v>-533.13</v>
      </c>
      <c r="J270" s="5">
        <f t="shared" si="19"/>
        <v>533.13</v>
      </c>
      <c r="K270" s="5">
        <v>3788.59</v>
      </c>
    </row>
    <row r="271" spans="1:11" x14ac:dyDescent="0.25">
      <c r="A271" s="5">
        <f t="shared" si="16"/>
        <v>2024</v>
      </c>
      <c r="B271" s="5">
        <f t="shared" si="17"/>
        <v>9</v>
      </c>
      <c r="C271" s="6">
        <v>45562</v>
      </c>
      <c r="D271" s="5" t="s">
        <v>616</v>
      </c>
      <c r="E271" s="5" t="s">
        <v>902</v>
      </c>
      <c r="G271" s="5">
        <v>-531.32000000000005</v>
      </c>
      <c r="H271" s="5">
        <f t="shared" si="18"/>
        <v>531.32000000000005</v>
      </c>
      <c r="I271" s="5">
        <v>-531.32000000000005</v>
      </c>
      <c r="J271" s="5">
        <f t="shared" si="19"/>
        <v>531.32000000000005</v>
      </c>
      <c r="K271" s="5">
        <v>83133.820000000007</v>
      </c>
    </row>
    <row r="272" spans="1:11" x14ac:dyDescent="0.25">
      <c r="A272" s="5">
        <f t="shared" si="16"/>
        <v>2024</v>
      </c>
      <c r="B272" s="5">
        <f t="shared" si="17"/>
        <v>9</v>
      </c>
      <c r="C272" s="6">
        <v>45555</v>
      </c>
      <c r="D272" s="5" t="s">
        <v>603</v>
      </c>
      <c r="E272" s="5" t="s">
        <v>902</v>
      </c>
      <c r="G272" s="5">
        <v>-523.59</v>
      </c>
      <c r="H272" s="5">
        <f t="shared" si="18"/>
        <v>523.59</v>
      </c>
      <c r="I272" s="5">
        <v>-523.59</v>
      </c>
      <c r="J272" s="5">
        <f t="shared" si="19"/>
        <v>523.59</v>
      </c>
      <c r="K272" s="5">
        <v>82771.460000000006</v>
      </c>
    </row>
    <row r="273" spans="1:11" x14ac:dyDescent="0.25">
      <c r="A273" s="5">
        <f t="shared" si="16"/>
        <v>2024</v>
      </c>
      <c r="B273" s="5">
        <f t="shared" si="17"/>
        <v>9</v>
      </c>
      <c r="C273" s="6">
        <v>45559</v>
      </c>
      <c r="D273" s="5" t="s">
        <v>611</v>
      </c>
      <c r="E273" s="5" t="s">
        <v>902</v>
      </c>
      <c r="G273" s="5">
        <v>-515.87</v>
      </c>
      <c r="H273" s="5">
        <f t="shared" si="18"/>
        <v>515.87</v>
      </c>
      <c r="I273" s="5">
        <v>-515.87</v>
      </c>
      <c r="J273" s="5">
        <f t="shared" si="19"/>
        <v>515.87</v>
      </c>
      <c r="K273" s="5">
        <v>66112.460000000006</v>
      </c>
    </row>
    <row r="274" spans="1:11" x14ac:dyDescent="0.25">
      <c r="A274" s="5">
        <f t="shared" si="16"/>
        <v>2024</v>
      </c>
      <c r="B274" s="5">
        <f t="shared" si="17"/>
        <v>1</v>
      </c>
      <c r="C274" s="6">
        <v>45302</v>
      </c>
      <c r="D274" s="5" t="s">
        <v>134</v>
      </c>
      <c r="E274" s="5" t="s">
        <v>902</v>
      </c>
      <c r="G274" s="5">
        <v>-515.63</v>
      </c>
      <c r="H274" s="5">
        <f t="shared" si="18"/>
        <v>515.63</v>
      </c>
      <c r="I274" s="5">
        <v>-515.63</v>
      </c>
      <c r="J274" s="5">
        <f t="shared" si="19"/>
        <v>515.63</v>
      </c>
      <c r="K274" s="5">
        <v>45418.31</v>
      </c>
    </row>
    <row r="275" spans="1:11" x14ac:dyDescent="0.25">
      <c r="A275" s="5">
        <f t="shared" si="16"/>
        <v>2024</v>
      </c>
      <c r="B275" s="5">
        <f t="shared" si="17"/>
        <v>5</v>
      </c>
      <c r="C275" s="6">
        <v>45418</v>
      </c>
      <c r="D275" s="5" t="s">
        <v>322</v>
      </c>
      <c r="E275" s="5" t="s">
        <v>902</v>
      </c>
      <c r="G275" s="5">
        <v>-514.01</v>
      </c>
      <c r="H275" s="5">
        <f t="shared" si="18"/>
        <v>514.01</v>
      </c>
      <c r="I275" s="5">
        <v>-514.01</v>
      </c>
      <c r="J275" s="5">
        <f t="shared" si="19"/>
        <v>514.01</v>
      </c>
      <c r="K275" s="5">
        <v>9607</v>
      </c>
    </row>
    <row r="276" spans="1:11" x14ac:dyDescent="0.25">
      <c r="A276" s="5">
        <f t="shared" si="16"/>
        <v>2024</v>
      </c>
      <c r="B276" s="5">
        <f t="shared" si="17"/>
        <v>10</v>
      </c>
      <c r="C276" s="6">
        <v>45580</v>
      </c>
      <c r="D276" s="5" t="s">
        <v>667</v>
      </c>
      <c r="E276" s="5" t="s">
        <v>902</v>
      </c>
      <c r="G276" s="5">
        <v>-513.33000000000004</v>
      </c>
      <c r="H276" s="5">
        <f t="shared" si="18"/>
        <v>513.33000000000004</v>
      </c>
      <c r="I276" s="5">
        <v>-513.33000000000004</v>
      </c>
      <c r="J276" s="5">
        <f t="shared" si="19"/>
        <v>513.33000000000004</v>
      </c>
      <c r="K276" s="5">
        <v>103968.38</v>
      </c>
    </row>
    <row r="277" spans="1:11" x14ac:dyDescent="0.25">
      <c r="A277" s="5">
        <f t="shared" si="16"/>
        <v>2023</v>
      </c>
      <c r="B277" s="5">
        <f t="shared" si="17"/>
        <v>11</v>
      </c>
      <c r="C277" s="6">
        <v>45247</v>
      </c>
      <c r="D277" s="5" t="s">
        <v>73</v>
      </c>
      <c r="E277" s="5" t="s">
        <v>902</v>
      </c>
      <c r="G277" s="5">
        <v>-512.54999999999995</v>
      </c>
      <c r="H277" s="5">
        <f t="shared" si="18"/>
        <v>512.54999999999995</v>
      </c>
      <c r="I277" s="5">
        <v>-512.54999999999995</v>
      </c>
      <c r="J277" s="5">
        <f t="shared" si="19"/>
        <v>512.54999999999995</v>
      </c>
      <c r="K277" s="5">
        <v>24642.27</v>
      </c>
    </row>
    <row r="278" spans="1:11" x14ac:dyDescent="0.25">
      <c r="A278" s="5">
        <f t="shared" si="16"/>
        <v>2025</v>
      </c>
      <c r="B278" s="5">
        <f t="shared" si="17"/>
        <v>2</v>
      </c>
      <c r="C278" s="6">
        <v>45698</v>
      </c>
      <c r="D278" s="5" t="s">
        <v>863</v>
      </c>
      <c r="E278" s="5" t="s">
        <v>902</v>
      </c>
      <c r="G278" s="5">
        <v>-510.24</v>
      </c>
      <c r="H278" s="5">
        <f t="shared" si="18"/>
        <v>510.24</v>
      </c>
      <c r="I278" s="5">
        <v>-510.24</v>
      </c>
      <c r="J278" s="5">
        <f t="shared" si="19"/>
        <v>510.24</v>
      </c>
      <c r="K278" s="5">
        <v>61102.45</v>
      </c>
    </row>
    <row r="279" spans="1:11" x14ac:dyDescent="0.25">
      <c r="A279" s="5">
        <f t="shared" si="16"/>
        <v>2024</v>
      </c>
      <c r="B279" s="5">
        <f t="shared" si="17"/>
        <v>6</v>
      </c>
      <c r="C279" s="6">
        <v>45469</v>
      </c>
      <c r="D279" s="5" t="s">
        <v>399</v>
      </c>
      <c r="E279" s="5" t="s">
        <v>902</v>
      </c>
      <c r="G279" s="5">
        <v>-509.35</v>
      </c>
      <c r="H279" s="5">
        <f t="shared" si="18"/>
        <v>509.35</v>
      </c>
      <c r="I279" s="5">
        <v>-509.35</v>
      </c>
      <c r="J279" s="5">
        <f t="shared" si="19"/>
        <v>509.35</v>
      </c>
      <c r="K279" s="5">
        <v>85802.67</v>
      </c>
    </row>
    <row r="280" spans="1:11" x14ac:dyDescent="0.25">
      <c r="A280" s="5">
        <f t="shared" si="16"/>
        <v>2024</v>
      </c>
      <c r="B280" s="5">
        <f t="shared" si="17"/>
        <v>2</v>
      </c>
      <c r="C280" s="6">
        <v>45350</v>
      </c>
      <c r="D280" s="5" t="s">
        <v>201</v>
      </c>
      <c r="E280" s="5" t="s">
        <v>902</v>
      </c>
      <c r="G280" s="5">
        <v>-500</v>
      </c>
      <c r="H280" s="5">
        <f t="shared" si="18"/>
        <v>500</v>
      </c>
      <c r="I280" s="5">
        <v>-500</v>
      </c>
      <c r="J280" s="5">
        <f t="shared" si="19"/>
        <v>500</v>
      </c>
      <c r="K280" s="5">
        <v>29322.400000000001</v>
      </c>
    </row>
    <row r="281" spans="1:11" x14ac:dyDescent="0.25">
      <c r="A281" s="5">
        <f t="shared" si="16"/>
        <v>2024</v>
      </c>
      <c r="B281" s="5">
        <f t="shared" si="17"/>
        <v>3</v>
      </c>
      <c r="C281" s="6">
        <v>45363</v>
      </c>
      <c r="D281" s="5" t="s">
        <v>228</v>
      </c>
      <c r="E281" s="5" t="s">
        <v>902</v>
      </c>
      <c r="G281" s="5">
        <v>-500</v>
      </c>
      <c r="H281" s="5">
        <f t="shared" si="18"/>
        <v>500</v>
      </c>
      <c r="I281" s="5">
        <v>-500</v>
      </c>
      <c r="J281" s="5">
        <f t="shared" si="19"/>
        <v>500</v>
      </c>
      <c r="K281" s="5">
        <v>26536.66</v>
      </c>
    </row>
    <row r="282" spans="1:11" x14ac:dyDescent="0.25">
      <c r="A282" s="5">
        <f t="shared" si="16"/>
        <v>2024</v>
      </c>
      <c r="B282" s="5">
        <f t="shared" si="17"/>
        <v>6</v>
      </c>
      <c r="C282" s="6">
        <v>45460</v>
      </c>
      <c r="D282" s="5" t="s">
        <v>388</v>
      </c>
      <c r="E282" s="5" t="s">
        <v>902</v>
      </c>
      <c r="G282" s="5">
        <v>-500</v>
      </c>
      <c r="H282" s="5">
        <f t="shared" si="18"/>
        <v>500</v>
      </c>
      <c r="I282" s="5">
        <v>-500</v>
      </c>
      <c r="J282" s="5">
        <f t="shared" si="19"/>
        <v>500</v>
      </c>
      <c r="K282" s="5">
        <v>34399.46</v>
      </c>
    </row>
    <row r="283" spans="1:11" x14ac:dyDescent="0.25">
      <c r="A283" s="5">
        <f t="shared" si="16"/>
        <v>2024</v>
      </c>
      <c r="B283" s="5">
        <f t="shared" si="17"/>
        <v>6</v>
      </c>
      <c r="C283" s="6">
        <v>45467</v>
      </c>
      <c r="D283" s="5" t="s">
        <v>397</v>
      </c>
      <c r="E283" s="5" t="s">
        <v>902</v>
      </c>
      <c r="G283" s="5">
        <v>-500</v>
      </c>
      <c r="H283" s="5">
        <f t="shared" si="18"/>
        <v>500</v>
      </c>
      <c r="I283" s="5">
        <v>-500</v>
      </c>
      <c r="J283" s="5">
        <f t="shared" si="19"/>
        <v>500</v>
      </c>
      <c r="K283" s="5">
        <v>74758.460000000006</v>
      </c>
    </row>
    <row r="284" spans="1:11" x14ac:dyDescent="0.25">
      <c r="A284" s="5">
        <f t="shared" si="16"/>
        <v>2024</v>
      </c>
      <c r="B284" s="5">
        <f t="shared" si="17"/>
        <v>7</v>
      </c>
      <c r="C284" s="6">
        <v>45482</v>
      </c>
      <c r="D284" s="5" t="s">
        <v>431</v>
      </c>
      <c r="E284" s="5" t="s">
        <v>902</v>
      </c>
      <c r="G284" s="5">
        <v>-500</v>
      </c>
      <c r="H284" s="5">
        <f t="shared" si="18"/>
        <v>500</v>
      </c>
      <c r="I284" s="5">
        <v>-500</v>
      </c>
      <c r="J284" s="5">
        <f t="shared" si="19"/>
        <v>500</v>
      </c>
      <c r="K284" s="5">
        <v>82307.3</v>
      </c>
    </row>
    <row r="285" spans="1:11" x14ac:dyDescent="0.25">
      <c r="A285" s="5">
        <f t="shared" si="16"/>
        <v>2024</v>
      </c>
      <c r="B285" s="5">
        <f t="shared" si="17"/>
        <v>7</v>
      </c>
      <c r="C285" s="6">
        <v>45488</v>
      </c>
      <c r="D285" s="5" t="s">
        <v>439</v>
      </c>
      <c r="E285" s="5" t="s">
        <v>902</v>
      </c>
      <c r="G285" s="5">
        <v>-500</v>
      </c>
      <c r="H285" s="5">
        <f t="shared" si="18"/>
        <v>500</v>
      </c>
      <c r="I285" s="5">
        <v>-500</v>
      </c>
      <c r="J285" s="5">
        <f t="shared" si="19"/>
        <v>500</v>
      </c>
      <c r="K285" s="5">
        <v>63756.63</v>
      </c>
    </row>
    <row r="286" spans="1:11" x14ac:dyDescent="0.25">
      <c r="A286" s="5">
        <f t="shared" si="16"/>
        <v>2025</v>
      </c>
      <c r="B286" s="5">
        <f t="shared" si="17"/>
        <v>1</v>
      </c>
      <c r="C286" s="6">
        <v>45665</v>
      </c>
      <c r="D286" s="5" t="s">
        <v>828</v>
      </c>
      <c r="E286" s="5" t="s">
        <v>902</v>
      </c>
      <c r="G286" s="5">
        <v>-500</v>
      </c>
      <c r="H286" s="5">
        <f t="shared" si="18"/>
        <v>500</v>
      </c>
      <c r="I286" s="5">
        <v>-500</v>
      </c>
      <c r="J286" s="5">
        <f t="shared" si="19"/>
        <v>500</v>
      </c>
      <c r="K286" s="5">
        <v>78883.210000000006</v>
      </c>
    </row>
    <row r="287" spans="1:11" x14ac:dyDescent="0.25">
      <c r="A287" s="5">
        <f t="shared" si="16"/>
        <v>2024</v>
      </c>
      <c r="B287" s="5">
        <f t="shared" si="17"/>
        <v>7</v>
      </c>
      <c r="C287" s="6">
        <v>45475</v>
      </c>
      <c r="D287" s="5" t="s">
        <v>422</v>
      </c>
      <c r="E287" s="5" t="s">
        <v>902</v>
      </c>
      <c r="G287" s="5">
        <v>-498.8</v>
      </c>
      <c r="H287" s="5">
        <f t="shared" si="18"/>
        <v>498.8</v>
      </c>
      <c r="I287" s="5">
        <v>-498.8</v>
      </c>
      <c r="J287" s="5">
        <f t="shared" si="19"/>
        <v>498.8</v>
      </c>
      <c r="K287" s="5">
        <v>72075.259999999995</v>
      </c>
    </row>
    <row r="288" spans="1:11" x14ac:dyDescent="0.25">
      <c r="A288" s="5">
        <f t="shared" si="16"/>
        <v>2024</v>
      </c>
      <c r="B288" s="5">
        <f t="shared" si="17"/>
        <v>6</v>
      </c>
      <c r="C288" s="6">
        <v>45470</v>
      </c>
      <c r="D288" s="5" t="s">
        <v>402</v>
      </c>
      <c r="E288" s="5" t="s">
        <v>902</v>
      </c>
      <c r="G288" s="5">
        <v>-495.82</v>
      </c>
      <c r="H288" s="5">
        <f t="shared" si="18"/>
        <v>495.82</v>
      </c>
      <c r="I288" s="5">
        <v>-495.82</v>
      </c>
      <c r="J288" s="5">
        <f t="shared" si="19"/>
        <v>495.82</v>
      </c>
      <c r="K288" s="5">
        <v>78423.350000000006</v>
      </c>
    </row>
    <row r="289" spans="1:11" x14ac:dyDescent="0.25">
      <c r="A289" s="5">
        <f t="shared" si="16"/>
        <v>2024</v>
      </c>
      <c r="B289" s="5">
        <f t="shared" si="17"/>
        <v>8</v>
      </c>
      <c r="C289" s="6">
        <v>45531</v>
      </c>
      <c r="D289" s="5" t="s">
        <v>536</v>
      </c>
      <c r="E289" s="5" t="s">
        <v>902</v>
      </c>
      <c r="G289" s="5">
        <v>-492.36</v>
      </c>
      <c r="H289" s="5">
        <f t="shared" si="18"/>
        <v>492.36</v>
      </c>
      <c r="I289" s="5">
        <v>-492.36</v>
      </c>
      <c r="J289" s="5">
        <f t="shared" si="19"/>
        <v>492.36</v>
      </c>
      <c r="K289" s="5">
        <v>35265.07</v>
      </c>
    </row>
    <row r="290" spans="1:11" x14ac:dyDescent="0.25">
      <c r="A290" s="5">
        <f t="shared" si="16"/>
        <v>2024</v>
      </c>
      <c r="B290" s="5">
        <f t="shared" si="17"/>
        <v>1</v>
      </c>
      <c r="C290" s="6">
        <v>45308</v>
      </c>
      <c r="D290" s="5" t="s">
        <v>146</v>
      </c>
      <c r="E290" s="5" t="s">
        <v>902</v>
      </c>
      <c r="G290" s="5">
        <v>-488.71</v>
      </c>
      <c r="H290" s="5">
        <f t="shared" si="18"/>
        <v>488.71</v>
      </c>
      <c r="I290" s="5">
        <v>-488.71</v>
      </c>
      <c r="J290" s="5">
        <f t="shared" si="19"/>
        <v>488.71</v>
      </c>
      <c r="K290" s="5">
        <v>19504.84</v>
      </c>
    </row>
    <row r="291" spans="1:11" x14ac:dyDescent="0.25">
      <c r="A291" s="5">
        <f t="shared" si="16"/>
        <v>2024</v>
      </c>
      <c r="B291" s="5">
        <f t="shared" si="17"/>
        <v>1</v>
      </c>
      <c r="C291" s="6">
        <v>45307</v>
      </c>
      <c r="D291" s="5" t="s">
        <v>141</v>
      </c>
      <c r="E291" s="5" t="s">
        <v>902</v>
      </c>
      <c r="G291" s="5">
        <v>-480.3</v>
      </c>
      <c r="H291" s="5">
        <f t="shared" si="18"/>
        <v>480.3</v>
      </c>
      <c r="I291" s="5">
        <v>-480.3</v>
      </c>
      <c r="J291" s="5">
        <f t="shared" si="19"/>
        <v>480.3</v>
      </c>
      <c r="K291" s="5">
        <v>20410.87</v>
      </c>
    </row>
    <row r="292" spans="1:11" x14ac:dyDescent="0.25">
      <c r="A292" s="5">
        <f t="shared" si="16"/>
        <v>2025</v>
      </c>
      <c r="B292" s="5">
        <f t="shared" si="17"/>
        <v>2</v>
      </c>
      <c r="C292" s="6">
        <v>45707</v>
      </c>
      <c r="D292" s="5" t="s">
        <v>871</v>
      </c>
      <c r="E292" s="5" t="s">
        <v>902</v>
      </c>
      <c r="G292" s="5">
        <v>-469.44</v>
      </c>
      <c r="H292" s="5">
        <f t="shared" si="18"/>
        <v>469.44</v>
      </c>
      <c r="I292" s="5">
        <v>-469.44</v>
      </c>
      <c r="J292" s="5">
        <f t="shared" si="19"/>
        <v>469.44</v>
      </c>
      <c r="K292" s="5">
        <v>56654.06</v>
      </c>
    </row>
    <row r="293" spans="1:11" x14ac:dyDescent="0.25">
      <c r="A293" s="5">
        <f t="shared" si="16"/>
        <v>2024</v>
      </c>
      <c r="B293" s="5">
        <f t="shared" si="17"/>
        <v>11</v>
      </c>
      <c r="C293" s="6">
        <v>45611</v>
      </c>
      <c r="D293" s="5" t="s">
        <v>739</v>
      </c>
      <c r="E293" s="5" t="s">
        <v>902</v>
      </c>
      <c r="G293" s="5">
        <v>-466.84</v>
      </c>
      <c r="H293" s="5">
        <f t="shared" si="18"/>
        <v>466.84</v>
      </c>
      <c r="I293" s="5">
        <v>-466.84</v>
      </c>
      <c r="J293" s="5">
        <f t="shared" si="19"/>
        <v>466.84</v>
      </c>
      <c r="K293" s="5">
        <v>32809.01</v>
      </c>
    </row>
    <row r="294" spans="1:11" x14ac:dyDescent="0.25">
      <c r="A294" s="5">
        <f t="shared" si="16"/>
        <v>2024</v>
      </c>
      <c r="B294" s="5">
        <f t="shared" si="17"/>
        <v>8</v>
      </c>
      <c r="C294" s="6">
        <v>45523</v>
      </c>
      <c r="D294" s="5" t="s">
        <v>518</v>
      </c>
      <c r="E294" s="5" t="s">
        <v>902</v>
      </c>
      <c r="G294" s="5">
        <v>-465.56</v>
      </c>
      <c r="H294" s="5">
        <f t="shared" si="18"/>
        <v>465.56</v>
      </c>
      <c r="I294" s="5">
        <v>-465.56</v>
      </c>
      <c r="J294" s="5">
        <f t="shared" si="19"/>
        <v>465.56</v>
      </c>
      <c r="K294" s="5">
        <v>71148.570000000007</v>
      </c>
    </row>
    <row r="295" spans="1:11" x14ac:dyDescent="0.25">
      <c r="A295" s="5">
        <f t="shared" si="16"/>
        <v>2025</v>
      </c>
      <c r="B295" s="5">
        <f t="shared" si="17"/>
        <v>2</v>
      </c>
      <c r="C295" s="6">
        <v>45712</v>
      </c>
      <c r="D295" s="5" t="s">
        <v>884</v>
      </c>
      <c r="E295" s="5" t="s">
        <v>902</v>
      </c>
      <c r="G295" s="5">
        <v>-460.89</v>
      </c>
      <c r="H295" s="5">
        <f t="shared" si="18"/>
        <v>460.89</v>
      </c>
      <c r="I295" s="5">
        <v>-460.89</v>
      </c>
      <c r="J295" s="5">
        <f t="shared" si="19"/>
        <v>460.89</v>
      </c>
      <c r="K295" s="5">
        <v>61384.49</v>
      </c>
    </row>
    <row r="296" spans="1:11" x14ac:dyDescent="0.25">
      <c r="A296" s="5">
        <f t="shared" si="16"/>
        <v>2024</v>
      </c>
      <c r="B296" s="5">
        <f t="shared" si="17"/>
        <v>3</v>
      </c>
      <c r="C296" s="6">
        <v>45379</v>
      </c>
      <c r="D296" s="5" t="s">
        <v>252</v>
      </c>
      <c r="E296" s="5" t="s">
        <v>902</v>
      </c>
      <c r="G296" s="5">
        <v>-457.41</v>
      </c>
      <c r="H296" s="5">
        <f t="shared" si="18"/>
        <v>457.41</v>
      </c>
      <c r="I296" s="5">
        <v>-457.41</v>
      </c>
      <c r="J296" s="5">
        <f t="shared" si="19"/>
        <v>457.41</v>
      </c>
      <c r="K296" s="5">
        <v>22012.39</v>
      </c>
    </row>
    <row r="297" spans="1:11" x14ac:dyDescent="0.25">
      <c r="A297" s="5">
        <f t="shared" si="16"/>
        <v>2024</v>
      </c>
      <c r="B297" s="5">
        <f t="shared" si="17"/>
        <v>3</v>
      </c>
      <c r="C297" s="6">
        <v>45366</v>
      </c>
      <c r="D297" s="5" t="s">
        <v>230</v>
      </c>
      <c r="E297" s="5" t="s">
        <v>902</v>
      </c>
      <c r="G297" s="5">
        <v>-456</v>
      </c>
      <c r="H297" s="5">
        <f t="shared" si="18"/>
        <v>456</v>
      </c>
      <c r="I297" s="5">
        <v>-456</v>
      </c>
      <c r="J297" s="5">
        <f t="shared" si="19"/>
        <v>456</v>
      </c>
      <c r="K297" s="5">
        <v>25976.959999999999</v>
      </c>
    </row>
    <row r="298" spans="1:11" x14ac:dyDescent="0.25">
      <c r="A298" s="5">
        <f t="shared" si="16"/>
        <v>2024</v>
      </c>
      <c r="B298" s="5">
        <f t="shared" si="17"/>
        <v>9</v>
      </c>
      <c r="C298" s="6">
        <v>45553</v>
      </c>
      <c r="D298" s="5" t="s">
        <v>597</v>
      </c>
      <c r="E298" s="5" t="s">
        <v>902</v>
      </c>
      <c r="G298" s="5">
        <v>-456</v>
      </c>
      <c r="H298" s="5">
        <f t="shared" si="18"/>
        <v>456</v>
      </c>
      <c r="I298" s="5">
        <v>-456</v>
      </c>
      <c r="J298" s="5">
        <f t="shared" si="19"/>
        <v>456</v>
      </c>
      <c r="K298" s="5">
        <v>83756.75</v>
      </c>
    </row>
    <row r="299" spans="1:11" x14ac:dyDescent="0.25">
      <c r="A299" s="5">
        <f t="shared" si="16"/>
        <v>2024</v>
      </c>
      <c r="B299" s="5">
        <f t="shared" si="17"/>
        <v>10</v>
      </c>
      <c r="C299" s="6">
        <v>45567</v>
      </c>
      <c r="D299" s="5" t="s">
        <v>633</v>
      </c>
      <c r="E299" s="5" t="s">
        <v>902</v>
      </c>
      <c r="G299" s="5">
        <v>-455.02</v>
      </c>
      <c r="H299" s="5">
        <f t="shared" si="18"/>
        <v>455.02</v>
      </c>
      <c r="I299" s="5">
        <v>-455.02</v>
      </c>
      <c r="J299" s="5">
        <f t="shared" si="19"/>
        <v>455.02</v>
      </c>
      <c r="K299" s="5">
        <v>87224.41</v>
      </c>
    </row>
    <row r="300" spans="1:11" x14ac:dyDescent="0.25">
      <c r="A300" s="5">
        <f t="shared" si="16"/>
        <v>2023</v>
      </c>
      <c r="B300" s="5">
        <f t="shared" si="17"/>
        <v>10</v>
      </c>
      <c r="C300" s="6">
        <v>45204</v>
      </c>
      <c r="D300" s="5" t="s">
        <v>37</v>
      </c>
      <c r="E300" s="5" t="s">
        <v>902</v>
      </c>
      <c r="G300" s="5">
        <v>-446.52</v>
      </c>
      <c r="H300" s="5">
        <f t="shared" si="18"/>
        <v>446.52</v>
      </c>
      <c r="I300" s="5">
        <v>-446.52</v>
      </c>
      <c r="J300" s="5">
        <f t="shared" si="19"/>
        <v>446.52</v>
      </c>
      <c r="K300" s="5">
        <v>10678.73</v>
      </c>
    </row>
    <row r="301" spans="1:11" x14ac:dyDescent="0.25">
      <c r="A301" s="5">
        <f t="shared" si="16"/>
        <v>2023</v>
      </c>
      <c r="B301" s="5">
        <f t="shared" si="17"/>
        <v>10</v>
      </c>
      <c r="C301" s="6">
        <v>45210</v>
      </c>
      <c r="D301" s="5" t="s">
        <v>45</v>
      </c>
      <c r="E301" s="5" t="s">
        <v>902</v>
      </c>
      <c r="G301" s="5">
        <v>-439.62</v>
      </c>
      <c r="H301" s="5">
        <f t="shared" si="18"/>
        <v>439.62</v>
      </c>
      <c r="I301" s="5">
        <v>-439.62</v>
      </c>
      <c r="J301" s="5">
        <f t="shared" si="19"/>
        <v>439.62</v>
      </c>
      <c r="K301" s="5">
        <v>4420.1099999999997</v>
      </c>
    </row>
    <row r="302" spans="1:11" x14ac:dyDescent="0.25">
      <c r="A302" s="5">
        <f t="shared" si="16"/>
        <v>2024</v>
      </c>
      <c r="B302" s="5">
        <f t="shared" si="17"/>
        <v>10</v>
      </c>
      <c r="C302" s="6">
        <v>45567</v>
      </c>
      <c r="D302" s="5" t="s">
        <v>636</v>
      </c>
      <c r="E302" s="5" t="s">
        <v>902</v>
      </c>
      <c r="G302" s="5">
        <v>-433.73</v>
      </c>
      <c r="H302" s="5">
        <f t="shared" si="18"/>
        <v>433.73</v>
      </c>
      <c r="I302" s="5">
        <v>-433.73</v>
      </c>
      <c r="J302" s="5">
        <f t="shared" si="19"/>
        <v>433.73</v>
      </c>
      <c r="K302" s="5">
        <v>77580.679999999993</v>
      </c>
    </row>
    <row r="303" spans="1:11" x14ac:dyDescent="0.25">
      <c r="A303" s="5">
        <f t="shared" si="16"/>
        <v>2025</v>
      </c>
      <c r="B303" s="5">
        <f t="shared" si="17"/>
        <v>1</v>
      </c>
      <c r="C303" s="6">
        <v>45667</v>
      </c>
      <c r="D303" s="5" t="s">
        <v>834</v>
      </c>
      <c r="E303" s="5" t="s">
        <v>902</v>
      </c>
      <c r="G303" s="5">
        <v>-433.38</v>
      </c>
      <c r="H303" s="5">
        <f t="shared" si="18"/>
        <v>433.38</v>
      </c>
      <c r="I303" s="5">
        <v>-433.38</v>
      </c>
      <c r="J303" s="5">
        <f t="shared" si="19"/>
        <v>433.38</v>
      </c>
      <c r="K303" s="5">
        <v>36153.81</v>
      </c>
    </row>
    <row r="304" spans="1:11" x14ac:dyDescent="0.25">
      <c r="A304" s="5">
        <f t="shared" si="16"/>
        <v>2023</v>
      </c>
      <c r="B304" s="5">
        <f t="shared" si="17"/>
        <v>9</v>
      </c>
      <c r="C304" s="6">
        <v>45188</v>
      </c>
      <c r="D304" s="5" t="s">
        <v>17</v>
      </c>
      <c r="E304" s="5" t="s">
        <v>902</v>
      </c>
      <c r="G304" s="5">
        <v>-424.84</v>
      </c>
      <c r="H304" s="5">
        <f t="shared" si="18"/>
        <v>424.84</v>
      </c>
      <c r="I304" s="5">
        <v>-424.84</v>
      </c>
      <c r="J304" s="5">
        <f t="shared" si="19"/>
        <v>424.84</v>
      </c>
      <c r="K304" s="5">
        <v>8011.7</v>
      </c>
    </row>
    <row r="305" spans="1:11" x14ac:dyDescent="0.25">
      <c r="A305" s="5">
        <f t="shared" si="16"/>
        <v>2024</v>
      </c>
      <c r="B305" s="5">
        <f t="shared" si="17"/>
        <v>9</v>
      </c>
      <c r="C305" s="6">
        <v>45561</v>
      </c>
      <c r="D305" s="5" t="s">
        <v>615</v>
      </c>
      <c r="E305" s="5" t="s">
        <v>902</v>
      </c>
      <c r="G305" s="5">
        <v>-424.2</v>
      </c>
      <c r="H305" s="5">
        <f t="shared" si="18"/>
        <v>424.2</v>
      </c>
      <c r="I305" s="5">
        <v>-424.2</v>
      </c>
      <c r="J305" s="5">
        <f t="shared" si="19"/>
        <v>424.2</v>
      </c>
      <c r="K305" s="5">
        <v>81106.350000000006</v>
      </c>
    </row>
    <row r="306" spans="1:11" x14ac:dyDescent="0.25">
      <c r="A306" s="5">
        <f t="shared" si="16"/>
        <v>2025</v>
      </c>
      <c r="B306" s="5">
        <f t="shared" si="17"/>
        <v>2</v>
      </c>
      <c r="C306" s="6">
        <v>45691</v>
      </c>
      <c r="D306" s="5" t="s">
        <v>856</v>
      </c>
      <c r="E306" s="5" t="s">
        <v>902</v>
      </c>
      <c r="G306" s="5">
        <v>-421.82</v>
      </c>
      <c r="H306" s="5">
        <f t="shared" si="18"/>
        <v>421.82</v>
      </c>
      <c r="I306" s="5">
        <v>-421.82</v>
      </c>
      <c r="J306" s="5">
        <f t="shared" si="19"/>
        <v>421.82</v>
      </c>
      <c r="K306" s="5">
        <v>59593.11</v>
      </c>
    </row>
    <row r="307" spans="1:11" x14ac:dyDescent="0.25">
      <c r="A307" s="5">
        <f t="shared" si="16"/>
        <v>2025</v>
      </c>
      <c r="B307" s="5">
        <f t="shared" si="17"/>
        <v>3</v>
      </c>
      <c r="C307" s="6">
        <v>45719</v>
      </c>
      <c r="D307" s="5" t="s">
        <v>891</v>
      </c>
      <c r="E307" s="5" t="s">
        <v>902</v>
      </c>
      <c r="G307" s="5">
        <v>-421.82</v>
      </c>
      <c r="H307" s="5">
        <f t="shared" si="18"/>
        <v>421.82</v>
      </c>
      <c r="I307" s="5">
        <v>-421.82</v>
      </c>
      <c r="J307" s="5">
        <f t="shared" si="19"/>
        <v>421.82</v>
      </c>
      <c r="K307" s="5">
        <v>86072.38</v>
      </c>
    </row>
    <row r="308" spans="1:11" x14ac:dyDescent="0.25">
      <c r="A308" s="5">
        <f t="shared" si="16"/>
        <v>2024</v>
      </c>
      <c r="B308" s="5">
        <f t="shared" si="17"/>
        <v>2</v>
      </c>
      <c r="C308" s="6">
        <v>45345</v>
      </c>
      <c r="D308" s="5" t="s">
        <v>195</v>
      </c>
      <c r="E308" s="5" t="s">
        <v>902</v>
      </c>
      <c r="G308" s="5">
        <v>-421.48</v>
      </c>
      <c r="H308" s="5">
        <f t="shared" si="18"/>
        <v>421.48</v>
      </c>
      <c r="I308" s="5">
        <v>-421.48</v>
      </c>
      <c r="J308" s="5">
        <f t="shared" si="19"/>
        <v>421.48</v>
      </c>
      <c r="K308" s="5">
        <v>17453.62</v>
      </c>
    </row>
    <row r="309" spans="1:11" x14ac:dyDescent="0.25">
      <c r="A309" s="5">
        <f t="shared" si="16"/>
        <v>2024</v>
      </c>
      <c r="B309" s="5">
        <f t="shared" si="17"/>
        <v>9</v>
      </c>
      <c r="C309" s="6">
        <v>45551</v>
      </c>
      <c r="D309" s="5" t="s">
        <v>588</v>
      </c>
      <c r="E309" s="5" t="s">
        <v>902</v>
      </c>
      <c r="G309" s="5">
        <v>-410.49</v>
      </c>
      <c r="H309" s="5">
        <f t="shared" si="18"/>
        <v>410.49</v>
      </c>
      <c r="I309" s="5">
        <v>-410.49</v>
      </c>
      <c r="J309" s="5">
        <f t="shared" si="19"/>
        <v>410.49</v>
      </c>
      <c r="K309" s="5">
        <v>87509.7</v>
      </c>
    </row>
    <row r="310" spans="1:11" x14ac:dyDescent="0.25">
      <c r="A310" s="5">
        <f t="shared" si="16"/>
        <v>2023</v>
      </c>
      <c r="B310" s="5">
        <f t="shared" si="17"/>
        <v>12</v>
      </c>
      <c r="C310" s="6">
        <v>45279</v>
      </c>
      <c r="D310" s="5" t="s">
        <v>104</v>
      </c>
      <c r="E310" s="5" t="s">
        <v>902</v>
      </c>
      <c r="G310" s="5">
        <v>-407.39</v>
      </c>
      <c r="H310" s="5">
        <f t="shared" si="18"/>
        <v>407.39</v>
      </c>
      <c r="I310" s="5">
        <v>-407.39</v>
      </c>
      <c r="J310" s="5">
        <f t="shared" si="19"/>
        <v>407.39</v>
      </c>
      <c r="K310" s="5">
        <v>42470.43</v>
      </c>
    </row>
    <row r="311" spans="1:11" x14ac:dyDescent="0.25">
      <c r="A311" s="5">
        <f t="shared" si="16"/>
        <v>2024</v>
      </c>
      <c r="B311" s="5">
        <f t="shared" si="17"/>
        <v>8</v>
      </c>
      <c r="C311" s="6">
        <v>45531</v>
      </c>
      <c r="D311" s="5" t="s">
        <v>535</v>
      </c>
      <c r="E311" s="5" t="s">
        <v>902</v>
      </c>
      <c r="G311" s="5">
        <v>-401.63</v>
      </c>
      <c r="H311" s="5">
        <f t="shared" si="18"/>
        <v>401.63</v>
      </c>
      <c r="I311" s="5">
        <v>-401.63</v>
      </c>
      <c r="J311" s="5">
        <f t="shared" si="19"/>
        <v>401.63</v>
      </c>
      <c r="K311" s="5">
        <v>35757.43</v>
      </c>
    </row>
    <row r="312" spans="1:11" x14ac:dyDescent="0.25">
      <c r="A312" s="5">
        <f t="shared" si="16"/>
        <v>2024</v>
      </c>
      <c r="B312" s="5">
        <f t="shared" si="17"/>
        <v>12</v>
      </c>
      <c r="C312" s="6">
        <v>45653</v>
      </c>
      <c r="D312" s="5" t="s">
        <v>797</v>
      </c>
      <c r="E312" s="5" t="s">
        <v>902</v>
      </c>
      <c r="G312" s="5">
        <v>-401.63</v>
      </c>
      <c r="H312" s="5">
        <f t="shared" si="18"/>
        <v>401.63</v>
      </c>
      <c r="I312" s="5">
        <v>-401.63</v>
      </c>
      <c r="J312" s="5">
        <f t="shared" si="19"/>
        <v>401.63</v>
      </c>
      <c r="K312" s="5">
        <v>142916.88</v>
      </c>
    </row>
    <row r="313" spans="1:11" x14ac:dyDescent="0.25">
      <c r="A313" s="5">
        <f t="shared" si="16"/>
        <v>2025</v>
      </c>
      <c r="B313" s="5">
        <f t="shared" si="17"/>
        <v>2</v>
      </c>
      <c r="C313" s="6">
        <v>45702</v>
      </c>
      <c r="D313" s="5" t="s">
        <v>865</v>
      </c>
      <c r="E313" s="5" t="s">
        <v>902</v>
      </c>
      <c r="G313" s="5">
        <v>-400</v>
      </c>
      <c r="H313" s="5">
        <f t="shared" si="18"/>
        <v>400</v>
      </c>
      <c r="I313" s="5">
        <v>-400</v>
      </c>
      <c r="J313" s="5">
        <f t="shared" si="19"/>
        <v>400</v>
      </c>
      <c r="K313" s="5">
        <v>60943.62</v>
      </c>
    </row>
    <row r="314" spans="1:11" x14ac:dyDescent="0.25">
      <c r="A314" s="5">
        <f t="shared" si="16"/>
        <v>2023</v>
      </c>
      <c r="B314" s="5">
        <f t="shared" si="17"/>
        <v>11</v>
      </c>
      <c r="C314" s="6">
        <v>45240</v>
      </c>
      <c r="D314" s="5" t="s">
        <v>68</v>
      </c>
      <c r="E314" s="5" t="s">
        <v>902</v>
      </c>
      <c r="G314" s="5">
        <v>-398.9</v>
      </c>
      <c r="H314" s="5">
        <f t="shared" si="18"/>
        <v>398.9</v>
      </c>
      <c r="I314" s="5">
        <v>-398.9</v>
      </c>
      <c r="J314" s="5">
        <f t="shared" si="19"/>
        <v>398.9</v>
      </c>
      <c r="K314" s="5">
        <v>39594.03</v>
      </c>
    </row>
    <row r="315" spans="1:11" x14ac:dyDescent="0.25">
      <c r="A315" s="5">
        <f t="shared" si="16"/>
        <v>2024</v>
      </c>
      <c r="B315" s="5">
        <f t="shared" si="17"/>
        <v>9</v>
      </c>
      <c r="C315" s="6">
        <v>45547</v>
      </c>
      <c r="D315" s="5" t="s">
        <v>582</v>
      </c>
      <c r="E315" s="5" t="s">
        <v>902</v>
      </c>
      <c r="G315" s="5">
        <v>-397.91</v>
      </c>
      <c r="H315" s="5">
        <f t="shared" si="18"/>
        <v>397.91</v>
      </c>
      <c r="I315" s="5">
        <v>-397.91</v>
      </c>
      <c r="J315" s="5">
        <f t="shared" si="19"/>
        <v>397.91</v>
      </c>
      <c r="K315" s="5">
        <v>65107.72</v>
      </c>
    </row>
    <row r="316" spans="1:11" x14ac:dyDescent="0.25">
      <c r="A316" s="5">
        <f t="shared" si="16"/>
        <v>2024</v>
      </c>
      <c r="B316" s="5">
        <f t="shared" si="17"/>
        <v>12</v>
      </c>
      <c r="C316" s="6">
        <v>45657</v>
      </c>
      <c r="D316" s="5" t="s">
        <v>806</v>
      </c>
      <c r="E316" s="5" t="s">
        <v>902</v>
      </c>
      <c r="G316" s="5">
        <v>-395.42</v>
      </c>
      <c r="H316" s="5">
        <f t="shared" si="18"/>
        <v>395.42</v>
      </c>
      <c r="I316" s="5">
        <v>-395.42</v>
      </c>
      <c r="J316" s="5">
        <f t="shared" si="19"/>
        <v>395.42</v>
      </c>
      <c r="K316" s="5">
        <v>143579.95000000001</v>
      </c>
    </row>
    <row r="317" spans="1:11" x14ac:dyDescent="0.25">
      <c r="A317" s="5">
        <f t="shared" si="16"/>
        <v>2024</v>
      </c>
      <c r="B317" s="5">
        <f t="shared" si="17"/>
        <v>12</v>
      </c>
      <c r="C317" s="6">
        <v>45657</v>
      </c>
      <c r="D317" s="5" t="s">
        <v>805</v>
      </c>
      <c r="E317" s="5" t="s">
        <v>902</v>
      </c>
      <c r="G317" s="5">
        <v>-390.74</v>
      </c>
      <c r="H317" s="5">
        <f t="shared" si="18"/>
        <v>390.74</v>
      </c>
      <c r="I317" s="5">
        <v>-390.74</v>
      </c>
      <c r="J317" s="5">
        <f t="shared" si="19"/>
        <v>390.74</v>
      </c>
      <c r="K317" s="5">
        <v>143975.37</v>
      </c>
    </row>
    <row r="318" spans="1:11" x14ac:dyDescent="0.25">
      <c r="A318" s="5">
        <f t="shared" si="16"/>
        <v>2024</v>
      </c>
      <c r="B318" s="5">
        <f t="shared" si="17"/>
        <v>11</v>
      </c>
      <c r="C318" s="6">
        <v>45611</v>
      </c>
      <c r="D318" s="5" t="s">
        <v>743</v>
      </c>
      <c r="E318" s="5" t="s">
        <v>902</v>
      </c>
      <c r="G318" s="5">
        <v>-390</v>
      </c>
      <c r="H318" s="5">
        <f t="shared" si="18"/>
        <v>390</v>
      </c>
      <c r="I318" s="5">
        <v>-390</v>
      </c>
      <c r="J318" s="5">
        <f t="shared" si="19"/>
        <v>390</v>
      </c>
      <c r="K318" s="5">
        <v>5223.54</v>
      </c>
    </row>
    <row r="319" spans="1:11" x14ac:dyDescent="0.25">
      <c r="A319" s="5">
        <f t="shared" si="16"/>
        <v>2024</v>
      </c>
      <c r="B319" s="5">
        <f t="shared" si="17"/>
        <v>12</v>
      </c>
      <c r="C319" s="6">
        <v>45639</v>
      </c>
      <c r="D319" s="5" t="s">
        <v>788</v>
      </c>
      <c r="E319" s="5" t="s">
        <v>902</v>
      </c>
      <c r="G319" s="5">
        <v>-390</v>
      </c>
      <c r="H319" s="5">
        <f t="shared" si="18"/>
        <v>390</v>
      </c>
      <c r="I319" s="5">
        <v>-390</v>
      </c>
      <c r="J319" s="5">
        <f t="shared" si="19"/>
        <v>390</v>
      </c>
      <c r="K319" s="5">
        <v>1104.76</v>
      </c>
    </row>
    <row r="320" spans="1:11" x14ac:dyDescent="0.25">
      <c r="A320" s="5">
        <f t="shared" si="16"/>
        <v>2025</v>
      </c>
      <c r="B320" s="5">
        <f t="shared" si="17"/>
        <v>1</v>
      </c>
      <c r="C320" s="6">
        <v>45674</v>
      </c>
      <c r="D320" s="5" t="s">
        <v>839</v>
      </c>
      <c r="E320" s="5" t="s">
        <v>902</v>
      </c>
      <c r="G320" s="5">
        <v>-390</v>
      </c>
      <c r="H320" s="5">
        <f t="shared" si="18"/>
        <v>390</v>
      </c>
      <c r="I320" s="5">
        <v>-390</v>
      </c>
      <c r="J320" s="5">
        <f t="shared" si="19"/>
        <v>390</v>
      </c>
      <c r="K320" s="5">
        <v>49266.02</v>
      </c>
    </row>
    <row r="321" spans="1:11" x14ac:dyDescent="0.25">
      <c r="A321" s="5">
        <f t="shared" si="16"/>
        <v>2025</v>
      </c>
      <c r="B321" s="5">
        <f t="shared" si="17"/>
        <v>2</v>
      </c>
      <c r="C321" s="6">
        <v>45709</v>
      </c>
      <c r="D321" s="5" t="s">
        <v>881</v>
      </c>
      <c r="E321" s="5" t="s">
        <v>902</v>
      </c>
      <c r="G321" s="5">
        <v>-386.02</v>
      </c>
      <c r="H321" s="5">
        <f t="shared" si="18"/>
        <v>386.02</v>
      </c>
      <c r="I321" s="5">
        <v>-386.02</v>
      </c>
      <c r="J321" s="5">
        <f t="shared" si="19"/>
        <v>386.02</v>
      </c>
      <c r="K321" s="5">
        <v>40011.519999999997</v>
      </c>
    </row>
    <row r="322" spans="1:11" x14ac:dyDescent="0.25">
      <c r="A322" s="5">
        <f t="shared" si="16"/>
        <v>2024</v>
      </c>
      <c r="B322" s="5">
        <f t="shared" si="17"/>
        <v>9</v>
      </c>
      <c r="C322" s="6">
        <v>45545</v>
      </c>
      <c r="D322" s="5" t="s">
        <v>580</v>
      </c>
      <c r="E322" s="5" t="s">
        <v>902</v>
      </c>
      <c r="G322" s="5">
        <v>-383.41</v>
      </c>
      <c r="H322" s="5">
        <f t="shared" si="18"/>
        <v>383.41</v>
      </c>
      <c r="I322" s="5">
        <v>-383.41</v>
      </c>
      <c r="J322" s="5">
        <f t="shared" si="19"/>
        <v>383.41</v>
      </c>
      <c r="K322" s="5">
        <v>67506.960000000006</v>
      </c>
    </row>
    <row r="323" spans="1:11" x14ac:dyDescent="0.25">
      <c r="A323" s="5">
        <f t="shared" ref="A323:A386" si="20">YEAR(C323)</f>
        <v>2023</v>
      </c>
      <c r="B323" s="5">
        <f t="shared" ref="B323:B386" si="21">MONTH(C323)</f>
        <v>12</v>
      </c>
      <c r="C323" s="6">
        <v>45280</v>
      </c>
      <c r="D323" s="5" t="s">
        <v>109</v>
      </c>
      <c r="E323" s="5" t="s">
        <v>902</v>
      </c>
      <c r="G323" s="5">
        <v>-382.87</v>
      </c>
      <c r="H323" s="5">
        <f t="shared" ref="H323:H386" si="22">(-1*G323)</f>
        <v>382.87</v>
      </c>
      <c r="I323" s="5">
        <v>-382.87</v>
      </c>
      <c r="J323" s="5">
        <f t="shared" ref="J323:J386" si="23">(F323+H323)</f>
        <v>382.87</v>
      </c>
      <c r="K323" s="5">
        <v>39557.46</v>
      </c>
    </row>
    <row r="324" spans="1:11" x14ac:dyDescent="0.25">
      <c r="A324" s="5">
        <f t="shared" si="20"/>
        <v>2024</v>
      </c>
      <c r="B324" s="5">
        <f t="shared" si="21"/>
        <v>10</v>
      </c>
      <c r="C324" s="6">
        <v>45580</v>
      </c>
      <c r="D324" s="5" t="s">
        <v>668</v>
      </c>
      <c r="E324" s="5" t="s">
        <v>902</v>
      </c>
      <c r="G324" s="5">
        <v>-382.8</v>
      </c>
      <c r="H324" s="5">
        <f t="shared" si="22"/>
        <v>382.8</v>
      </c>
      <c r="I324" s="5">
        <v>-382.8</v>
      </c>
      <c r="J324" s="5">
        <f t="shared" si="23"/>
        <v>382.8</v>
      </c>
      <c r="K324" s="5">
        <v>99992.52</v>
      </c>
    </row>
    <row r="325" spans="1:11" x14ac:dyDescent="0.25">
      <c r="A325" s="5">
        <f t="shared" si="20"/>
        <v>2024</v>
      </c>
      <c r="B325" s="5">
        <f t="shared" si="21"/>
        <v>11</v>
      </c>
      <c r="C325" s="6">
        <v>45618</v>
      </c>
      <c r="D325" s="5" t="s">
        <v>754</v>
      </c>
      <c r="E325" s="5" t="s">
        <v>902</v>
      </c>
      <c r="G325" s="5">
        <v>-382.5</v>
      </c>
      <c r="H325" s="5">
        <f t="shared" si="22"/>
        <v>382.5</v>
      </c>
      <c r="I325" s="5">
        <v>-382.5</v>
      </c>
      <c r="J325" s="5">
        <f t="shared" si="23"/>
        <v>382.5</v>
      </c>
      <c r="K325" s="5">
        <v>4641.43</v>
      </c>
    </row>
    <row r="326" spans="1:11" x14ac:dyDescent="0.25">
      <c r="A326" s="5">
        <f t="shared" si="20"/>
        <v>2024</v>
      </c>
      <c r="B326" s="5">
        <f t="shared" si="21"/>
        <v>11</v>
      </c>
      <c r="C326" s="6">
        <v>45600</v>
      </c>
      <c r="D326" s="5" t="s">
        <v>720</v>
      </c>
      <c r="E326" s="5" t="s">
        <v>902</v>
      </c>
      <c r="G326" s="5">
        <v>-382</v>
      </c>
      <c r="H326" s="5">
        <f t="shared" si="22"/>
        <v>382</v>
      </c>
      <c r="I326" s="5">
        <v>-382</v>
      </c>
      <c r="J326" s="5">
        <f t="shared" si="23"/>
        <v>382</v>
      </c>
      <c r="K326" s="5">
        <v>40792.26</v>
      </c>
    </row>
    <row r="327" spans="1:11" x14ac:dyDescent="0.25">
      <c r="A327" s="5">
        <f t="shared" si="20"/>
        <v>2024</v>
      </c>
      <c r="B327" s="5">
        <f t="shared" si="21"/>
        <v>11</v>
      </c>
      <c r="C327" s="6">
        <v>45608</v>
      </c>
      <c r="D327" s="5" t="s">
        <v>733</v>
      </c>
      <c r="E327" s="5" t="s">
        <v>902</v>
      </c>
      <c r="G327" s="5">
        <v>-381.26</v>
      </c>
      <c r="H327" s="5">
        <f t="shared" si="22"/>
        <v>381.26</v>
      </c>
      <c r="I327" s="5">
        <v>-381.26</v>
      </c>
      <c r="J327" s="5">
        <f t="shared" si="23"/>
        <v>381.26</v>
      </c>
      <c r="K327" s="5">
        <v>49756.62</v>
      </c>
    </row>
    <row r="328" spans="1:11" x14ac:dyDescent="0.25">
      <c r="A328" s="5">
        <f t="shared" si="20"/>
        <v>2024</v>
      </c>
      <c r="B328" s="5">
        <f t="shared" si="21"/>
        <v>10</v>
      </c>
      <c r="C328" s="6">
        <v>45576</v>
      </c>
      <c r="D328" s="5" t="s">
        <v>665</v>
      </c>
      <c r="E328" s="5" t="s">
        <v>902</v>
      </c>
      <c r="G328" s="5">
        <v>-380</v>
      </c>
      <c r="H328" s="5">
        <f t="shared" si="22"/>
        <v>380</v>
      </c>
      <c r="I328" s="5">
        <v>-380</v>
      </c>
      <c r="J328" s="5">
        <f t="shared" si="23"/>
        <v>380</v>
      </c>
      <c r="K328" s="5">
        <v>67539.710000000006</v>
      </c>
    </row>
    <row r="329" spans="1:11" x14ac:dyDescent="0.25">
      <c r="A329" s="5">
        <f t="shared" si="20"/>
        <v>2024</v>
      </c>
      <c r="B329" s="5">
        <f t="shared" si="21"/>
        <v>8</v>
      </c>
      <c r="C329" s="6">
        <v>45519</v>
      </c>
      <c r="D329" s="5" t="s">
        <v>510</v>
      </c>
      <c r="E329" s="5" t="s">
        <v>902</v>
      </c>
      <c r="G329" s="5">
        <v>-376.47</v>
      </c>
      <c r="H329" s="5">
        <f t="shared" si="22"/>
        <v>376.47</v>
      </c>
      <c r="I329" s="5">
        <v>-376.47</v>
      </c>
      <c r="J329" s="5">
        <f t="shared" si="23"/>
        <v>376.47</v>
      </c>
      <c r="K329" s="5">
        <v>41072.949999999997</v>
      </c>
    </row>
    <row r="330" spans="1:11" x14ac:dyDescent="0.25">
      <c r="A330" s="5">
        <f t="shared" si="20"/>
        <v>2023</v>
      </c>
      <c r="B330" s="5">
        <f t="shared" si="21"/>
        <v>11</v>
      </c>
      <c r="C330" s="6">
        <v>45236</v>
      </c>
      <c r="D330" s="5" t="s">
        <v>64</v>
      </c>
      <c r="E330" s="5" t="s">
        <v>902</v>
      </c>
      <c r="G330" s="5">
        <v>-372.19</v>
      </c>
      <c r="H330" s="5">
        <f t="shared" si="22"/>
        <v>372.19</v>
      </c>
      <c r="I330" s="5">
        <v>-372.19</v>
      </c>
      <c r="J330" s="5">
        <f t="shared" si="23"/>
        <v>372.19</v>
      </c>
      <c r="K330" s="5">
        <v>12076.56</v>
      </c>
    </row>
    <row r="331" spans="1:11" x14ac:dyDescent="0.25">
      <c r="A331" s="5">
        <f t="shared" si="20"/>
        <v>2024</v>
      </c>
      <c r="B331" s="5">
        <f t="shared" si="21"/>
        <v>9</v>
      </c>
      <c r="C331" s="6">
        <v>45548</v>
      </c>
      <c r="D331" s="5" t="s">
        <v>585</v>
      </c>
      <c r="E331" s="5" t="s">
        <v>902</v>
      </c>
      <c r="G331" s="5">
        <v>-370</v>
      </c>
      <c r="H331" s="5">
        <f t="shared" si="22"/>
        <v>370</v>
      </c>
      <c r="I331" s="5">
        <v>-370</v>
      </c>
      <c r="J331" s="5">
        <f t="shared" si="23"/>
        <v>370</v>
      </c>
      <c r="K331" s="5">
        <v>73535.89</v>
      </c>
    </row>
    <row r="332" spans="1:11" x14ac:dyDescent="0.25">
      <c r="A332" s="5">
        <f t="shared" si="20"/>
        <v>2025</v>
      </c>
      <c r="B332" s="5">
        <f t="shared" si="21"/>
        <v>2</v>
      </c>
      <c r="C332" s="6">
        <v>45693</v>
      </c>
      <c r="D332" s="5" t="s">
        <v>857</v>
      </c>
      <c r="E332" s="5" t="s">
        <v>902</v>
      </c>
      <c r="G332" s="5">
        <v>-367.19</v>
      </c>
      <c r="H332" s="5">
        <f t="shared" si="22"/>
        <v>367.19</v>
      </c>
      <c r="I332" s="5">
        <v>-367.19</v>
      </c>
      <c r="J332" s="5">
        <f t="shared" si="23"/>
        <v>367.19</v>
      </c>
      <c r="K332" s="5">
        <v>55444.15</v>
      </c>
    </row>
    <row r="333" spans="1:11" x14ac:dyDescent="0.25">
      <c r="A333" s="5">
        <f t="shared" si="20"/>
        <v>2024</v>
      </c>
      <c r="B333" s="5">
        <f t="shared" si="21"/>
        <v>9</v>
      </c>
      <c r="C333" s="6">
        <v>45562</v>
      </c>
      <c r="D333" s="5" t="s">
        <v>617</v>
      </c>
      <c r="E333" s="5" t="s">
        <v>902</v>
      </c>
      <c r="G333" s="5">
        <v>-354.57</v>
      </c>
      <c r="H333" s="5">
        <f t="shared" si="22"/>
        <v>354.57</v>
      </c>
      <c r="I333" s="5">
        <v>-354.57</v>
      </c>
      <c r="J333" s="5">
        <f t="shared" si="23"/>
        <v>354.57</v>
      </c>
      <c r="K333" s="5">
        <v>82779.25</v>
      </c>
    </row>
    <row r="334" spans="1:11" x14ac:dyDescent="0.25">
      <c r="A334" s="5">
        <f t="shared" si="20"/>
        <v>2024</v>
      </c>
      <c r="B334" s="5">
        <f t="shared" si="21"/>
        <v>1</v>
      </c>
      <c r="C334" s="6">
        <v>45299</v>
      </c>
      <c r="D334" s="5" t="s">
        <v>128</v>
      </c>
      <c r="E334" s="5" t="s">
        <v>902</v>
      </c>
      <c r="G334" s="5">
        <v>-354</v>
      </c>
      <c r="H334" s="5">
        <f t="shared" si="22"/>
        <v>354</v>
      </c>
      <c r="I334" s="5">
        <v>-354</v>
      </c>
      <c r="J334" s="5">
        <f t="shared" si="23"/>
        <v>354</v>
      </c>
      <c r="K334" s="5">
        <v>50549</v>
      </c>
    </row>
    <row r="335" spans="1:11" x14ac:dyDescent="0.25">
      <c r="A335" s="5">
        <f t="shared" si="20"/>
        <v>2024</v>
      </c>
      <c r="B335" s="5">
        <f t="shared" si="21"/>
        <v>8</v>
      </c>
      <c r="C335" s="6">
        <v>45520</v>
      </c>
      <c r="D335" s="5" t="s">
        <v>512</v>
      </c>
      <c r="E335" s="5" t="s">
        <v>902</v>
      </c>
      <c r="G335" s="5">
        <v>-354</v>
      </c>
      <c r="H335" s="5">
        <f t="shared" si="22"/>
        <v>354</v>
      </c>
      <c r="I335" s="5">
        <v>-354</v>
      </c>
      <c r="J335" s="5">
        <f t="shared" si="23"/>
        <v>354</v>
      </c>
      <c r="K335" s="5">
        <v>58756.45</v>
      </c>
    </row>
    <row r="336" spans="1:11" x14ac:dyDescent="0.25">
      <c r="A336" s="5">
        <f t="shared" si="20"/>
        <v>2024</v>
      </c>
      <c r="B336" s="5">
        <f t="shared" si="21"/>
        <v>7</v>
      </c>
      <c r="C336" s="6">
        <v>45495</v>
      </c>
      <c r="D336" s="5" t="s">
        <v>454</v>
      </c>
      <c r="E336" s="5" t="s">
        <v>902</v>
      </c>
      <c r="G336" s="5">
        <v>-353.7</v>
      </c>
      <c r="H336" s="5">
        <f t="shared" si="22"/>
        <v>353.7</v>
      </c>
      <c r="I336" s="5">
        <v>-353.7</v>
      </c>
      <c r="J336" s="5">
        <f t="shared" si="23"/>
        <v>353.7</v>
      </c>
      <c r="K336" s="5">
        <v>49905.09</v>
      </c>
    </row>
    <row r="337" spans="1:11" x14ac:dyDescent="0.25">
      <c r="A337" s="5">
        <f t="shared" si="20"/>
        <v>2024</v>
      </c>
      <c r="B337" s="5">
        <f t="shared" si="21"/>
        <v>2</v>
      </c>
      <c r="C337" s="6">
        <v>45343</v>
      </c>
      <c r="D337" s="5" t="s">
        <v>191</v>
      </c>
      <c r="E337" s="5" t="s">
        <v>902</v>
      </c>
      <c r="G337" s="5">
        <v>-350</v>
      </c>
      <c r="H337" s="5">
        <f t="shared" si="22"/>
        <v>350</v>
      </c>
      <c r="I337" s="5">
        <v>-350</v>
      </c>
      <c r="J337" s="5">
        <f t="shared" si="23"/>
        <v>350</v>
      </c>
      <c r="K337" s="5">
        <v>15643.61</v>
      </c>
    </row>
    <row r="338" spans="1:11" x14ac:dyDescent="0.25">
      <c r="A338" s="5">
        <f t="shared" si="20"/>
        <v>2024</v>
      </c>
      <c r="B338" s="5">
        <f t="shared" si="21"/>
        <v>3</v>
      </c>
      <c r="C338" s="6">
        <v>45366</v>
      </c>
      <c r="D338" s="5" t="s">
        <v>231</v>
      </c>
      <c r="E338" s="5" t="s">
        <v>902</v>
      </c>
      <c r="G338" s="5">
        <v>-348</v>
      </c>
      <c r="H338" s="5">
        <f t="shared" si="22"/>
        <v>348</v>
      </c>
      <c r="I338" s="5">
        <v>-348</v>
      </c>
      <c r="J338" s="5">
        <f t="shared" si="23"/>
        <v>348</v>
      </c>
      <c r="K338" s="5">
        <v>25628.959999999999</v>
      </c>
    </row>
    <row r="339" spans="1:11" x14ac:dyDescent="0.25">
      <c r="A339" s="5">
        <f t="shared" si="20"/>
        <v>2024</v>
      </c>
      <c r="B339" s="5">
        <f t="shared" si="21"/>
        <v>1</v>
      </c>
      <c r="C339" s="6">
        <v>45302</v>
      </c>
      <c r="D339" s="5" t="s">
        <v>136</v>
      </c>
      <c r="E339" s="5" t="s">
        <v>902</v>
      </c>
      <c r="G339" s="5">
        <v>-342.5</v>
      </c>
      <c r="H339" s="5">
        <f t="shared" si="22"/>
        <v>342.5</v>
      </c>
      <c r="I339" s="5">
        <v>-342.5</v>
      </c>
      <c r="J339" s="5">
        <f t="shared" si="23"/>
        <v>342.5</v>
      </c>
      <c r="K339" s="5">
        <v>36976.07</v>
      </c>
    </row>
    <row r="340" spans="1:11" x14ac:dyDescent="0.25">
      <c r="A340" s="5">
        <f t="shared" si="20"/>
        <v>2024</v>
      </c>
      <c r="B340" s="5">
        <f t="shared" si="21"/>
        <v>6</v>
      </c>
      <c r="C340" s="6">
        <v>45457</v>
      </c>
      <c r="D340" s="5" t="s">
        <v>383</v>
      </c>
      <c r="E340" s="5" t="s">
        <v>902</v>
      </c>
      <c r="G340" s="5">
        <v>-342</v>
      </c>
      <c r="H340" s="5">
        <f t="shared" si="22"/>
        <v>342</v>
      </c>
      <c r="I340" s="5">
        <v>-342</v>
      </c>
      <c r="J340" s="5">
        <f t="shared" si="23"/>
        <v>342</v>
      </c>
      <c r="K340" s="5">
        <v>19954.54</v>
      </c>
    </row>
    <row r="341" spans="1:11" x14ac:dyDescent="0.25">
      <c r="A341" s="5">
        <f t="shared" si="20"/>
        <v>2024</v>
      </c>
      <c r="B341" s="5">
        <f t="shared" si="21"/>
        <v>7</v>
      </c>
      <c r="C341" s="6">
        <v>45485</v>
      </c>
      <c r="D341" s="5" t="s">
        <v>436</v>
      </c>
      <c r="E341" s="5" t="s">
        <v>902</v>
      </c>
      <c r="G341" s="5">
        <v>-342</v>
      </c>
      <c r="H341" s="5">
        <f t="shared" si="22"/>
        <v>342</v>
      </c>
      <c r="I341" s="5">
        <v>-342</v>
      </c>
      <c r="J341" s="5">
        <f t="shared" si="23"/>
        <v>342</v>
      </c>
      <c r="K341" s="5">
        <v>58940.28</v>
      </c>
    </row>
    <row r="342" spans="1:11" x14ac:dyDescent="0.25">
      <c r="A342" s="5">
        <f t="shared" si="20"/>
        <v>2024</v>
      </c>
      <c r="B342" s="5">
        <f t="shared" si="21"/>
        <v>4</v>
      </c>
      <c r="C342" s="6">
        <v>45394</v>
      </c>
      <c r="D342" s="5" t="s">
        <v>278</v>
      </c>
      <c r="E342" s="5" t="s">
        <v>902</v>
      </c>
      <c r="G342" s="5">
        <v>-336</v>
      </c>
      <c r="H342" s="5">
        <f t="shared" si="22"/>
        <v>336</v>
      </c>
      <c r="I342" s="5">
        <v>-336</v>
      </c>
      <c r="J342" s="5">
        <f t="shared" si="23"/>
        <v>336</v>
      </c>
      <c r="K342" s="5">
        <v>36371.279999999999</v>
      </c>
    </row>
    <row r="343" spans="1:11" x14ac:dyDescent="0.25">
      <c r="A343" s="5">
        <f t="shared" si="20"/>
        <v>2024</v>
      </c>
      <c r="B343" s="5">
        <f t="shared" si="21"/>
        <v>5</v>
      </c>
      <c r="C343" s="6">
        <v>45422</v>
      </c>
      <c r="D343" s="5" t="s">
        <v>330</v>
      </c>
      <c r="E343" s="5" t="s">
        <v>902</v>
      </c>
      <c r="G343" s="5">
        <v>-336</v>
      </c>
      <c r="H343" s="5">
        <f t="shared" si="22"/>
        <v>336</v>
      </c>
      <c r="I343" s="5">
        <v>-336</v>
      </c>
      <c r="J343" s="5">
        <f t="shared" si="23"/>
        <v>336</v>
      </c>
      <c r="K343" s="5">
        <v>6642.67</v>
      </c>
    </row>
    <row r="344" spans="1:11" x14ac:dyDescent="0.25">
      <c r="A344" s="5">
        <f t="shared" si="20"/>
        <v>2024</v>
      </c>
      <c r="B344" s="5">
        <f t="shared" si="21"/>
        <v>4</v>
      </c>
      <c r="C344" s="6">
        <v>45407</v>
      </c>
      <c r="D344" s="5" t="s">
        <v>298</v>
      </c>
      <c r="E344" s="5" t="s">
        <v>902</v>
      </c>
      <c r="G344" s="5">
        <v>-333.36</v>
      </c>
      <c r="H344" s="5">
        <f t="shared" si="22"/>
        <v>333.36</v>
      </c>
      <c r="I344" s="5">
        <v>-333.36</v>
      </c>
      <c r="J344" s="5">
        <f t="shared" si="23"/>
        <v>333.36</v>
      </c>
      <c r="K344" s="5">
        <v>11804.69</v>
      </c>
    </row>
    <row r="345" spans="1:11" x14ac:dyDescent="0.25">
      <c r="A345" s="5">
        <f t="shared" si="20"/>
        <v>2024</v>
      </c>
      <c r="B345" s="5">
        <f t="shared" si="21"/>
        <v>2</v>
      </c>
      <c r="C345" s="6">
        <v>45335</v>
      </c>
      <c r="D345" s="5" t="s">
        <v>182</v>
      </c>
      <c r="E345" s="5" t="s">
        <v>902</v>
      </c>
      <c r="G345" s="5">
        <v>-330.86</v>
      </c>
      <c r="H345" s="5">
        <f t="shared" si="22"/>
        <v>330.86</v>
      </c>
      <c r="I345" s="5">
        <v>-330.86</v>
      </c>
      <c r="J345" s="5">
        <f t="shared" si="23"/>
        <v>330.86</v>
      </c>
      <c r="K345" s="5">
        <v>19796.23</v>
      </c>
    </row>
    <row r="346" spans="1:11" x14ac:dyDescent="0.25">
      <c r="A346" s="5">
        <f t="shared" si="20"/>
        <v>2024</v>
      </c>
      <c r="B346" s="5">
        <f t="shared" si="21"/>
        <v>3</v>
      </c>
      <c r="C346" s="6">
        <v>45379</v>
      </c>
      <c r="D346" s="5" t="s">
        <v>253</v>
      </c>
      <c r="E346" s="5" t="s">
        <v>902</v>
      </c>
      <c r="G346" s="5">
        <v>-316.58</v>
      </c>
      <c r="H346" s="5">
        <f t="shared" si="22"/>
        <v>316.58</v>
      </c>
      <c r="I346" s="5">
        <v>-316.58</v>
      </c>
      <c r="J346" s="5">
        <f t="shared" si="23"/>
        <v>316.58</v>
      </c>
      <c r="K346" s="5">
        <v>21695.81</v>
      </c>
    </row>
    <row r="347" spans="1:11" x14ac:dyDescent="0.25">
      <c r="A347" s="5">
        <f t="shared" si="20"/>
        <v>2024</v>
      </c>
      <c r="B347" s="5">
        <f t="shared" si="21"/>
        <v>9</v>
      </c>
      <c r="C347" s="6">
        <v>45554</v>
      </c>
      <c r="D347" s="5" t="s">
        <v>599</v>
      </c>
      <c r="E347" s="5" t="s">
        <v>902</v>
      </c>
      <c r="G347" s="5">
        <v>-309.95</v>
      </c>
      <c r="H347" s="5">
        <f t="shared" si="22"/>
        <v>309.95</v>
      </c>
      <c r="I347" s="5">
        <v>-309.95</v>
      </c>
      <c r="J347" s="5">
        <f t="shared" si="23"/>
        <v>309.95</v>
      </c>
      <c r="K347" s="5">
        <v>89983.679999999993</v>
      </c>
    </row>
    <row r="348" spans="1:11" x14ac:dyDescent="0.25">
      <c r="A348" s="5">
        <f t="shared" si="20"/>
        <v>2023</v>
      </c>
      <c r="B348" s="5">
        <f t="shared" si="21"/>
        <v>12</v>
      </c>
      <c r="C348" s="6">
        <v>45279</v>
      </c>
      <c r="D348" s="5" t="s">
        <v>105</v>
      </c>
      <c r="E348" s="5" t="s">
        <v>902</v>
      </c>
      <c r="G348" s="5">
        <v>-309.92</v>
      </c>
      <c r="H348" s="5">
        <f t="shared" si="22"/>
        <v>309.92</v>
      </c>
      <c r="I348" s="5">
        <v>-309.92</v>
      </c>
      <c r="J348" s="5">
        <f t="shared" si="23"/>
        <v>309.92</v>
      </c>
      <c r="K348" s="5">
        <v>40787.040000000001</v>
      </c>
    </row>
    <row r="349" spans="1:11" x14ac:dyDescent="0.25">
      <c r="A349" s="5">
        <f t="shared" si="20"/>
        <v>2024</v>
      </c>
      <c r="B349" s="5">
        <f t="shared" si="21"/>
        <v>9</v>
      </c>
      <c r="C349" s="6">
        <v>45551</v>
      </c>
      <c r="D349" s="5" t="s">
        <v>591</v>
      </c>
      <c r="E349" s="5" t="s">
        <v>902</v>
      </c>
      <c r="G349" s="5">
        <v>-307.45</v>
      </c>
      <c r="H349" s="5">
        <f t="shared" si="22"/>
        <v>307.45</v>
      </c>
      <c r="I349" s="5">
        <v>-307.45</v>
      </c>
      <c r="J349" s="5">
        <f t="shared" si="23"/>
        <v>307.45</v>
      </c>
      <c r="K349" s="5">
        <v>87013.48</v>
      </c>
    </row>
    <row r="350" spans="1:11" x14ac:dyDescent="0.25">
      <c r="A350" s="5">
        <f t="shared" si="20"/>
        <v>2025</v>
      </c>
      <c r="B350" s="5">
        <f t="shared" si="21"/>
        <v>1</v>
      </c>
      <c r="C350" s="6">
        <v>45666</v>
      </c>
      <c r="D350" s="5" t="s">
        <v>829</v>
      </c>
      <c r="E350" s="5" t="s">
        <v>902</v>
      </c>
      <c r="G350" s="5">
        <v>-304.58</v>
      </c>
      <c r="H350" s="5">
        <f t="shared" si="22"/>
        <v>304.58</v>
      </c>
      <c r="I350" s="5">
        <v>-304.58</v>
      </c>
      <c r="J350" s="5">
        <f t="shared" si="23"/>
        <v>304.58</v>
      </c>
      <c r="K350" s="5">
        <v>78924.63</v>
      </c>
    </row>
    <row r="351" spans="1:11" x14ac:dyDescent="0.25">
      <c r="A351" s="5">
        <f t="shared" si="20"/>
        <v>2024</v>
      </c>
      <c r="B351" s="5">
        <f t="shared" si="21"/>
        <v>1</v>
      </c>
      <c r="C351" s="6">
        <v>45307</v>
      </c>
      <c r="D351" s="5" t="s">
        <v>145</v>
      </c>
      <c r="E351" s="5" t="s">
        <v>902</v>
      </c>
      <c r="G351" s="5">
        <v>-304.45999999999998</v>
      </c>
      <c r="H351" s="5">
        <f t="shared" si="22"/>
        <v>304.45999999999998</v>
      </c>
      <c r="I351" s="5">
        <v>-304.45999999999998</v>
      </c>
      <c r="J351" s="5">
        <f t="shared" si="23"/>
        <v>304.45999999999998</v>
      </c>
      <c r="K351" s="5">
        <v>19993.55</v>
      </c>
    </row>
    <row r="352" spans="1:11" x14ac:dyDescent="0.25">
      <c r="A352" s="5">
        <f t="shared" si="20"/>
        <v>2024</v>
      </c>
      <c r="B352" s="5">
        <f t="shared" si="21"/>
        <v>1</v>
      </c>
      <c r="C352" s="6">
        <v>45294</v>
      </c>
      <c r="D352" s="5" t="s">
        <v>121</v>
      </c>
      <c r="E352" s="5" t="s">
        <v>902</v>
      </c>
      <c r="G352" s="5">
        <v>-303.83</v>
      </c>
      <c r="H352" s="5">
        <f t="shared" si="22"/>
        <v>303.83</v>
      </c>
      <c r="I352" s="5">
        <v>-303.83</v>
      </c>
      <c r="J352" s="5">
        <f t="shared" si="23"/>
        <v>303.83</v>
      </c>
      <c r="K352" s="5">
        <v>28349.5</v>
      </c>
    </row>
    <row r="353" spans="1:11" x14ac:dyDescent="0.25">
      <c r="A353" s="5">
        <f t="shared" si="20"/>
        <v>2024</v>
      </c>
      <c r="B353" s="5">
        <f t="shared" si="21"/>
        <v>8</v>
      </c>
      <c r="C353" s="6">
        <v>45506</v>
      </c>
      <c r="D353" s="5" t="s">
        <v>483</v>
      </c>
      <c r="E353" s="5" t="s">
        <v>902</v>
      </c>
      <c r="G353" s="5">
        <v>-301.27</v>
      </c>
      <c r="H353" s="5">
        <f t="shared" si="22"/>
        <v>301.27</v>
      </c>
      <c r="I353" s="5">
        <v>-301.27</v>
      </c>
      <c r="J353" s="5">
        <f t="shared" si="23"/>
        <v>301.27</v>
      </c>
      <c r="K353" s="5">
        <v>45929.71</v>
      </c>
    </row>
    <row r="354" spans="1:11" x14ac:dyDescent="0.25">
      <c r="A354" s="5">
        <f t="shared" si="20"/>
        <v>2024</v>
      </c>
      <c r="B354" s="5">
        <f t="shared" si="21"/>
        <v>1</v>
      </c>
      <c r="C354" s="6">
        <v>45303</v>
      </c>
      <c r="D354" s="5" t="s">
        <v>138</v>
      </c>
      <c r="E354" s="5" t="s">
        <v>902</v>
      </c>
      <c r="G354" s="5">
        <v>-300</v>
      </c>
      <c r="H354" s="5">
        <f t="shared" si="22"/>
        <v>300</v>
      </c>
      <c r="I354" s="5">
        <v>-300</v>
      </c>
      <c r="J354" s="5">
        <f t="shared" si="23"/>
        <v>300</v>
      </c>
      <c r="K354" s="5">
        <v>33707.54</v>
      </c>
    </row>
    <row r="355" spans="1:11" x14ac:dyDescent="0.25">
      <c r="A355" s="5">
        <f t="shared" si="20"/>
        <v>2023</v>
      </c>
      <c r="B355" s="5">
        <f t="shared" si="21"/>
        <v>12</v>
      </c>
      <c r="C355" s="6">
        <v>45272</v>
      </c>
      <c r="D355" s="5" t="s">
        <v>96</v>
      </c>
      <c r="E355" s="5" t="s">
        <v>902</v>
      </c>
      <c r="G355" s="5">
        <v>-294.48</v>
      </c>
      <c r="H355" s="5">
        <f t="shared" si="22"/>
        <v>294.48</v>
      </c>
      <c r="I355" s="5">
        <v>-294.48</v>
      </c>
      <c r="J355" s="5">
        <f t="shared" si="23"/>
        <v>294.48</v>
      </c>
      <c r="K355" s="5">
        <v>56066.75</v>
      </c>
    </row>
    <row r="356" spans="1:11" x14ac:dyDescent="0.25">
      <c r="A356" s="5">
        <f t="shared" si="20"/>
        <v>2023</v>
      </c>
      <c r="B356" s="5">
        <f t="shared" si="21"/>
        <v>10</v>
      </c>
      <c r="C356" s="6">
        <v>45205</v>
      </c>
      <c r="D356" s="5" t="s">
        <v>43</v>
      </c>
      <c r="E356" s="5" t="s">
        <v>902</v>
      </c>
      <c r="G356" s="5">
        <v>-292.89999999999998</v>
      </c>
      <c r="H356" s="5">
        <f t="shared" si="22"/>
        <v>292.89999999999998</v>
      </c>
      <c r="I356" s="5">
        <v>-292.89999999999998</v>
      </c>
      <c r="J356" s="5">
        <f t="shared" si="23"/>
        <v>292.89999999999998</v>
      </c>
      <c r="K356" s="5">
        <v>5007.8599999999997</v>
      </c>
    </row>
    <row r="357" spans="1:11" x14ac:dyDescent="0.25">
      <c r="A357" s="5">
        <f t="shared" si="20"/>
        <v>2025</v>
      </c>
      <c r="B357" s="5">
        <f t="shared" si="21"/>
        <v>3</v>
      </c>
      <c r="C357" s="6">
        <v>45720</v>
      </c>
      <c r="D357" s="5" t="s">
        <v>894</v>
      </c>
      <c r="E357" s="5" t="s">
        <v>902</v>
      </c>
      <c r="G357" s="5">
        <v>-286.05</v>
      </c>
      <c r="H357" s="5">
        <f t="shared" si="22"/>
        <v>286.05</v>
      </c>
      <c r="I357" s="5">
        <v>-286.05</v>
      </c>
      <c r="J357" s="5">
        <f t="shared" si="23"/>
        <v>286.05</v>
      </c>
      <c r="K357" s="5">
        <v>79325.490000000005</v>
      </c>
    </row>
    <row r="358" spans="1:11" x14ac:dyDescent="0.25">
      <c r="A358" s="5">
        <f t="shared" si="20"/>
        <v>2024</v>
      </c>
      <c r="B358" s="5">
        <f t="shared" si="21"/>
        <v>10</v>
      </c>
      <c r="C358" s="6">
        <v>45573</v>
      </c>
      <c r="D358" s="5" t="s">
        <v>656</v>
      </c>
      <c r="E358" s="5" t="s">
        <v>902</v>
      </c>
      <c r="G358" s="5">
        <v>-279.60000000000002</v>
      </c>
      <c r="H358" s="5">
        <f t="shared" si="22"/>
        <v>279.60000000000002</v>
      </c>
      <c r="I358" s="5">
        <v>-279.60000000000002</v>
      </c>
      <c r="J358" s="5">
        <f t="shared" si="23"/>
        <v>279.60000000000002</v>
      </c>
      <c r="K358" s="5">
        <v>69422</v>
      </c>
    </row>
    <row r="359" spans="1:11" x14ac:dyDescent="0.25">
      <c r="A359" s="5">
        <f t="shared" si="20"/>
        <v>2024</v>
      </c>
      <c r="B359" s="5">
        <f t="shared" si="21"/>
        <v>8</v>
      </c>
      <c r="C359" s="6">
        <v>45505</v>
      </c>
      <c r="D359" s="5" t="s">
        <v>480</v>
      </c>
      <c r="E359" s="5" t="s">
        <v>902</v>
      </c>
      <c r="G359" s="5">
        <v>-278.60000000000002</v>
      </c>
      <c r="H359" s="5">
        <f t="shared" si="22"/>
        <v>278.60000000000002</v>
      </c>
      <c r="I359" s="5">
        <v>-278.60000000000002</v>
      </c>
      <c r="J359" s="5">
        <f t="shared" si="23"/>
        <v>278.60000000000002</v>
      </c>
      <c r="K359" s="5">
        <v>47651.46</v>
      </c>
    </row>
    <row r="360" spans="1:11" x14ac:dyDescent="0.25">
      <c r="A360" s="5">
        <f t="shared" si="20"/>
        <v>2023</v>
      </c>
      <c r="B360" s="5">
        <f t="shared" si="21"/>
        <v>10</v>
      </c>
      <c r="C360" s="6">
        <v>45205</v>
      </c>
      <c r="D360" s="5" t="s">
        <v>41</v>
      </c>
      <c r="E360" s="5" t="s">
        <v>902</v>
      </c>
      <c r="G360" s="5">
        <v>-277.97000000000003</v>
      </c>
      <c r="H360" s="5">
        <f t="shared" si="22"/>
        <v>277.97000000000003</v>
      </c>
      <c r="I360" s="5">
        <v>-277.97000000000003</v>
      </c>
      <c r="J360" s="5">
        <f t="shared" si="23"/>
        <v>277.97000000000003</v>
      </c>
      <c r="K360" s="5">
        <v>5319.89</v>
      </c>
    </row>
    <row r="361" spans="1:11" x14ac:dyDescent="0.25">
      <c r="A361" s="5">
        <f t="shared" si="20"/>
        <v>2023</v>
      </c>
      <c r="B361" s="5">
        <f t="shared" si="21"/>
        <v>12</v>
      </c>
      <c r="C361" s="6">
        <v>45278</v>
      </c>
      <c r="D361" s="5" t="s">
        <v>102</v>
      </c>
      <c r="E361" s="5" t="s">
        <v>902</v>
      </c>
      <c r="G361" s="5">
        <v>-275.86</v>
      </c>
      <c r="H361" s="5">
        <f t="shared" si="22"/>
        <v>275.86</v>
      </c>
      <c r="I361" s="5">
        <v>-275.86</v>
      </c>
      <c r="J361" s="5">
        <f t="shared" si="23"/>
        <v>275.86</v>
      </c>
      <c r="K361" s="5">
        <v>43124.01</v>
      </c>
    </row>
    <row r="362" spans="1:11" x14ac:dyDescent="0.25">
      <c r="A362" s="5">
        <f t="shared" si="20"/>
        <v>2024</v>
      </c>
      <c r="B362" s="5">
        <f t="shared" si="21"/>
        <v>9</v>
      </c>
      <c r="C362" s="6">
        <v>45538</v>
      </c>
      <c r="D362" s="5" t="s">
        <v>555</v>
      </c>
      <c r="E362" s="5" t="s">
        <v>902</v>
      </c>
      <c r="G362" s="5">
        <v>-274.13</v>
      </c>
      <c r="H362" s="5">
        <f t="shared" si="22"/>
        <v>274.13</v>
      </c>
      <c r="I362" s="5">
        <v>-274.13</v>
      </c>
      <c r="J362" s="5">
        <f t="shared" si="23"/>
        <v>274.13</v>
      </c>
      <c r="K362" s="5">
        <v>76058.64</v>
      </c>
    </row>
    <row r="363" spans="1:11" x14ac:dyDescent="0.25">
      <c r="A363" s="5">
        <f t="shared" si="20"/>
        <v>2024</v>
      </c>
      <c r="B363" s="5">
        <f t="shared" si="21"/>
        <v>9</v>
      </c>
      <c r="C363" s="6">
        <v>45551</v>
      </c>
      <c r="D363" s="5" t="s">
        <v>587</v>
      </c>
      <c r="E363" s="5" t="s">
        <v>902</v>
      </c>
      <c r="G363" s="5">
        <v>-274.13</v>
      </c>
      <c r="H363" s="5">
        <f t="shared" si="22"/>
        <v>274.13</v>
      </c>
      <c r="I363" s="5">
        <v>-274.13</v>
      </c>
      <c r="J363" s="5">
        <f t="shared" si="23"/>
        <v>274.13</v>
      </c>
      <c r="K363" s="5">
        <v>87920.19</v>
      </c>
    </row>
    <row r="364" spans="1:11" x14ac:dyDescent="0.25">
      <c r="A364" s="5">
        <f t="shared" si="20"/>
        <v>2024</v>
      </c>
      <c r="B364" s="5">
        <f t="shared" si="21"/>
        <v>10</v>
      </c>
      <c r="C364" s="6">
        <v>45569</v>
      </c>
      <c r="D364" s="5" t="s">
        <v>646</v>
      </c>
      <c r="E364" s="5" t="s">
        <v>902</v>
      </c>
      <c r="G364" s="5">
        <v>-274.13</v>
      </c>
      <c r="H364" s="5">
        <f t="shared" si="22"/>
        <v>274.13</v>
      </c>
      <c r="I364" s="5">
        <v>-274.13</v>
      </c>
      <c r="J364" s="5">
        <f t="shared" si="23"/>
        <v>274.13</v>
      </c>
      <c r="K364" s="5">
        <v>87759.03</v>
      </c>
    </row>
    <row r="365" spans="1:11" x14ac:dyDescent="0.25">
      <c r="A365" s="5">
        <f t="shared" si="20"/>
        <v>2024</v>
      </c>
      <c r="B365" s="5">
        <f t="shared" si="21"/>
        <v>11</v>
      </c>
      <c r="C365" s="6">
        <v>45600</v>
      </c>
      <c r="D365" s="5" t="s">
        <v>719</v>
      </c>
      <c r="E365" s="5" t="s">
        <v>902</v>
      </c>
      <c r="G365" s="5">
        <v>-274.13</v>
      </c>
      <c r="H365" s="5">
        <f t="shared" si="22"/>
        <v>274.13</v>
      </c>
      <c r="I365" s="5">
        <v>-274.13</v>
      </c>
      <c r="J365" s="5">
        <f t="shared" si="23"/>
        <v>274.13</v>
      </c>
      <c r="K365" s="5">
        <v>41425.120000000003</v>
      </c>
    </row>
    <row r="366" spans="1:11" x14ac:dyDescent="0.25">
      <c r="A366" s="5">
        <f t="shared" si="20"/>
        <v>2024</v>
      </c>
      <c r="B366" s="5">
        <f t="shared" si="21"/>
        <v>12</v>
      </c>
      <c r="C366" s="6">
        <v>45630</v>
      </c>
      <c r="D366" s="5" t="s">
        <v>776</v>
      </c>
      <c r="E366" s="5" t="s">
        <v>902</v>
      </c>
      <c r="G366" s="5">
        <v>-274.13</v>
      </c>
      <c r="H366" s="5">
        <f t="shared" si="22"/>
        <v>274.13</v>
      </c>
      <c r="I366" s="5">
        <v>-274.13</v>
      </c>
      <c r="J366" s="5">
        <f t="shared" si="23"/>
        <v>274.13</v>
      </c>
      <c r="K366" s="5">
        <v>2882.14</v>
      </c>
    </row>
    <row r="367" spans="1:11" x14ac:dyDescent="0.25">
      <c r="A367" s="5">
        <f t="shared" si="20"/>
        <v>2025</v>
      </c>
      <c r="B367" s="5">
        <f t="shared" si="21"/>
        <v>1</v>
      </c>
      <c r="C367" s="6">
        <v>45663</v>
      </c>
      <c r="D367" s="5" t="s">
        <v>824</v>
      </c>
      <c r="E367" s="5" t="s">
        <v>902</v>
      </c>
      <c r="G367" s="5">
        <v>-274.13</v>
      </c>
      <c r="H367" s="5">
        <f t="shared" si="22"/>
        <v>274.13</v>
      </c>
      <c r="I367" s="5">
        <v>-274.13</v>
      </c>
      <c r="J367" s="5">
        <f t="shared" si="23"/>
        <v>274.13</v>
      </c>
      <c r="K367" s="5">
        <v>106789.36</v>
      </c>
    </row>
    <row r="368" spans="1:11" x14ac:dyDescent="0.25">
      <c r="A368" s="5">
        <f t="shared" si="20"/>
        <v>2025</v>
      </c>
      <c r="B368" s="5">
        <f t="shared" si="21"/>
        <v>2</v>
      </c>
      <c r="C368" s="6">
        <v>45709</v>
      </c>
      <c r="D368" s="5" t="s">
        <v>878</v>
      </c>
      <c r="E368" s="5" t="s">
        <v>902</v>
      </c>
      <c r="G368" s="5">
        <v>-273.25</v>
      </c>
      <c r="H368" s="5">
        <f t="shared" si="22"/>
        <v>273.25</v>
      </c>
      <c r="I368" s="5">
        <v>-273.25</v>
      </c>
      <c r="J368" s="5">
        <f t="shared" si="23"/>
        <v>273.25</v>
      </c>
      <c r="K368" s="5">
        <v>64258.11</v>
      </c>
    </row>
    <row r="369" spans="1:11" x14ac:dyDescent="0.25">
      <c r="A369" s="5">
        <f t="shared" si="20"/>
        <v>2024</v>
      </c>
      <c r="B369" s="5">
        <f t="shared" si="21"/>
        <v>1</v>
      </c>
      <c r="C369" s="6">
        <v>45321</v>
      </c>
      <c r="D369" s="5" t="s">
        <v>164</v>
      </c>
      <c r="E369" s="5" t="s">
        <v>902</v>
      </c>
      <c r="G369" s="5">
        <v>-272.22000000000003</v>
      </c>
      <c r="H369" s="5">
        <f t="shared" si="22"/>
        <v>272.22000000000003</v>
      </c>
      <c r="I369" s="5">
        <v>-272.22000000000003</v>
      </c>
      <c r="J369" s="5">
        <f t="shared" si="23"/>
        <v>272.22000000000003</v>
      </c>
      <c r="K369" s="5">
        <v>26032.16</v>
      </c>
    </row>
    <row r="370" spans="1:11" x14ac:dyDescent="0.25">
      <c r="A370" s="5">
        <f t="shared" si="20"/>
        <v>2024</v>
      </c>
      <c r="B370" s="5">
        <f t="shared" si="21"/>
        <v>10</v>
      </c>
      <c r="C370" s="6">
        <v>45574</v>
      </c>
      <c r="D370" s="5" t="s">
        <v>659</v>
      </c>
      <c r="E370" s="5" t="s">
        <v>902</v>
      </c>
      <c r="G370" s="5">
        <v>-271.82</v>
      </c>
      <c r="H370" s="5">
        <f t="shared" si="22"/>
        <v>271.82</v>
      </c>
      <c r="I370" s="5">
        <v>-271.82</v>
      </c>
      <c r="J370" s="5">
        <f t="shared" si="23"/>
        <v>271.82</v>
      </c>
      <c r="K370" s="5">
        <v>69247.16</v>
      </c>
    </row>
    <row r="371" spans="1:11" x14ac:dyDescent="0.25">
      <c r="A371" s="5">
        <f t="shared" si="20"/>
        <v>2023</v>
      </c>
      <c r="B371" s="5">
        <f t="shared" si="21"/>
        <v>10</v>
      </c>
      <c r="C371" s="6">
        <v>45217</v>
      </c>
      <c r="D371" s="5" t="s">
        <v>50</v>
      </c>
      <c r="E371" s="5" t="s">
        <v>902</v>
      </c>
      <c r="G371" s="5">
        <v>-265.72000000000003</v>
      </c>
      <c r="H371" s="5">
        <f t="shared" si="22"/>
        <v>265.72000000000003</v>
      </c>
      <c r="I371" s="5">
        <v>-265.72000000000003</v>
      </c>
      <c r="J371" s="5">
        <f t="shared" si="23"/>
        <v>265.72000000000003</v>
      </c>
      <c r="K371" s="5">
        <v>13379.36</v>
      </c>
    </row>
    <row r="372" spans="1:11" x14ac:dyDescent="0.25">
      <c r="A372" s="5">
        <f t="shared" si="20"/>
        <v>2023</v>
      </c>
      <c r="B372" s="5">
        <f t="shared" si="21"/>
        <v>12</v>
      </c>
      <c r="C372" s="6">
        <v>45267</v>
      </c>
      <c r="D372" s="5" t="s">
        <v>91</v>
      </c>
      <c r="E372" s="5" t="s">
        <v>902</v>
      </c>
      <c r="G372" s="5">
        <v>-265.29000000000002</v>
      </c>
      <c r="H372" s="5">
        <f t="shared" si="22"/>
        <v>265.29000000000002</v>
      </c>
      <c r="I372" s="5">
        <v>-265.29000000000002</v>
      </c>
      <c r="J372" s="5">
        <f t="shared" si="23"/>
        <v>265.29000000000002</v>
      </c>
      <c r="K372" s="5">
        <v>18793.29</v>
      </c>
    </row>
    <row r="373" spans="1:11" x14ac:dyDescent="0.25">
      <c r="A373" s="5">
        <f t="shared" si="20"/>
        <v>2023</v>
      </c>
      <c r="B373" s="5">
        <f t="shared" si="21"/>
        <v>11</v>
      </c>
      <c r="C373" s="6">
        <v>45247</v>
      </c>
      <c r="D373" s="5" t="s">
        <v>72</v>
      </c>
      <c r="E373" s="5" t="s">
        <v>902</v>
      </c>
      <c r="G373" s="5">
        <v>-264.56</v>
      </c>
      <c r="H373" s="5">
        <f t="shared" si="22"/>
        <v>264.56</v>
      </c>
      <c r="I373" s="5">
        <v>-264.56</v>
      </c>
      <c r="J373" s="5">
        <f t="shared" si="23"/>
        <v>264.56</v>
      </c>
      <c r="K373" s="5">
        <v>25154.82</v>
      </c>
    </row>
    <row r="374" spans="1:11" x14ac:dyDescent="0.25">
      <c r="A374" s="5">
        <f t="shared" si="20"/>
        <v>2023</v>
      </c>
      <c r="B374" s="5">
        <f t="shared" si="21"/>
        <v>9</v>
      </c>
      <c r="C374" s="6">
        <v>45176</v>
      </c>
      <c r="D374" s="5" t="s">
        <v>9</v>
      </c>
      <c r="E374" s="5" t="s">
        <v>902</v>
      </c>
      <c r="G374" s="5">
        <v>-260.29000000000002</v>
      </c>
      <c r="H374" s="5">
        <f t="shared" si="22"/>
        <v>260.29000000000002</v>
      </c>
      <c r="I374" s="5">
        <v>-260.29000000000002</v>
      </c>
      <c r="J374" s="5">
        <f t="shared" si="23"/>
        <v>260.29000000000002</v>
      </c>
      <c r="K374" s="5">
        <v>9839.7099999999991</v>
      </c>
    </row>
    <row r="375" spans="1:11" x14ac:dyDescent="0.25">
      <c r="A375" s="5">
        <f t="shared" si="20"/>
        <v>2024</v>
      </c>
      <c r="B375" s="5">
        <f t="shared" si="21"/>
        <v>10</v>
      </c>
      <c r="C375" s="6">
        <v>45566</v>
      </c>
      <c r="D375" s="5" t="s">
        <v>630</v>
      </c>
      <c r="E375" s="5" t="s">
        <v>902</v>
      </c>
      <c r="G375" s="5">
        <v>-258.04000000000002</v>
      </c>
      <c r="H375" s="5">
        <f t="shared" si="22"/>
        <v>258.04000000000002</v>
      </c>
      <c r="I375" s="5">
        <v>-258.04000000000002</v>
      </c>
      <c r="J375" s="5">
        <f t="shared" si="23"/>
        <v>258.04000000000002</v>
      </c>
      <c r="K375" s="5">
        <v>93949.72</v>
      </c>
    </row>
    <row r="376" spans="1:11" x14ac:dyDescent="0.25">
      <c r="A376" s="5">
        <f t="shared" si="20"/>
        <v>2024</v>
      </c>
      <c r="B376" s="5">
        <f t="shared" si="21"/>
        <v>11</v>
      </c>
      <c r="C376" s="6">
        <v>45597</v>
      </c>
      <c r="D376" s="5" t="s">
        <v>709</v>
      </c>
      <c r="E376" s="5" t="s">
        <v>902</v>
      </c>
      <c r="G376" s="5">
        <v>-258.04000000000002</v>
      </c>
      <c r="H376" s="5">
        <f t="shared" si="22"/>
        <v>258.04000000000002</v>
      </c>
      <c r="I376" s="5">
        <v>-258.04000000000002</v>
      </c>
      <c r="J376" s="5">
        <f t="shared" si="23"/>
        <v>258.04000000000002</v>
      </c>
      <c r="K376" s="5">
        <v>66914</v>
      </c>
    </row>
    <row r="377" spans="1:11" x14ac:dyDescent="0.25">
      <c r="A377" s="5">
        <f t="shared" si="20"/>
        <v>2024</v>
      </c>
      <c r="B377" s="5">
        <f t="shared" si="21"/>
        <v>12</v>
      </c>
      <c r="C377" s="6">
        <v>45628</v>
      </c>
      <c r="D377" s="5" t="s">
        <v>770</v>
      </c>
      <c r="E377" s="5" t="s">
        <v>902</v>
      </c>
      <c r="G377" s="5">
        <v>-258.04000000000002</v>
      </c>
      <c r="H377" s="5">
        <f t="shared" si="22"/>
        <v>258.04000000000002</v>
      </c>
      <c r="I377" s="5">
        <v>-258.04000000000002</v>
      </c>
      <c r="J377" s="5">
        <f t="shared" si="23"/>
        <v>258.04000000000002</v>
      </c>
      <c r="K377" s="5">
        <v>3963.84</v>
      </c>
    </row>
    <row r="378" spans="1:11" x14ac:dyDescent="0.25">
      <c r="A378" s="5">
        <f t="shared" si="20"/>
        <v>2024</v>
      </c>
      <c r="B378" s="5">
        <f t="shared" si="21"/>
        <v>1</v>
      </c>
      <c r="C378" s="6">
        <v>45321</v>
      </c>
      <c r="D378" s="5" t="s">
        <v>165</v>
      </c>
      <c r="E378" s="5" t="s">
        <v>902</v>
      </c>
      <c r="G378" s="5">
        <v>-254.16</v>
      </c>
      <c r="H378" s="5">
        <f t="shared" si="22"/>
        <v>254.16</v>
      </c>
      <c r="I378" s="5">
        <v>-254.16</v>
      </c>
      <c r="J378" s="5">
        <f t="shared" si="23"/>
        <v>254.16</v>
      </c>
      <c r="K378" s="5">
        <v>25778</v>
      </c>
    </row>
    <row r="379" spans="1:11" x14ac:dyDescent="0.25">
      <c r="A379" s="5">
        <f t="shared" si="20"/>
        <v>2023</v>
      </c>
      <c r="B379" s="5">
        <f t="shared" si="21"/>
        <v>10</v>
      </c>
      <c r="C379" s="6">
        <v>45218</v>
      </c>
      <c r="D379" s="5" t="s">
        <v>52</v>
      </c>
      <c r="E379" s="5" t="s">
        <v>902</v>
      </c>
      <c r="G379" s="5">
        <v>-254.05</v>
      </c>
      <c r="H379" s="5">
        <f t="shared" si="22"/>
        <v>254.05</v>
      </c>
      <c r="I379" s="5">
        <v>-254.05</v>
      </c>
      <c r="J379" s="5">
        <f t="shared" si="23"/>
        <v>254.05</v>
      </c>
      <c r="K379" s="5">
        <v>13110.81</v>
      </c>
    </row>
    <row r="380" spans="1:11" x14ac:dyDescent="0.25">
      <c r="A380" s="5">
        <f t="shared" si="20"/>
        <v>2024</v>
      </c>
      <c r="B380" s="5">
        <f t="shared" si="21"/>
        <v>7</v>
      </c>
      <c r="C380" s="6">
        <v>45503</v>
      </c>
      <c r="D380" s="5" t="s">
        <v>477</v>
      </c>
      <c r="E380" s="5" t="s">
        <v>902</v>
      </c>
      <c r="G380" s="5">
        <v>-252.09</v>
      </c>
      <c r="H380" s="5">
        <f t="shared" si="22"/>
        <v>252.09</v>
      </c>
      <c r="I380" s="5">
        <v>-252.09</v>
      </c>
      <c r="J380" s="5">
        <f t="shared" si="23"/>
        <v>252.09</v>
      </c>
      <c r="K380" s="5">
        <v>31493.07</v>
      </c>
    </row>
    <row r="381" spans="1:11" x14ac:dyDescent="0.25">
      <c r="A381" s="5">
        <f t="shared" si="20"/>
        <v>2024</v>
      </c>
      <c r="B381" s="5">
        <f t="shared" si="21"/>
        <v>2</v>
      </c>
      <c r="C381" s="6">
        <v>45324</v>
      </c>
      <c r="D381" s="5" t="s">
        <v>168</v>
      </c>
      <c r="E381" s="5" t="s">
        <v>902</v>
      </c>
      <c r="G381" s="5">
        <v>-251.76</v>
      </c>
      <c r="H381" s="5">
        <f t="shared" si="22"/>
        <v>251.76</v>
      </c>
      <c r="I381" s="5">
        <v>-251.76</v>
      </c>
      <c r="J381" s="5">
        <f t="shared" si="23"/>
        <v>251.76</v>
      </c>
      <c r="K381" s="5">
        <v>36575.29</v>
      </c>
    </row>
    <row r="382" spans="1:11" x14ac:dyDescent="0.25">
      <c r="A382" s="5">
        <f t="shared" si="20"/>
        <v>2024</v>
      </c>
      <c r="B382" s="5">
        <f t="shared" si="21"/>
        <v>3</v>
      </c>
      <c r="C382" s="6">
        <v>45355</v>
      </c>
      <c r="D382" s="5" t="s">
        <v>205</v>
      </c>
      <c r="E382" s="5" t="s">
        <v>902</v>
      </c>
      <c r="G382" s="5">
        <v>-251.75</v>
      </c>
      <c r="H382" s="5">
        <f t="shared" si="22"/>
        <v>251.75</v>
      </c>
      <c r="I382" s="5">
        <v>-251.75</v>
      </c>
      <c r="J382" s="5">
        <f t="shared" si="23"/>
        <v>251.75</v>
      </c>
      <c r="K382" s="5">
        <v>28557.29</v>
      </c>
    </row>
    <row r="383" spans="1:11" x14ac:dyDescent="0.25">
      <c r="A383" s="5">
        <f t="shared" si="20"/>
        <v>2024</v>
      </c>
      <c r="B383" s="5">
        <f t="shared" si="21"/>
        <v>4</v>
      </c>
      <c r="C383" s="6">
        <v>45384</v>
      </c>
      <c r="D383" s="5" t="s">
        <v>261</v>
      </c>
      <c r="E383" s="5" t="s">
        <v>902</v>
      </c>
      <c r="G383" s="5">
        <v>-251.75</v>
      </c>
      <c r="H383" s="5">
        <f t="shared" si="22"/>
        <v>251.75</v>
      </c>
      <c r="I383" s="5">
        <v>-251.75</v>
      </c>
      <c r="J383" s="5">
        <f t="shared" si="23"/>
        <v>251.75</v>
      </c>
      <c r="K383" s="5">
        <v>34895.089999999997</v>
      </c>
    </row>
    <row r="384" spans="1:11" x14ac:dyDescent="0.25">
      <c r="A384" s="5">
        <f t="shared" si="20"/>
        <v>2024</v>
      </c>
      <c r="B384" s="5">
        <f t="shared" si="21"/>
        <v>5</v>
      </c>
      <c r="C384" s="6">
        <v>45414</v>
      </c>
      <c r="D384" s="5" t="s">
        <v>311</v>
      </c>
      <c r="E384" s="5" t="s">
        <v>902</v>
      </c>
      <c r="G384" s="5">
        <v>-251.75</v>
      </c>
      <c r="H384" s="5">
        <f t="shared" si="22"/>
        <v>251.75</v>
      </c>
      <c r="I384" s="5">
        <v>-251.75</v>
      </c>
      <c r="J384" s="5">
        <f t="shared" si="23"/>
        <v>251.75</v>
      </c>
      <c r="K384" s="5">
        <v>27417.5</v>
      </c>
    </row>
    <row r="385" spans="1:11" x14ac:dyDescent="0.25">
      <c r="A385" s="5">
        <f t="shared" si="20"/>
        <v>2024</v>
      </c>
      <c r="B385" s="5">
        <f t="shared" si="21"/>
        <v>6</v>
      </c>
      <c r="C385" s="6">
        <v>45447</v>
      </c>
      <c r="D385" s="5" t="s">
        <v>369</v>
      </c>
      <c r="E385" s="5" t="s">
        <v>902</v>
      </c>
      <c r="G385" s="5">
        <v>-251.75</v>
      </c>
      <c r="H385" s="5">
        <f t="shared" si="22"/>
        <v>251.75</v>
      </c>
      <c r="I385" s="5">
        <v>-251.75</v>
      </c>
      <c r="J385" s="5">
        <f t="shared" si="23"/>
        <v>251.75</v>
      </c>
      <c r="K385" s="5">
        <v>25377.41</v>
      </c>
    </row>
    <row r="386" spans="1:11" x14ac:dyDescent="0.25">
      <c r="A386" s="5">
        <f t="shared" si="20"/>
        <v>2024</v>
      </c>
      <c r="B386" s="5">
        <f t="shared" si="21"/>
        <v>7</v>
      </c>
      <c r="C386" s="6">
        <v>45475</v>
      </c>
      <c r="D386" s="5" t="s">
        <v>420</v>
      </c>
      <c r="E386" s="5" t="s">
        <v>902</v>
      </c>
      <c r="G386" s="5">
        <v>-251.75</v>
      </c>
      <c r="H386" s="5">
        <f t="shared" si="22"/>
        <v>251.75</v>
      </c>
      <c r="I386" s="5">
        <v>-251.75</v>
      </c>
      <c r="J386" s="5">
        <f t="shared" si="23"/>
        <v>251.75</v>
      </c>
      <c r="K386" s="5">
        <v>72597.009999999995</v>
      </c>
    </row>
    <row r="387" spans="1:11" x14ac:dyDescent="0.25">
      <c r="A387" s="5">
        <f t="shared" ref="A387:A450" si="24">YEAR(C387)</f>
        <v>2024</v>
      </c>
      <c r="B387" s="5">
        <f t="shared" ref="B387:B450" si="25">MONTH(C387)</f>
        <v>8</v>
      </c>
      <c r="C387" s="6">
        <v>45506</v>
      </c>
      <c r="D387" s="5" t="s">
        <v>482</v>
      </c>
      <c r="E387" s="5" t="s">
        <v>902</v>
      </c>
      <c r="G387" s="5">
        <v>-251.75</v>
      </c>
      <c r="H387" s="5">
        <f t="shared" ref="H387:H450" si="26">(-1*G387)</f>
        <v>251.75</v>
      </c>
      <c r="I387" s="5">
        <v>-251.75</v>
      </c>
      <c r="J387" s="5">
        <f t="shared" ref="J387:J450" si="27">(F387+H387)</f>
        <v>251.75</v>
      </c>
      <c r="K387" s="5">
        <v>46230.98</v>
      </c>
    </row>
    <row r="388" spans="1:11" x14ac:dyDescent="0.25">
      <c r="A388" s="5">
        <f t="shared" si="24"/>
        <v>2024</v>
      </c>
      <c r="B388" s="5">
        <f t="shared" si="25"/>
        <v>9</v>
      </c>
      <c r="C388" s="6">
        <v>45539</v>
      </c>
      <c r="D388" s="5" t="s">
        <v>562</v>
      </c>
      <c r="E388" s="5" t="s">
        <v>902</v>
      </c>
      <c r="G388" s="5">
        <v>-251.75</v>
      </c>
      <c r="H388" s="5">
        <f t="shared" si="26"/>
        <v>251.75</v>
      </c>
      <c r="I388" s="5">
        <v>-251.75</v>
      </c>
      <c r="J388" s="5">
        <f t="shared" si="27"/>
        <v>251.75</v>
      </c>
      <c r="K388" s="5">
        <v>70177.919999999998</v>
      </c>
    </row>
    <row r="389" spans="1:11" x14ac:dyDescent="0.25">
      <c r="A389" s="5">
        <f t="shared" si="24"/>
        <v>2024</v>
      </c>
      <c r="B389" s="5">
        <f t="shared" si="25"/>
        <v>10</v>
      </c>
      <c r="C389" s="6">
        <v>45569</v>
      </c>
      <c r="D389" s="5" t="s">
        <v>647</v>
      </c>
      <c r="E389" s="5" t="s">
        <v>902</v>
      </c>
      <c r="G389" s="5">
        <v>-250.86</v>
      </c>
      <c r="H389" s="5">
        <f t="shared" si="26"/>
        <v>250.86</v>
      </c>
      <c r="I389" s="5">
        <v>-250.86</v>
      </c>
      <c r="J389" s="5">
        <f t="shared" si="27"/>
        <v>250.86</v>
      </c>
      <c r="K389" s="5">
        <v>87508.17</v>
      </c>
    </row>
    <row r="390" spans="1:11" x14ac:dyDescent="0.25">
      <c r="A390" s="5">
        <f t="shared" si="24"/>
        <v>2024</v>
      </c>
      <c r="B390" s="5">
        <f t="shared" si="25"/>
        <v>11</v>
      </c>
      <c r="C390" s="6">
        <v>45600</v>
      </c>
      <c r="D390" s="5" t="s">
        <v>65</v>
      </c>
      <c r="E390" s="5" t="s">
        <v>902</v>
      </c>
      <c r="G390" s="5">
        <v>-250.86</v>
      </c>
      <c r="H390" s="5">
        <f t="shared" si="26"/>
        <v>250.86</v>
      </c>
      <c r="I390" s="5">
        <v>-250.86</v>
      </c>
      <c r="J390" s="5">
        <f t="shared" si="27"/>
        <v>250.86</v>
      </c>
      <c r="K390" s="5">
        <v>41174.26</v>
      </c>
    </row>
    <row r="391" spans="1:11" x14ac:dyDescent="0.25">
      <c r="A391" s="5">
        <f t="shared" si="24"/>
        <v>2024</v>
      </c>
      <c r="B391" s="5">
        <f t="shared" si="25"/>
        <v>12</v>
      </c>
      <c r="C391" s="6">
        <v>45630</v>
      </c>
      <c r="D391" s="5" t="s">
        <v>87</v>
      </c>
      <c r="E391" s="5" t="s">
        <v>902</v>
      </c>
      <c r="G391" s="5">
        <v>-250.86</v>
      </c>
      <c r="H391" s="5">
        <f t="shared" si="26"/>
        <v>250.86</v>
      </c>
      <c r="I391" s="5">
        <v>-250.86</v>
      </c>
      <c r="J391" s="5">
        <f t="shared" si="27"/>
        <v>250.86</v>
      </c>
      <c r="K391" s="5">
        <v>2631.28</v>
      </c>
    </row>
    <row r="392" spans="1:11" x14ac:dyDescent="0.25">
      <c r="A392" s="5">
        <f t="shared" si="24"/>
        <v>2024</v>
      </c>
      <c r="B392" s="5">
        <f t="shared" si="25"/>
        <v>7</v>
      </c>
      <c r="C392" s="6">
        <v>45478</v>
      </c>
      <c r="D392" s="5" t="s">
        <v>426</v>
      </c>
      <c r="E392" s="5" t="s">
        <v>902</v>
      </c>
      <c r="G392" s="5">
        <v>-250.6</v>
      </c>
      <c r="H392" s="5">
        <f t="shared" si="26"/>
        <v>250.6</v>
      </c>
      <c r="I392" s="5">
        <v>-250.6</v>
      </c>
      <c r="J392" s="5">
        <f t="shared" si="27"/>
        <v>250.6</v>
      </c>
      <c r="K392" s="5">
        <v>71671.360000000001</v>
      </c>
    </row>
    <row r="393" spans="1:11" x14ac:dyDescent="0.25">
      <c r="A393" s="5">
        <f t="shared" si="24"/>
        <v>2024</v>
      </c>
      <c r="B393" s="5">
        <f t="shared" si="25"/>
        <v>8</v>
      </c>
      <c r="C393" s="6">
        <v>45509</v>
      </c>
      <c r="D393" s="5" t="s">
        <v>495</v>
      </c>
      <c r="E393" s="5" t="s">
        <v>902</v>
      </c>
      <c r="G393" s="5">
        <v>-250.6</v>
      </c>
      <c r="H393" s="5">
        <f t="shared" si="26"/>
        <v>250.6</v>
      </c>
      <c r="I393" s="5">
        <v>-250.6</v>
      </c>
      <c r="J393" s="5">
        <f t="shared" si="27"/>
        <v>250.6</v>
      </c>
      <c r="K393" s="5">
        <v>41801.64</v>
      </c>
    </row>
    <row r="394" spans="1:11" x14ac:dyDescent="0.25">
      <c r="A394" s="5">
        <f t="shared" si="24"/>
        <v>2024</v>
      </c>
      <c r="B394" s="5">
        <f t="shared" si="25"/>
        <v>9</v>
      </c>
      <c r="C394" s="6">
        <v>45539</v>
      </c>
      <c r="D394" s="5" t="s">
        <v>561</v>
      </c>
      <c r="E394" s="5" t="s">
        <v>902</v>
      </c>
      <c r="G394" s="5">
        <v>-250.6</v>
      </c>
      <c r="H394" s="5">
        <f t="shared" si="26"/>
        <v>250.6</v>
      </c>
      <c r="I394" s="5">
        <v>-250.6</v>
      </c>
      <c r="J394" s="5">
        <f t="shared" si="27"/>
        <v>250.6</v>
      </c>
      <c r="K394" s="5">
        <v>70429.67</v>
      </c>
    </row>
    <row r="395" spans="1:11" x14ac:dyDescent="0.25">
      <c r="A395" s="5">
        <f t="shared" si="24"/>
        <v>2024</v>
      </c>
      <c r="B395" s="5">
        <f t="shared" si="25"/>
        <v>4</v>
      </c>
      <c r="C395" s="6">
        <v>45386</v>
      </c>
      <c r="D395" s="5" t="s">
        <v>266</v>
      </c>
      <c r="E395" s="5" t="s">
        <v>902</v>
      </c>
      <c r="G395" s="5">
        <v>-250.1</v>
      </c>
      <c r="H395" s="5">
        <f t="shared" si="26"/>
        <v>250.1</v>
      </c>
      <c r="I395" s="5">
        <v>-250.1</v>
      </c>
      <c r="J395" s="5">
        <f t="shared" si="27"/>
        <v>250.1</v>
      </c>
      <c r="K395" s="5">
        <v>34470.06</v>
      </c>
    </row>
    <row r="396" spans="1:11" x14ac:dyDescent="0.25">
      <c r="A396" s="5">
        <f t="shared" si="24"/>
        <v>2024</v>
      </c>
      <c r="B396" s="5">
        <f t="shared" si="25"/>
        <v>5</v>
      </c>
      <c r="C396" s="6">
        <v>45418</v>
      </c>
      <c r="D396" s="5" t="s">
        <v>320</v>
      </c>
      <c r="E396" s="5" t="s">
        <v>902</v>
      </c>
      <c r="G396" s="5">
        <v>-250.1</v>
      </c>
      <c r="H396" s="5">
        <f t="shared" si="26"/>
        <v>250.1</v>
      </c>
      <c r="I396" s="5">
        <v>-250.1</v>
      </c>
      <c r="J396" s="5">
        <f t="shared" si="27"/>
        <v>250.1</v>
      </c>
      <c r="K396" s="5">
        <v>10127.370000000001</v>
      </c>
    </row>
    <row r="397" spans="1:11" x14ac:dyDescent="0.25">
      <c r="A397" s="5">
        <f t="shared" si="24"/>
        <v>2024</v>
      </c>
      <c r="B397" s="5">
        <f t="shared" si="25"/>
        <v>6</v>
      </c>
      <c r="C397" s="6">
        <v>45447</v>
      </c>
      <c r="D397" s="5" t="s">
        <v>368</v>
      </c>
      <c r="E397" s="5" t="s">
        <v>902</v>
      </c>
      <c r="G397" s="5">
        <v>-250.1</v>
      </c>
      <c r="H397" s="5">
        <f t="shared" si="26"/>
        <v>250.1</v>
      </c>
      <c r="I397" s="5">
        <v>-250.1</v>
      </c>
      <c r="J397" s="5">
        <f t="shared" si="27"/>
        <v>250.1</v>
      </c>
      <c r="K397" s="5">
        <v>25629.16</v>
      </c>
    </row>
    <row r="398" spans="1:11" x14ac:dyDescent="0.25">
      <c r="A398" s="5">
        <f t="shared" si="24"/>
        <v>2024</v>
      </c>
      <c r="B398" s="5">
        <f t="shared" si="25"/>
        <v>10</v>
      </c>
      <c r="C398" s="6">
        <v>45568</v>
      </c>
      <c r="D398" s="5" t="s">
        <v>641</v>
      </c>
      <c r="E398" s="5" t="s">
        <v>902</v>
      </c>
      <c r="G398" s="5">
        <v>-250</v>
      </c>
      <c r="H398" s="5">
        <f t="shared" si="26"/>
        <v>250</v>
      </c>
      <c r="I398" s="5">
        <v>-250</v>
      </c>
      <c r="J398" s="5">
        <f t="shared" si="27"/>
        <v>250</v>
      </c>
      <c r="K398" s="5">
        <v>89113.04</v>
      </c>
    </row>
    <row r="399" spans="1:11" x14ac:dyDescent="0.25">
      <c r="A399" s="5">
        <f t="shared" si="24"/>
        <v>2024</v>
      </c>
      <c r="B399" s="5">
        <f t="shared" si="25"/>
        <v>11</v>
      </c>
      <c r="C399" s="6">
        <v>45600</v>
      </c>
      <c r="D399" s="5" t="s">
        <v>715</v>
      </c>
      <c r="E399" s="5" t="s">
        <v>902</v>
      </c>
      <c r="G399" s="5">
        <v>-250</v>
      </c>
      <c r="H399" s="5">
        <f t="shared" si="26"/>
        <v>250</v>
      </c>
      <c r="I399" s="5">
        <v>-250</v>
      </c>
      <c r="J399" s="5">
        <f t="shared" si="27"/>
        <v>250</v>
      </c>
      <c r="K399" s="5">
        <v>42043.12</v>
      </c>
    </row>
    <row r="400" spans="1:11" x14ac:dyDescent="0.25">
      <c r="A400" s="5">
        <f t="shared" si="24"/>
        <v>2024</v>
      </c>
      <c r="B400" s="5">
        <f t="shared" si="25"/>
        <v>12</v>
      </c>
      <c r="C400" s="6">
        <v>45629</v>
      </c>
      <c r="D400" s="5" t="s">
        <v>771</v>
      </c>
      <c r="E400" s="5" t="s">
        <v>902</v>
      </c>
      <c r="G400" s="5">
        <v>-250</v>
      </c>
      <c r="H400" s="5">
        <f t="shared" si="26"/>
        <v>250</v>
      </c>
      <c r="I400" s="5">
        <v>-250</v>
      </c>
      <c r="J400" s="5">
        <f t="shared" si="27"/>
        <v>250</v>
      </c>
      <c r="K400" s="5">
        <v>3563.84</v>
      </c>
    </row>
    <row r="401" spans="1:11" x14ac:dyDescent="0.25">
      <c r="A401" s="5">
        <f t="shared" si="24"/>
        <v>2025</v>
      </c>
      <c r="B401" s="5">
        <f t="shared" si="25"/>
        <v>1</v>
      </c>
      <c r="C401" s="6">
        <v>45688</v>
      </c>
      <c r="D401" s="5" t="s">
        <v>853</v>
      </c>
      <c r="E401" s="5" t="s">
        <v>902</v>
      </c>
      <c r="G401" s="5">
        <v>-250</v>
      </c>
      <c r="H401" s="5">
        <f t="shared" si="26"/>
        <v>250</v>
      </c>
      <c r="I401" s="5">
        <v>-250</v>
      </c>
      <c r="J401" s="5">
        <f t="shared" si="27"/>
        <v>250</v>
      </c>
      <c r="K401" s="5">
        <v>48973.56</v>
      </c>
    </row>
    <row r="402" spans="1:11" x14ac:dyDescent="0.25">
      <c r="A402" s="5">
        <f t="shared" si="24"/>
        <v>2025</v>
      </c>
      <c r="B402" s="5">
        <f t="shared" si="25"/>
        <v>2</v>
      </c>
      <c r="C402" s="6">
        <v>45695</v>
      </c>
      <c r="D402" s="5" t="s">
        <v>858</v>
      </c>
      <c r="E402" s="5" t="s">
        <v>902</v>
      </c>
      <c r="G402" s="5">
        <v>-250</v>
      </c>
      <c r="H402" s="5">
        <f t="shared" si="26"/>
        <v>250</v>
      </c>
      <c r="I402" s="5">
        <v>-250</v>
      </c>
      <c r="J402" s="5">
        <f t="shared" si="27"/>
        <v>250</v>
      </c>
      <c r="K402" s="5">
        <v>73359.350000000006</v>
      </c>
    </row>
    <row r="403" spans="1:11" x14ac:dyDescent="0.25">
      <c r="A403" s="5">
        <f t="shared" si="24"/>
        <v>2025</v>
      </c>
      <c r="B403" s="5">
        <f t="shared" si="25"/>
        <v>3</v>
      </c>
      <c r="C403" s="6">
        <v>45719</v>
      </c>
      <c r="D403" s="5" t="s">
        <v>890</v>
      </c>
      <c r="E403" s="5" t="s">
        <v>902</v>
      </c>
      <c r="G403" s="5">
        <v>-250</v>
      </c>
      <c r="H403" s="5">
        <f t="shared" si="26"/>
        <v>250</v>
      </c>
      <c r="I403" s="5">
        <v>-250</v>
      </c>
      <c r="J403" s="5">
        <f t="shared" si="27"/>
        <v>250</v>
      </c>
      <c r="K403" s="5">
        <v>86494.2</v>
      </c>
    </row>
    <row r="404" spans="1:11" x14ac:dyDescent="0.25">
      <c r="A404" s="5">
        <f t="shared" si="24"/>
        <v>2024</v>
      </c>
      <c r="B404" s="5">
        <f t="shared" si="25"/>
        <v>1</v>
      </c>
      <c r="C404" s="6">
        <v>45310</v>
      </c>
      <c r="D404" s="5" t="s">
        <v>149</v>
      </c>
      <c r="E404" s="5" t="s">
        <v>902</v>
      </c>
      <c r="G404" s="5">
        <v>-249.37</v>
      </c>
      <c r="H404" s="5">
        <f t="shared" si="26"/>
        <v>249.37</v>
      </c>
      <c r="I404" s="5">
        <v>-249.37</v>
      </c>
      <c r="J404" s="5">
        <f t="shared" si="27"/>
        <v>249.37</v>
      </c>
      <c r="K404" s="5">
        <v>18135.310000000001</v>
      </c>
    </row>
    <row r="405" spans="1:11" x14ac:dyDescent="0.25">
      <c r="A405" s="5">
        <f t="shared" si="24"/>
        <v>2024</v>
      </c>
      <c r="B405" s="5">
        <f t="shared" si="25"/>
        <v>2</v>
      </c>
      <c r="C405" s="6">
        <v>45342</v>
      </c>
      <c r="D405" s="5" t="s">
        <v>190</v>
      </c>
      <c r="E405" s="5" t="s">
        <v>902</v>
      </c>
      <c r="G405" s="5">
        <v>-249.37</v>
      </c>
      <c r="H405" s="5">
        <f t="shared" si="26"/>
        <v>249.37</v>
      </c>
      <c r="I405" s="5">
        <v>-249.37</v>
      </c>
      <c r="J405" s="5">
        <f t="shared" si="27"/>
        <v>249.37</v>
      </c>
      <c r="K405" s="5">
        <v>15993.61</v>
      </c>
    </row>
    <row r="406" spans="1:11" x14ac:dyDescent="0.25">
      <c r="A406" s="5">
        <f t="shared" si="24"/>
        <v>2024</v>
      </c>
      <c r="B406" s="5">
        <f t="shared" si="25"/>
        <v>3</v>
      </c>
      <c r="C406" s="6">
        <v>45370</v>
      </c>
      <c r="D406" s="5" t="s">
        <v>237</v>
      </c>
      <c r="E406" s="5" t="s">
        <v>902</v>
      </c>
      <c r="G406" s="5">
        <v>-249.37</v>
      </c>
      <c r="H406" s="5">
        <f t="shared" si="26"/>
        <v>249.37</v>
      </c>
      <c r="I406" s="5">
        <v>-249.37</v>
      </c>
      <c r="J406" s="5">
        <f t="shared" si="27"/>
        <v>249.37</v>
      </c>
      <c r="K406" s="5">
        <v>27458.39</v>
      </c>
    </row>
    <row r="407" spans="1:11" x14ac:dyDescent="0.25">
      <c r="A407" s="5">
        <f t="shared" si="24"/>
        <v>2024</v>
      </c>
      <c r="B407" s="5">
        <f t="shared" si="25"/>
        <v>4</v>
      </c>
      <c r="C407" s="6">
        <v>45404</v>
      </c>
      <c r="D407" s="5" t="s">
        <v>292</v>
      </c>
      <c r="E407" s="5" t="s">
        <v>902</v>
      </c>
      <c r="G407" s="5">
        <v>-249.37</v>
      </c>
      <c r="H407" s="5">
        <f t="shared" si="26"/>
        <v>249.37</v>
      </c>
      <c r="I407" s="5">
        <v>-249.37</v>
      </c>
      <c r="J407" s="5">
        <f t="shared" si="27"/>
        <v>249.37</v>
      </c>
      <c r="K407" s="5">
        <v>13691.14</v>
      </c>
    </row>
    <row r="408" spans="1:11" x14ac:dyDescent="0.25">
      <c r="A408" s="5">
        <f t="shared" si="24"/>
        <v>2024</v>
      </c>
      <c r="B408" s="5">
        <f t="shared" si="25"/>
        <v>5</v>
      </c>
      <c r="C408" s="6">
        <v>45432</v>
      </c>
      <c r="D408" s="5" t="s">
        <v>343</v>
      </c>
      <c r="E408" s="5" t="s">
        <v>902</v>
      </c>
      <c r="G408" s="5">
        <v>-249.37</v>
      </c>
      <c r="H408" s="5">
        <f t="shared" si="26"/>
        <v>249.37</v>
      </c>
      <c r="I408" s="5">
        <v>-249.37</v>
      </c>
      <c r="J408" s="5">
        <f t="shared" si="27"/>
        <v>249.37</v>
      </c>
      <c r="K408" s="5">
        <v>17980.13</v>
      </c>
    </row>
    <row r="409" spans="1:11" x14ac:dyDescent="0.25">
      <c r="A409" s="5">
        <f t="shared" si="24"/>
        <v>2024</v>
      </c>
      <c r="B409" s="5">
        <f t="shared" si="25"/>
        <v>6</v>
      </c>
      <c r="C409" s="6">
        <v>45463</v>
      </c>
      <c r="D409" s="5" t="s">
        <v>393</v>
      </c>
      <c r="E409" s="5" t="s">
        <v>902</v>
      </c>
      <c r="G409" s="5">
        <v>-249.37</v>
      </c>
      <c r="H409" s="5">
        <f t="shared" si="26"/>
        <v>249.37</v>
      </c>
      <c r="I409" s="5">
        <v>-249.37</v>
      </c>
      <c r="J409" s="5">
        <f t="shared" si="27"/>
        <v>249.37</v>
      </c>
      <c r="K409" s="5">
        <v>55893.46</v>
      </c>
    </row>
    <row r="410" spans="1:11" x14ac:dyDescent="0.25">
      <c r="A410" s="5">
        <f t="shared" si="24"/>
        <v>2024</v>
      </c>
      <c r="B410" s="5">
        <f t="shared" si="25"/>
        <v>7</v>
      </c>
      <c r="C410" s="6">
        <v>45495</v>
      </c>
      <c r="D410" s="5" t="s">
        <v>451</v>
      </c>
      <c r="E410" s="5" t="s">
        <v>902</v>
      </c>
      <c r="G410" s="5">
        <v>-249.37</v>
      </c>
      <c r="H410" s="5">
        <f t="shared" si="26"/>
        <v>249.37</v>
      </c>
      <c r="I410" s="5">
        <v>-249.37</v>
      </c>
      <c r="J410" s="5">
        <f t="shared" si="27"/>
        <v>249.37</v>
      </c>
      <c r="K410" s="5">
        <v>51842.26</v>
      </c>
    </row>
    <row r="411" spans="1:11" x14ac:dyDescent="0.25">
      <c r="A411" s="5">
        <f t="shared" si="24"/>
        <v>2024</v>
      </c>
      <c r="B411" s="5">
        <f t="shared" si="25"/>
        <v>8</v>
      </c>
      <c r="C411" s="6">
        <v>45523</v>
      </c>
      <c r="D411" s="5" t="s">
        <v>519</v>
      </c>
      <c r="E411" s="5" t="s">
        <v>902</v>
      </c>
      <c r="G411" s="5">
        <v>-249.37</v>
      </c>
      <c r="H411" s="5">
        <f t="shared" si="26"/>
        <v>249.37</v>
      </c>
      <c r="I411" s="5">
        <v>-249.37</v>
      </c>
      <c r="J411" s="5">
        <f t="shared" si="27"/>
        <v>249.37</v>
      </c>
      <c r="K411" s="5">
        <v>70899.199999999997</v>
      </c>
    </row>
    <row r="412" spans="1:11" x14ac:dyDescent="0.25">
      <c r="A412" s="5">
        <f t="shared" si="24"/>
        <v>2024</v>
      </c>
      <c r="B412" s="5">
        <f t="shared" si="25"/>
        <v>9</v>
      </c>
      <c r="C412" s="6">
        <v>45554</v>
      </c>
      <c r="D412" s="5" t="s">
        <v>600</v>
      </c>
      <c r="E412" s="5" t="s">
        <v>902</v>
      </c>
      <c r="G412" s="5">
        <v>-249.37</v>
      </c>
      <c r="H412" s="5">
        <f t="shared" si="26"/>
        <v>249.37</v>
      </c>
      <c r="I412" s="5">
        <v>-249.37</v>
      </c>
      <c r="J412" s="5">
        <f t="shared" si="27"/>
        <v>249.37</v>
      </c>
      <c r="K412" s="5">
        <v>89734.31</v>
      </c>
    </row>
    <row r="413" spans="1:11" x14ac:dyDescent="0.25">
      <c r="A413" s="5">
        <f t="shared" si="24"/>
        <v>2024</v>
      </c>
      <c r="B413" s="5">
        <f t="shared" si="25"/>
        <v>10</v>
      </c>
      <c r="C413" s="6">
        <v>45586</v>
      </c>
      <c r="D413" s="5" t="s">
        <v>52</v>
      </c>
      <c r="E413" s="5" t="s">
        <v>902</v>
      </c>
      <c r="G413" s="5">
        <v>-249.37</v>
      </c>
      <c r="H413" s="5">
        <f t="shared" si="26"/>
        <v>249.37</v>
      </c>
      <c r="I413" s="5">
        <v>-249.37</v>
      </c>
      <c r="J413" s="5">
        <f t="shared" si="27"/>
        <v>249.37</v>
      </c>
      <c r="K413" s="5">
        <v>72548.259999999995</v>
      </c>
    </row>
    <row r="414" spans="1:11" x14ac:dyDescent="0.25">
      <c r="A414" s="5">
        <f t="shared" si="24"/>
        <v>2024</v>
      </c>
      <c r="B414" s="5">
        <f t="shared" si="25"/>
        <v>11</v>
      </c>
      <c r="C414" s="6">
        <v>45615</v>
      </c>
      <c r="D414" s="5" t="s">
        <v>77</v>
      </c>
      <c r="E414" s="5" t="s">
        <v>902</v>
      </c>
      <c r="G414" s="5">
        <v>-249.37</v>
      </c>
      <c r="H414" s="5">
        <f t="shared" si="26"/>
        <v>249.37</v>
      </c>
      <c r="I414" s="5">
        <v>-249.37</v>
      </c>
      <c r="J414" s="5">
        <f t="shared" si="27"/>
        <v>249.37</v>
      </c>
      <c r="K414" s="5">
        <v>4321.72</v>
      </c>
    </row>
    <row r="415" spans="1:11" x14ac:dyDescent="0.25">
      <c r="A415" s="5">
        <f t="shared" si="24"/>
        <v>2024</v>
      </c>
      <c r="B415" s="5">
        <f t="shared" si="25"/>
        <v>1</v>
      </c>
      <c r="C415" s="6">
        <v>45295</v>
      </c>
      <c r="D415" s="5" t="s">
        <v>123</v>
      </c>
      <c r="E415" s="5" t="s">
        <v>902</v>
      </c>
      <c r="G415" s="5">
        <v>-248.54</v>
      </c>
      <c r="H415" s="5">
        <f t="shared" si="26"/>
        <v>248.54</v>
      </c>
      <c r="I415" s="5">
        <v>-248.54</v>
      </c>
      <c r="J415" s="5">
        <f t="shared" si="27"/>
        <v>248.54</v>
      </c>
      <c r="K415" s="5">
        <v>28099.96</v>
      </c>
    </row>
    <row r="416" spans="1:11" x14ac:dyDescent="0.25">
      <c r="A416" s="5">
        <f t="shared" si="24"/>
        <v>2024</v>
      </c>
      <c r="B416" s="5">
        <f t="shared" si="25"/>
        <v>2</v>
      </c>
      <c r="C416" s="6">
        <v>45327</v>
      </c>
      <c r="D416" s="5" t="s">
        <v>175</v>
      </c>
      <c r="E416" s="5" t="s">
        <v>902</v>
      </c>
      <c r="G416" s="5">
        <v>-248.54</v>
      </c>
      <c r="H416" s="5">
        <f t="shared" si="26"/>
        <v>248.54</v>
      </c>
      <c r="I416" s="5">
        <v>-248.54</v>
      </c>
      <c r="J416" s="5">
        <f t="shared" si="27"/>
        <v>248.54</v>
      </c>
      <c r="K416" s="5">
        <v>34817.660000000003</v>
      </c>
    </row>
    <row r="417" spans="1:11" x14ac:dyDescent="0.25">
      <c r="A417" s="5">
        <f t="shared" si="24"/>
        <v>2024</v>
      </c>
      <c r="B417" s="5">
        <f t="shared" si="25"/>
        <v>3</v>
      </c>
      <c r="C417" s="6">
        <v>45355</v>
      </c>
      <c r="D417" s="5" t="s">
        <v>209</v>
      </c>
      <c r="E417" s="5" t="s">
        <v>902</v>
      </c>
      <c r="G417" s="5">
        <v>-248.54</v>
      </c>
      <c r="H417" s="5">
        <f t="shared" si="26"/>
        <v>248.54</v>
      </c>
      <c r="I417" s="5">
        <v>-248.54</v>
      </c>
      <c r="J417" s="5">
        <f t="shared" si="27"/>
        <v>248.54</v>
      </c>
      <c r="K417" s="5">
        <v>27908.32</v>
      </c>
    </row>
    <row r="418" spans="1:11" x14ac:dyDescent="0.25">
      <c r="A418" s="5">
        <f t="shared" si="24"/>
        <v>2023</v>
      </c>
      <c r="B418" s="5">
        <f t="shared" si="25"/>
        <v>11</v>
      </c>
      <c r="C418" s="6">
        <v>45236</v>
      </c>
      <c r="D418" s="5" t="s">
        <v>65</v>
      </c>
      <c r="E418" s="5" t="s">
        <v>902</v>
      </c>
      <c r="G418" s="5">
        <v>-247.76</v>
      </c>
      <c r="H418" s="5">
        <f t="shared" si="26"/>
        <v>247.76</v>
      </c>
      <c r="I418" s="5">
        <v>-247.76</v>
      </c>
      <c r="J418" s="5">
        <f t="shared" si="27"/>
        <v>247.76</v>
      </c>
      <c r="K418" s="5">
        <v>11828.8</v>
      </c>
    </row>
    <row r="419" spans="1:11" x14ac:dyDescent="0.25">
      <c r="A419" s="5">
        <f t="shared" si="24"/>
        <v>2023</v>
      </c>
      <c r="B419" s="5">
        <f t="shared" si="25"/>
        <v>12</v>
      </c>
      <c r="C419" s="6">
        <v>45264</v>
      </c>
      <c r="D419" s="5" t="s">
        <v>87</v>
      </c>
      <c r="E419" s="5" t="s">
        <v>902</v>
      </c>
      <c r="G419" s="5">
        <v>-247.76</v>
      </c>
      <c r="H419" s="5">
        <f t="shared" si="26"/>
        <v>247.76</v>
      </c>
      <c r="I419" s="5">
        <v>-247.76</v>
      </c>
      <c r="J419" s="5">
        <f t="shared" si="27"/>
        <v>247.76</v>
      </c>
      <c r="K419" s="5">
        <v>19211.84</v>
      </c>
    </row>
    <row r="420" spans="1:11" x14ac:dyDescent="0.25">
      <c r="A420" s="5">
        <f t="shared" si="24"/>
        <v>2023</v>
      </c>
      <c r="B420" s="5">
        <f t="shared" si="25"/>
        <v>12</v>
      </c>
      <c r="C420" s="6">
        <v>45279</v>
      </c>
      <c r="D420" s="5" t="s">
        <v>103</v>
      </c>
      <c r="E420" s="5" t="s">
        <v>902</v>
      </c>
      <c r="G420" s="5">
        <v>-246.19</v>
      </c>
      <c r="H420" s="5">
        <f t="shared" si="26"/>
        <v>246.19</v>
      </c>
      <c r="I420" s="5">
        <v>-246.19</v>
      </c>
      <c r="J420" s="5">
        <f t="shared" si="27"/>
        <v>246.19</v>
      </c>
      <c r="K420" s="5">
        <v>42877.82</v>
      </c>
    </row>
    <row r="421" spans="1:11" x14ac:dyDescent="0.25">
      <c r="A421" s="5">
        <f t="shared" si="24"/>
        <v>2024</v>
      </c>
      <c r="B421" s="5">
        <f t="shared" si="25"/>
        <v>1</v>
      </c>
      <c r="C421" s="6">
        <v>45317</v>
      </c>
      <c r="D421" s="5" t="s">
        <v>157</v>
      </c>
      <c r="E421" s="5" t="s">
        <v>902</v>
      </c>
      <c r="G421" s="5">
        <v>-246.17</v>
      </c>
      <c r="H421" s="5">
        <f t="shared" si="26"/>
        <v>246.17</v>
      </c>
      <c r="I421" s="5">
        <v>-246.17</v>
      </c>
      <c r="J421" s="5">
        <f t="shared" si="27"/>
        <v>246.17</v>
      </c>
      <c r="K421" s="5">
        <v>27165.73</v>
      </c>
    </row>
    <row r="422" spans="1:11" x14ac:dyDescent="0.25">
      <c r="A422" s="5">
        <f t="shared" si="24"/>
        <v>2024</v>
      </c>
      <c r="B422" s="5">
        <f t="shared" si="25"/>
        <v>2</v>
      </c>
      <c r="C422" s="6">
        <v>45336</v>
      </c>
      <c r="D422" s="5" t="s">
        <v>185</v>
      </c>
      <c r="E422" s="5" t="s">
        <v>902</v>
      </c>
      <c r="G422" s="5">
        <v>-244.36</v>
      </c>
      <c r="H422" s="5">
        <f t="shared" si="26"/>
        <v>244.36</v>
      </c>
      <c r="I422" s="5">
        <v>-244.36</v>
      </c>
      <c r="J422" s="5">
        <f t="shared" si="27"/>
        <v>244.36</v>
      </c>
      <c r="K422" s="5">
        <v>16754.310000000001</v>
      </c>
    </row>
    <row r="423" spans="1:11" x14ac:dyDescent="0.25">
      <c r="A423" s="5">
        <f t="shared" si="24"/>
        <v>2023</v>
      </c>
      <c r="B423" s="5">
        <f t="shared" si="25"/>
        <v>10</v>
      </c>
      <c r="C423" s="6">
        <v>45203</v>
      </c>
      <c r="D423" s="5" t="s">
        <v>30</v>
      </c>
      <c r="E423" s="5" t="s">
        <v>902</v>
      </c>
      <c r="G423" s="5">
        <v>-238.04</v>
      </c>
      <c r="H423" s="5">
        <f t="shared" si="26"/>
        <v>238.04</v>
      </c>
      <c r="I423" s="5">
        <v>-238.04</v>
      </c>
      <c r="J423" s="5">
        <f t="shared" si="27"/>
        <v>238.04</v>
      </c>
      <c r="K423" s="5">
        <v>23150.92</v>
      </c>
    </row>
    <row r="424" spans="1:11" x14ac:dyDescent="0.25">
      <c r="A424" s="5">
        <f t="shared" si="24"/>
        <v>2023</v>
      </c>
      <c r="B424" s="5">
        <f t="shared" si="25"/>
        <v>10</v>
      </c>
      <c r="C424" s="6">
        <v>45215</v>
      </c>
      <c r="D424" s="5" t="s">
        <v>48</v>
      </c>
      <c r="E424" s="5" t="s">
        <v>902</v>
      </c>
      <c r="G424" s="5">
        <v>-238.01</v>
      </c>
      <c r="H424" s="5">
        <f t="shared" si="26"/>
        <v>238.01</v>
      </c>
      <c r="I424" s="5">
        <v>-238.01</v>
      </c>
      <c r="J424" s="5">
        <f t="shared" si="27"/>
        <v>238.01</v>
      </c>
      <c r="K424" s="5">
        <v>13691.78</v>
      </c>
    </row>
    <row r="425" spans="1:11" x14ac:dyDescent="0.25">
      <c r="A425" s="5">
        <f t="shared" si="24"/>
        <v>2024</v>
      </c>
      <c r="B425" s="5">
        <f t="shared" si="25"/>
        <v>10</v>
      </c>
      <c r="C425" s="6">
        <v>45596</v>
      </c>
      <c r="D425" s="5" t="s">
        <v>701</v>
      </c>
      <c r="E425" s="5" t="s">
        <v>902</v>
      </c>
      <c r="G425" s="5">
        <v>-237.99</v>
      </c>
      <c r="H425" s="5">
        <f t="shared" si="26"/>
        <v>237.99</v>
      </c>
      <c r="I425" s="5">
        <v>-237.99</v>
      </c>
      <c r="J425" s="5">
        <f t="shared" si="27"/>
        <v>237.99</v>
      </c>
      <c r="K425" s="5">
        <v>76398.009999999995</v>
      </c>
    </row>
    <row r="426" spans="1:11" x14ac:dyDescent="0.25">
      <c r="A426" s="5">
        <f t="shared" si="24"/>
        <v>2023</v>
      </c>
      <c r="B426" s="5">
        <f t="shared" si="25"/>
        <v>11</v>
      </c>
      <c r="C426" s="6">
        <v>45250</v>
      </c>
      <c r="D426" s="5" t="s">
        <v>77</v>
      </c>
      <c r="E426" s="5" t="s">
        <v>902</v>
      </c>
      <c r="G426" s="5">
        <v>-235.53</v>
      </c>
      <c r="H426" s="5">
        <f t="shared" si="26"/>
        <v>235.53</v>
      </c>
      <c r="I426" s="5">
        <v>-235.53</v>
      </c>
      <c r="J426" s="5">
        <f t="shared" si="27"/>
        <v>235.53</v>
      </c>
      <c r="K426" s="5">
        <v>22615.98</v>
      </c>
    </row>
    <row r="427" spans="1:11" x14ac:dyDescent="0.25">
      <c r="A427" s="5">
        <f t="shared" si="24"/>
        <v>2025</v>
      </c>
      <c r="B427" s="5">
        <f t="shared" si="25"/>
        <v>2</v>
      </c>
      <c r="C427" s="6">
        <v>45691</v>
      </c>
      <c r="D427" s="5" t="s">
        <v>855</v>
      </c>
      <c r="E427" s="5" t="s">
        <v>902</v>
      </c>
      <c r="G427" s="5">
        <v>-232.69</v>
      </c>
      <c r="H427" s="5">
        <f t="shared" si="26"/>
        <v>232.69</v>
      </c>
      <c r="I427" s="5">
        <v>-232.69</v>
      </c>
      <c r="J427" s="5">
        <f t="shared" si="27"/>
        <v>232.69</v>
      </c>
      <c r="K427" s="5">
        <v>60014.93</v>
      </c>
    </row>
    <row r="428" spans="1:11" x14ac:dyDescent="0.25">
      <c r="A428" s="5">
        <f t="shared" si="24"/>
        <v>2024</v>
      </c>
      <c r="B428" s="5">
        <f t="shared" si="25"/>
        <v>9</v>
      </c>
      <c r="C428" s="6">
        <v>45553</v>
      </c>
      <c r="D428" s="5" t="s">
        <v>594</v>
      </c>
      <c r="E428" s="5" t="s">
        <v>902</v>
      </c>
      <c r="G428" s="5">
        <v>-230.29</v>
      </c>
      <c r="H428" s="5">
        <f t="shared" si="26"/>
        <v>230.29</v>
      </c>
      <c r="I428" s="5">
        <v>-230.29</v>
      </c>
      <c r="J428" s="5">
        <f t="shared" si="27"/>
        <v>230.29</v>
      </c>
      <c r="K428" s="5">
        <v>85530.26</v>
      </c>
    </row>
    <row r="429" spans="1:11" x14ac:dyDescent="0.25">
      <c r="A429" s="5">
        <f t="shared" si="24"/>
        <v>2024</v>
      </c>
      <c r="B429" s="5">
        <f t="shared" si="25"/>
        <v>9</v>
      </c>
      <c r="C429" s="6">
        <v>45538</v>
      </c>
      <c r="D429" s="5" t="s">
        <v>308</v>
      </c>
      <c r="E429" s="5" t="s">
        <v>902</v>
      </c>
      <c r="G429" s="5">
        <v>-226.7</v>
      </c>
      <c r="H429" s="5">
        <f t="shared" si="26"/>
        <v>226.7</v>
      </c>
      <c r="I429" s="5">
        <v>-226.7</v>
      </c>
      <c r="J429" s="5">
        <f t="shared" si="27"/>
        <v>226.7</v>
      </c>
      <c r="K429" s="5">
        <v>70233.820000000007</v>
      </c>
    </row>
    <row r="430" spans="1:11" x14ac:dyDescent="0.25">
      <c r="A430" s="5">
        <f t="shared" si="24"/>
        <v>2024</v>
      </c>
      <c r="B430" s="5">
        <f t="shared" si="25"/>
        <v>10</v>
      </c>
      <c r="C430" s="6">
        <v>45596</v>
      </c>
      <c r="D430" s="5" t="s">
        <v>704</v>
      </c>
      <c r="E430" s="5" t="s">
        <v>902</v>
      </c>
      <c r="G430" s="5">
        <v>-225.51</v>
      </c>
      <c r="H430" s="5">
        <f t="shared" si="26"/>
        <v>225.51</v>
      </c>
      <c r="I430" s="5">
        <v>-225.51</v>
      </c>
      <c r="J430" s="5">
        <f t="shared" si="27"/>
        <v>225.51</v>
      </c>
      <c r="K430" s="5">
        <v>75208.83</v>
      </c>
    </row>
    <row r="431" spans="1:11" x14ac:dyDescent="0.25">
      <c r="A431" s="5">
        <f t="shared" si="24"/>
        <v>2024</v>
      </c>
      <c r="B431" s="5">
        <f t="shared" si="25"/>
        <v>2</v>
      </c>
      <c r="C431" s="6">
        <v>45351</v>
      </c>
      <c r="D431" s="5" t="s">
        <v>202</v>
      </c>
      <c r="E431" s="5" t="s">
        <v>902</v>
      </c>
      <c r="G431" s="5">
        <v>-222.36</v>
      </c>
      <c r="H431" s="5">
        <f t="shared" si="26"/>
        <v>222.36</v>
      </c>
      <c r="I431" s="5">
        <v>-222.36</v>
      </c>
      <c r="J431" s="5">
        <f t="shared" si="27"/>
        <v>222.36</v>
      </c>
      <c r="K431" s="5">
        <v>29100.04</v>
      </c>
    </row>
    <row r="432" spans="1:11" x14ac:dyDescent="0.25">
      <c r="A432" s="5">
        <f t="shared" si="24"/>
        <v>2023</v>
      </c>
      <c r="B432" s="5">
        <f t="shared" si="25"/>
        <v>12</v>
      </c>
      <c r="C432" s="6">
        <v>45271</v>
      </c>
      <c r="D432" s="5" t="s">
        <v>94</v>
      </c>
      <c r="E432" s="5" t="s">
        <v>902</v>
      </c>
      <c r="G432" s="5">
        <v>-219.81</v>
      </c>
      <c r="H432" s="5">
        <f t="shared" si="26"/>
        <v>219.81</v>
      </c>
      <c r="I432" s="5">
        <v>-219.81</v>
      </c>
      <c r="J432" s="5">
        <f t="shared" si="27"/>
        <v>219.81</v>
      </c>
      <c r="K432" s="5">
        <v>18380.87</v>
      </c>
    </row>
    <row r="433" spans="1:11" x14ac:dyDescent="0.25">
      <c r="A433" s="5">
        <f t="shared" si="24"/>
        <v>2024</v>
      </c>
      <c r="B433" s="5">
        <f t="shared" si="25"/>
        <v>11</v>
      </c>
      <c r="C433" s="6">
        <v>45614</v>
      </c>
      <c r="D433" s="5" t="s">
        <v>746</v>
      </c>
      <c r="E433" s="5" t="s">
        <v>902</v>
      </c>
      <c r="G433" s="5">
        <v>-219.27</v>
      </c>
      <c r="H433" s="5">
        <f t="shared" si="26"/>
        <v>219.27</v>
      </c>
      <c r="I433" s="5">
        <v>-219.27</v>
      </c>
      <c r="J433" s="5">
        <f t="shared" si="27"/>
        <v>219.27</v>
      </c>
      <c r="K433" s="5">
        <v>6287.9</v>
      </c>
    </row>
    <row r="434" spans="1:11" x14ac:dyDescent="0.25">
      <c r="A434" s="5">
        <f t="shared" si="24"/>
        <v>2024</v>
      </c>
      <c r="B434" s="5">
        <f t="shared" si="25"/>
        <v>8</v>
      </c>
      <c r="C434" s="6">
        <v>45511</v>
      </c>
      <c r="D434" s="5" t="s">
        <v>497</v>
      </c>
      <c r="E434" s="5" t="s">
        <v>902</v>
      </c>
      <c r="G434" s="5">
        <v>-218.07</v>
      </c>
      <c r="H434" s="5">
        <f t="shared" si="26"/>
        <v>218.07</v>
      </c>
      <c r="I434" s="5">
        <v>-218.07</v>
      </c>
      <c r="J434" s="5">
        <f t="shared" si="27"/>
        <v>218.07</v>
      </c>
      <c r="K434" s="5">
        <v>41414.620000000003</v>
      </c>
    </row>
    <row r="435" spans="1:11" x14ac:dyDescent="0.25">
      <c r="A435" s="5">
        <f t="shared" si="24"/>
        <v>2024</v>
      </c>
      <c r="B435" s="5">
        <f t="shared" si="25"/>
        <v>11</v>
      </c>
      <c r="C435" s="6">
        <v>45608</v>
      </c>
      <c r="D435" s="5" t="s">
        <v>730</v>
      </c>
      <c r="E435" s="5" t="s">
        <v>902</v>
      </c>
      <c r="G435" s="5">
        <v>-217.5</v>
      </c>
      <c r="H435" s="5">
        <f t="shared" si="26"/>
        <v>217.5</v>
      </c>
      <c r="I435" s="5">
        <v>-217.5</v>
      </c>
      <c r="J435" s="5">
        <f t="shared" si="27"/>
        <v>217.5</v>
      </c>
      <c r="K435" s="5">
        <v>50240.55</v>
      </c>
    </row>
    <row r="436" spans="1:11" x14ac:dyDescent="0.25">
      <c r="A436" s="5">
        <f t="shared" si="24"/>
        <v>2024</v>
      </c>
      <c r="B436" s="5">
        <f t="shared" si="25"/>
        <v>10</v>
      </c>
      <c r="C436" s="6">
        <v>45583</v>
      </c>
      <c r="D436" s="5" t="s">
        <v>677</v>
      </c>
      <c r="E436" s="5" t="s">
        <v>902</v>
      </c>
      <c r="G436" s="5">
        <v>-217</v>
      </c>
      <c r="H436" s="5">
        <f t="shared" si="26"/>
        <v>217</v>
      </c>
      <c r="I436" s="5">
        <v>-217</v>
      </c>
      <c r="J436" s="5">
        <f t="shared" si="27"/>
        <v>217</v>
      </c>
      <c r="K436" s="5">
        <v>96532.88</v>
      </c>
    </row>
    <row r="437" spans="1:11" x14ac:dyDescent="0.25">
      <c r="A437" s="5">
        <f t="shared" si="24"/>
        <v>2024</v>
      </c>
      <c r="B437" s="5">
        <f t="shared" si="25"/>
        <v>10</v>
      </c>
      <c r="C437" s="6">
        <v>45596</v>
      </c>
      <c r="D437" s="5" t="s">
        <v>707</v>
      </c>
      <c r="E437" s="5" t="s">
        <v>902</v>
      </c>
      <c r="G437" s="5">
        <v>-212.68</v>
      </c>
      <c r="H437" s="5">
        <f t="shared" si="26"/>
        <v>212.68</v>
      </c>
      <c r="I437" s="5">
        <v>-212.68</v>
      </c>
      <c r="J437" s="5">
        <f t="shared" si="27"/>
        <v>212.68</v>
      </c>
      <c r="K437" s="5">
        <v>71986.63</v>
      </c>
    </row>
    <row r="438" spans="1:11" x14ac:dyDescent="0.25">
      <c r="A438" s="5">
        <f t="shared" si="24"/>
        <v>2024</v>
      </c>
      <c r="B438" s="5">
        <f t="shared" si="25"/>
        <v>8</v>
      </c>
      <c r="C438" s="6">
        <v>45513</v>
      </c>
      <c r="D438" s="5" t="s">
        <v>503</v>
      </c>
      <c r="E438" s="5" t="s">
        <v>902</v>
      </c>
      <c r="G438" s="5">
        <v>-212.5</v>
      </c>
      <c r="H438" s="5">
        <f t="shared" si="26"/>
        <v>212.5</v>
      </c>
      <c r="I438" s="5">
        <v>-212.5</v>
      </c>
      <c r="J438" s="5">
        <f t="shared" si="27"/>
        <v>212.5</v>
      </c>
      <c r="K438" s="5">
        <v>16718.650000000001</v>
      </c>
    </row>
    <row r="439" spans="1:11" x14ac:dyDescent="0.25">
      <c r="A439" s="5">
        <f t="shared" si="24"/>
        <v>2024</v>
      </c>
      <c r="B439" s="5">
        <f t="shared" si="25"/>
        <v>4</v>
      </c>
      <c r="C439" s="6">
        <v>45383</v>
      </c>
      <c r="D439" s="5" t="s">
        <v>258</v>
      </c>
      <c r="E439" s="5" t="s">
        <v>902</v>
      </c>
      <c r="G439" s="5">
        <v>-210.34</v>
      </c>
      <c r="H439" s="5">
        <f t="shared" si="26"/>
        <v>210.34</v>
      </c>
      <c r="I439" s="5">
        <v>-210.34</v>
      </c>
      <c r="J439" s="5">
        <f t="shared" si="27"/>
        <v>210.34</v>
      </c>
      <c r="K439" s="5">
        <v>24126.21</v>
      </c>
    </row>
    <row r="440" spans="1:11" x14ac:dyDescent="0.25">
      <c r="A440" s="5">
        <f t="shared" si="24"/>
        <v>2024</v>
      </c>
      <c r="B440" s="5">
        <f t="shared" si="25"/>
        <v>7</v>
      </c>
      <c r="C440" s="6">
        <v>45491</v>
      </c>
      <c r="D440" s="5" t="s">
        <v>448</v>
      </c>
      <c r="E440" s="5" t="s">
        <v>902</v>
      </c>
      <c r="G440" s="5">
        <v>-206.41</v>
      </c>
      <c r="H440" s="5">
        <f t="shared" si="26"/>
        <v>206.41</v>
      </c>
      <c r="I440" s="5">
        <v>-206.41</v>
      </c>
      <c r="J440" s="5">
        <f t="shared" si="27"/>
        <v>206.41</v>
      </c>
      <c r="K440" s="5">
        <v>50752.99</v>
      </c>
    </row>
    <row r="441" spans="1:11" x14ac:dyDescent="0.25">
      <c r="A441" s="5">
        <f t="shared" si="24"/>
        <v>2024</v>
      </c>
      <c r="B441" s="5">
        <f t="shared" si="25"/>
        <v>12</v>
      </c>
      <c r="C441" s="6">
        <v>45653</v>
      </c>
      <c r="D441" s="5" t="s">
        <v>801</v>
      </c>
      <c r="E441" s="5" t="s">
        <v>902</v>
      </c>
      <c r="G441" s="5">
        <v>-205.62</v>
      </c>
      <c r="H441" s="5">
        <f t="shared" si="26"/>
        <v>205.62</v>
      </c>
      <c r="I441" s="5">
        <v>-205.62</v>
      </c>
      <c r="J441" s="5">
        <f t="shared" si="27"/>
        <v>205.62</v>
      </c>
      <c r="K441" s="5">
        <v>93139.11</v>
      </c>
    </row>
    <row r="442" spans="1:11" x14ac:dyDescent="0.25">
      <c r="A442" s="5">
        <f t="shared" si="24"/>
        <v>2025</v>
      </c>
      <c r="B442" s="5">
        <f t="shared" si="25"/>
        <v>1</v>
      </c>
      <c r="C442" s="6">
        <v>45660</v>
      </c>
      <c r="D442" s="5" t="s">
        <v>820</v>
      </c>
      <c r="E442" s="5" t="s">
        <v>902</v>
      </c>
      <c r="G442" s="5">
        <v>-204.38</v>
      </c>
      <c r="H442" s="5">
        <f t="shared" si="26"/>
        <v>204.38</v>
      </c>
      <c r="I442" s="5">
        <v>-204.38</v>
      </c>
      <c r="J442" s="5">
        <f t="shared" si="27"/>
        <v>204.38</v>
      </c>
      <c r="K442" s="5">
        <v>60115.38</v>
      </c>
    </row>
    <row r="443" spans="1:11" x14ac:dyDescent="0.25">
      <c r="A443" s="5">
        <f t="shared" si="24"/>
        <v>2024</v>
      </c>
      <c r="B443" s="5">
        <f t="shared" si="25"/>
        <v>5</v>
      </c>
      <c r="C443" s="6">
        <v>45414</v>
      </c>
      <c r="D443" s="5" t="s">
        <v>310</v>
      </c>
      <c r="E443" s="5" t="s">
        <v>902</v>
      </c>
      <c r="G443" s="5">
        <v>-204</v>
      </c>
      <c r="H443" s="5">
        <f t="shared" si="26"/>
        <v>204</v>
      </c>
      <c r="I443" s="5">
        <v>-204</v>
      </c>
      <c r="J443" s="5">
        <f t="shared" si="27"/>
        <v>204</v>
      </c>
      <c r="K443" s="5">
        <v>27669.25</v>
      </c>
    </row>
    <row r="444" spans="1:11" x14ac:dyDescent="0.25">
      <c r="A444" s="5">
        <f t="shared" si="24"/>
        <v>2024</v>
      </c>
      <c r="B444" s="5">
        <f t="shared" si="25"/>
        <v>7</v>
      </c>
      <c r="C444" s="6">
        <v>45488</v>
      </c>
      <c r="D444" s="5" t="s">
        <v>440</v>
      </c>
      <c r="E444" s="5" t="s">
        <v>902</v>
      </c>
      <c r="G444" s="5">
        <v>-202.94</v>
      </c>
      <c r="H444" s="5">
        <f t="shared" si="26"/>
        <v>202.94</v>
      </c>
      <c r="I444" s="5">
        <v>-202.94</v>
      </c>
      <c r="J444" s="5">
        <f t="shared" si="27"/>
        <v>202.94</v>
      </c>
      <c r="K444" s="5">
        <v>63553.69</v>
      </c>
    </row>
    <row r="445" spans="1:11" x14ac:dyDescent="0.25">
      <c r="A445" s="5">
        <f t="shared" si="24"/>
        <v>2024</v>
      </c>
      <c r="B445" s="5">
        <f t="shared" si="25"/>
        <v>9</v>
      </c>
      <c r="C445" s="6">
        <v>45561</v>
      </c>
      <c r="D445" s="5" t="s">
        <v>613</v>
      </c>
      <c r="E445" s="5" t="s">
        <v>902</v>
      </c>
      <c r="G445" s="5">
        <v>-202.73</v>
      </c>
      <c r="H445" s="5">
        <f t="shared" si="26"/>
        <v>202.73</v>
      </c>
      <c r="I445" s="5">
        <v>-202.73</v>
      </c>
      <c r="J445" s="5">
        <f t="shared" si="27"/>
        <v>202.73</v>
      </c>
      <c r="K445" s="5">
        <v>82975.55</v>
      </c>
    </row>
    <row r="446" spans="1:11" x14ac:dyDescent="0.25">
      <c r="A446" s="5">
        <f t="shared" si="24"/>
        <v>2024</v>
      </c>
      <c r="B446" s="5">
        <f t="shared" si="25"/>
        <v>3</v>
      </c>
      <c r="C446" s="6">
        <v>45362</v>
      </c>
      <c r="D446" s="5" t="s">
        <v>226</v>
      </c>
      <c r="E446" s="5" t="s">
        <v>902</v>
      </c>
      <c r="G446" s="5">
        <v>-200.07</v>
      </c>
      <c r="H446" s="5">
        <f t="shared" si="26"/>
        <v>200.07</v>
      </c>
      <c r="I446" s="5">
        <v>-200.07</v>
      </c>
      <c r="J446" s="5">
        <f t="shared" si="27"/>
        <v>200.07</v>
      </c>
      <c r="K446" s="5">
        <v>27177.919999999998</v>
      </c>
    </row>
    <row r="447" spans="1:11" x14ac:dyDescent="0.25">
      <c r="A447" s="5">
        <f t="shared" si="24"/>
        <v>2024</v>
      </c>
      <c r="B447" s="5">
        <f t="shared" si="25"/>
        <v>3</v>
      </c>
      <c r="C447" s="6">
        <v>45355</v>
      </c>
      <c r="D447" s="5" t="s">
        <v>208</v>
      </c>
      <c r="E447" s="5" t="s">
        <v>902</v>
      </c>
      <c r="G447" s="5">
        <v>-200.06</v>
      </c>
      <c r="H447" s="5">
        <f t="shared" si="26"/>
        <v>200.06</v>
      </c>
      <c r="I447" s="5">
        <v>-200.06</v>
      </c>
      <c r="J447" s="5">
        <f t="shared" si="27"/>
        <v>200.06</v>
      </c>
      <c r="K447" s="5">
        <v>28156.86</v>
      </c>
    </row>
    <row r="448" spans="1:11" x14ac:dyDescent="0.25">
      <c r="A448" s="5">
        <f t="shared" si="24"/>
        <v>2024</v>
      </c>
      <c r="B448" s="5">
        <f t="shared" si="25"/>
        <v>2</v>
      </c>
      <c r="C448" s="6">
        <v>45337</v>
      </c>
      <c r="D448" s="5" t="s">
        <v>186</v>
      </c>
      <c r="E448" s="5" t="s">
        <v>902</v>
      </c>
      <c r="G448" s="5">
        <v>-200</v>
      </c>
      <c r="H448" s="5">
        <f t="shared" si="26"/>
        <v>200</v>
      </c>
      <c r="I448" s="5">
        <v>-200</v>
      </c>
      <c r="J448" s="5">
        <f t="shared" si="27"/>
        <v>200</v>
      </c>
      <c r="K448" s="5">
        <v>16554.310000000001</v>
      </c>
    </row>
    <row r="449" spans="1:11" x14ac:dyDescent="0.25">
      <c r="A449" s="5">
        <f t="shared" si="24"/>
        <v>2024</v>
      </c>
      <c r="B449" s="5">
        <f t="shared" si="25"/>
        <v>3</v>
      </c>
      <c r="C449" s="6">
        <v>45369</v>
      </c>
      <c r="D449" s="5" t="s">
        <v>233</v>
      </c>
      <c r="E449" s="5" t="s">
        <v>902</v>
      </c>
      <c r="G449" s="5">
        <v>-194.16</v>
      </c>
      <c r="H449" s="5">
        <f t="shared" si="26"/>
        <v>194.16</v>
      </c>
      <c r="I449" s="5">
        <v>-194.16</v>
      </c>
      <c r="J449" s="5">
        <f t="shared" si="27"/>
        <v>194.16</v>
      </c>
      <c r="K449" s="5">
        <v>28802.799999999999</v>
      </c>
    </row>
    <row r="450" spans="1:11" x14ac:dyDescent="0.25">
      <c r="A450" s="5">
        <f t="shared" si="24"/>
        <v>2024</v>
      </c>
      <c r="B450" s="5">
        <f t="shared" si="25"/>
        <v>7</v>
      </c>
      <c r="C450" s="6">
        <v>45503</v>
      </c>
      <c r="D450" s="5" t="s">
        <v>476</v>
      </c>
      <c r="E450" s="5" t="s">
        <v>902</v>
      </c>
      <c r="G450" s="5">
        <v>-193.1</v>
      </c>
      <c r="H450" s="5">
        <f t="shared" si="26"/>
        <v>193.1</v>
      </c>
      <c r="I450" s="5">
        <v>-193.1</v>
      </c>
      <c r="J450" s="5">
        <f t="shared" si="27"/>
        <v>193.1</v>
      </c>
      <c r="K450" s="5">
        <v>31745.16</v>
      </c>
    </row>
    <row r="451" spans="1:11" x14ac:dyDescent="0.25">
      <c r="A451" s="5">
        <f t="shared" ref="A451:A514" si="28">YEAR(C451)</f>
        <v>2024</v>
      </c>
      <c r="B451" s="5">
        <f t="shared" ref="B451:B514" si="29">MONTH(C451)</f>
        <v>10</v>
      </c>
      <c r="C451" s="6">
        <v>45569</v>
      </c>
      <c r="D451" s="5" t="s">
        <v>650</v>
      </c>
      <c r="E451" s="5" t="s">
        <v>902</v>
      </c>
      <c r="G451" s="5">
        <v>-189</v>
      </c>
      <c r="H451" s="5">
        <f t="shared" ref="H451:H514" si="30">(-1*G451)</f>
        <v>189</v>
      </c>
      <c r="I451" s="5">
        <v>-189</v>
      </c>
      <c r="J451" s="5">
        <f t="shared" ref="J451:J514" si="31">(F451+H451)</f>
        <v>189</v>
      </c>
      <c r="K451" s="5">
        <v>41971.77</v>
      </c>
    </row>
    <row r="452" spans="1:11" x14ac:dyDescent="0.25">
      <c r="A452" s="5">
        <f t="shared" si="28"/>
        <v>2024</v>
      </c>
      <c r="B452" s="5">
        <f t="shared" si="29"/>
        <v>6</v>
      </c>
      <c r="C452" s="6">
        <v>45471</v>
      </c>
      <c r="D452" s="5" t="s">
        <v>407</v>
      </c>
      <c r="E452" s="5" t="s">
        <v>902</v>
      </c>
      <c r="G452" s="5">
        <v>-186.62</v>
      </c>
      <c r="H452" s="5">
        <f t="shared" si="30"/>
        <v>186.62</v>
      </c>
      <c r="I452" s="5">
        <v>-186.62</v>
      </c>
      <c r="J452" s="5">
        <f t="shared" si="31"/>
        <v>186.62</v>
      </c>
      <c r="K452" s="5">
        <v>66853.789999999994</v>
      </c>
    </row>
    <row r="453" spans="1:11" x14ac:dyDescent="0.25">
      <c r="A453" s="5">
        <f t="shared" si="28"/>
        <v>2024</v>
      </c>
      <c r="B453" s="5">
        <f t="shared" si="29"/>
        <v>3</v>
      </c>
      <c r="C453" s="6">
        <v>45379</v>
      </c>
      <c r="D453" s="5" t="s">
        <v>254</v>
      </c>
      <c r="E453" s="5" t="s">
        <v>902</v>
      </c>
      <c r="G453" s="5">
        <v>-186.25</v>
      </c>
      <c r="H453" s="5">
        <f t="shared" si="30"/>
        <v>186.25</v>
      </c>
      <c r="I453" s="5">
        <v>-186.25</v>
      </c>
      <c r="J453" s="5">
        <f t="shared" si="31"/>
        <v>186.25</v>
      </c>
      <c r="K453" s="5">
        <v>21509.56</v>
      </c>
    </row>
    <row r="454" spans="1:11" x14ac:dyDescent="0.25">
      <c r="A454" s="5">
        <f t="shared" si="28"/>
        <v>2023</v>
      </c>
      <c r="B454" s="5">
        <f t="shared" si="29"/>
        <v>12</v>
      </c>
      <c r="C454" s="6">
        <v>45288</v>
      </c>
      <c r="D454" s="5" t="s">
        <v>111</v>
      </c>
      <c r="E454" s="5" t="s">
        <v>902</v>
      </c>
      <c r="G454" s="5">
        <v>-182.65</v>
      </c>
      <c r="H454" s="5">
        <f t="shared" si="30"/>
        <v>182.65</v>
      </c>
      <c r="I454" s="5">
        <v>-182.65</v>
      </c>
      <c r="J454" s="5">
        <f t="shared" si="31"/>
        <v>182.65</v>
      </c>
      <c r="K454" s="5">
        <v>62324.81</v>
      </c>
    </row>
    <row r="455" spans="1:11" x14ac:dyDescent="0.25">
      <c r="A455" s="5">
        <f t="shared" si="28"/>
        <v>2024</v>
      </c>
      <c r="B455" s="5">
        <f t="shared" si="29"/>
        <v>10</v>
      </c>
      <c r="C455" s="6">
        <v>45583</v>
      </c>
      <c r="D455" s="5" t="s">
        <v>683</v>
      </c>
      <c r="E455" s="5" t="s">
        <v>902</v>
      </c>
      <c r="G455" s="5">
        <v>-182.54</v>
      </c>
      <c r="H455" s="5">
        <f t="shared" si="30"/>
        <v>182.54</v>
      </c>
      <c r="I455" s="5">
        <v>-182.54</v>
      </c>
      <c r="J455" s="5">
        <f t="shared" si="31"/>
        <v>182.54</v>
      </c>
      <c r="K455" s="5">
        <v>63057.63</v>
      </c>
    </row>
    <row r="456" spans="1:11" x14ac:dyDescent="0.25">
      <c r="A456" s="5">
        <f t="shared" si="28"/>
        <v>2024</v>
      </c>
      <c r="B456" s="5">
        <f t="shared" si="29"/>
        <v>9</v>
      </c>
      <c r="C456" s="6">
        <v>45538</v>
      </c>
      <c r="D456" s="5" t="s">
        <v>551</v>
      </c>
      <c r="E456" s="5" t="s">
        <v>902</v>
      </c>
      <c r="G456" s="5">
        <v>-182.11</v>
      </c>
      <c r="H456" s="5">
        <f t="shared" si="30"/>
        <v>182.11</v>
      </c>
      <c r="I456" s="5">
        <v>-182.11</v>
      </c>
      <c r="J456" s="5">
        <f t="shared" si="31"/>
        <v>182.11</v>
      </c>
      <c r="K456" s="5">
        <v>76551.37</v>
      </c>
    </row>
    <row r="457" spans="1:11" x14ac:dyDescent="0.25">
      <c r="A457" s="5">
        <f t="shared" si="28"/>
        <v>2024</v>
      </c>
      <c r="B457" s="5">
        <f t="shared" si="29"/>
        <v>7</v>
      </c>
      <c r="C457" s="6">
        <v>45491</v>
      </c>
      <c r="D457" s="5" t="s">
        <v>447</v>
      </c>
      <c r="E457" s="5" t="s">
        <v>902</v>
      </c>
      <c r="G457" s="5">
        <v>-181.98</v>
      </c>
      <c r="H457" s="5">
        <f t="shared" si="30"/>
        <v>181.98</v>
      </c>
      <c r="I457" s="5">
        <v>-181.98</v>
      </c>
      <c r="J457" s="5">
        <f t="shared" si="31"/>
        <v>181.98</v>
      </c>
      <c r="K457" s="5">
        <v>50959.4</v>
      </c>
    </row>
    <row r="458" spans="1:11" x14ac:dyDescent="0.25">
      <c r="A458" s="5">
        <f t="shared" si="28"/>
        <v>2024</v>
      </c>
      <c r="B458" s="5">
        <f t="shared" si="29"/>
        <v>3</v>
      </c>
      <c r="C458" s="6">
        <v>45355</v>
      </c>
      <c r="D458" s="5" t="s">
        <v>206</v>
      </c>
      <c r="E458" s="5" t="s">
        <v>902</v>
      </c>
      <c r="G458" s="5">
        <v>-181.24</v>
      </c>
      <c r="H458" s="5">
        <f t="shared" si="30"/>
        <v>181.24</v>
      </c>
      <c r="I458" s="5">
        <v>-181.24</v>
      </c>
      <c r="J458" s="5">
        <f t="shared" si="31"/>
        <v>181.24</v>
      </c>
      <c r="K458" s="5">
        <v>28376.05</v>
      </c>
    </row>
    <row r="459" spans="1:11" x14ac:dyDescent="0.25">
      <c r="A459" s="5">
        <f t="shared" si="28"/>
        <v>2024</v>
      </c>
      <c r="B459" s="5">
        <f t="shared" si="29"/>
        <v>2</v>
      </c>
      <c r="C459" s="6">
        <v>45342</v>
      </c>
      <c r="D459" s="5" t="s">
        <v>189</v>
      </c>
      <c r="E459" s="5" t="s">
        <v>902</v>
      </c>
      <c r="G459" s="5">
        <v>-180.36</v>
      </c>
      <c r="H459" s="5">
        <f t="shared" si="30"/>
        <v>180.36</v>
      </c>
      <c r="I459" s="5">
        <v>-180.36</v>
      </c>
      <c r="J459" s="5">
        <f t="shared" si="31"/>
        <v>180.36</v>
      </c>
      <c r="K459" s="5">
        <v>16242.98</v>
      </c>
    </row>
    <row r="460" spans="1:11" x14ac:dyDescent="0.25">
      <c r="A460" s="5">
        <f t="shared" si="28"/>
        <v>2025</v>
      </c>
      <c r="B460" s="5">
        <f t="shared" si="29"/>
        <v>1</v>
      </c>
      <c r="C460" s="6">
        <v>45659</v>
      </c>
      <c r="D460" s="5" t="s">
        <v>809</v>
      </c>
      <c r="E460" s="5" t="s">
        <v>902</v>
      </c>
      <c r="G460" s="5">
        <v>-180</v>
      </c>
      <c r="H460" s="5">
        <f t="shared" si="30"/>
        <v>180</v>
      </c>
      <c r="I460" s="5">
        <v>-180</v>
      </c>
      <c r="J460" s="5">
        <f t="shared" si="31"/>
        <v>180</v>
      </c>
      <c r="K460" s="5">
        <v>150664.17000000001</v>
      </c>
    </row>
    <row r="461" spans="1:11" x14ac:dyDescent="0.25">
      <c r="A461" s="5">
        <f t="shared" si="28"/>
        <v>2025</v>
      </c>
      <c r="B461" s="5">
        <f t="shared" si="29"/>
        <v>1</v>
      </c>
      <c r="C461" s="6">
        <v>45659</v>
      </c>
      <c r="D461" s="5" t="s">
        <v>815</v>
      </c>
      <c r="E461" s="5" t="s">
        <v>902</v>
      </c>
      <c r="G461" s="5">
        <v>-179.71</v>
      </c>
      <c r="H461" s="5">
        <f t="shared" si="30"/>
        <v>179.71</v>
      </c>
      <c r="I461" s="5">
        <v>-179.71</v>
      </c>
      <c r="J461" s="5">
        <f t="shared" si="31"/>
        <v>179.71</v>
      </c>
      <c r="K461" s="5">
        <v>150214.60999999999</v>
      </c>
    </row>
    <row r="462" spans="1:11" x14ac:dyDescent="0.25">
      <c r="A462" s="5">
        <f t="shared" si="28"/>
        <v>2024</v>
      </c>
      <c r="B462" s="5">
        <f t="shared" si="29"/>
        <v>4</v>
      </c>
      <c r="C462" s="6">
        <v>45384</v>
      </c>
      <c r="D462" s="5" t="s">
        <v>260</v>
      </c>
      <c r="E462" s="5" t="s">
        <v>902</v>
      </c>
      <c r="G462" s="5">
        <v>-178.37</v>
      </c>
      <c r="H462" s="5">
        <f t="shared" si="30"/>
        <v>178.37</v>
      </c>
      <c r="I462" s="5">
        <v>-178.37</v>
      </c>
      <c r="J462" s="5">
        <f t="shared" si="31"/>
        <v>178.37</v>
      </c>
      <c r="K462" s="5">
        <v>35146.839999999997</v>
      </c>
    </row>
    <row r="463" spans="1:11" x14ac:dyDescent="0.25">
      <c r="A463" s="5">
        <f t="shared" si="28"/>
        <v>2024</v>
      </c>
      <c r="B463" s="5">
        <f t="shared" si="29"/>
        <v>10</v>
      </c>
      <c r="C463" s="6">
        <v>45581</v>
      </c>
      <c r="D463" s="5" t="s">
        <v>674</v>
      </c>
      <c r="E463" s="5" t="s">
        <v>902</v>
      </c>
      <c r="G463" s="5">
        <v>-174.7</v>
      </c>
      <c r="H463" s="5">
        <f t="shared" si="30"/>
        <v>174.7</v>
      </c>
      <c r="I463" s="5">
        <v>-174.7</v>
      </c>
      <c r="J463" s="5">
        <f t="shared" si="31"/>
        <v>174.7</v>
      </c>
      <c r="K463" s="5">
        <v>98052.800000000003</v>
      </c>
    </row>
    <row r="464" spans="1:11" x14ac:dyDescent="0.25">
      <c r="A464" s="5">
        <f t="shared" si="28"/>
        <v>2024</v>
      </c>
      <c r="B464" s="5">
        <f t="shared" si="29"/>
        <v>11</v>
      </c>
      <c r="C464" s="6">
        <v>45600</v>
      </c>
      <c r="D464" s="5" t="s">
        <v>718</v>
      </c>
      <c r="E464" s="5" t="s">
        <v>902</v>
      </c>
      <c r="G464" s="5">
        <v>-173.23</v>
      </c>
      <c r="H464" s="5">
        <f t="shared" si="30"/>
        <v>173.23</v>
      </c>
      <c r="I464" s="5">
        <v>-173.23</v>
      </c>
      <c r="J464" s="5">
        <f t="shared" si="31"/>
        <v>173.23</v>
      </c>
      <c r="K464" s="5">
        <v>41699.25</v>
      </c>
    </row>
    <row r="465" spans="1:11" x14ac:dyDescent="0.25">
      <c r="A465" s="5">
        <f t="shared" si="28"/>
        <v>2024</v>
      </c>
      <c r="B465" s="5">
        <f t="shared" si="29"/>
        <v>5</v>
      </c>
      <c r="C465" s="6">
        <v>45422</v>
      </c>
      <c r="D465" s="5" t="s">
        <v>329</v>
      </c>
      <c r="E465" s="5" t="s">
        <v>902</v>
      </c>
      <c r="G465" s="5">
        <v>-172.37</v>
      </c>
      <c r="H465" s="5">
        <f t="shared" si="30"/>
        <v>172.37</v>
      </c>
      <c r="I465" s="5">
        <v>-172.37</v>
      </c>
      <c r="J465" s="5">
        <f t="shared" si="31"/>
        <v>172.37</v>
      </c>
      <c r="K465" s="5">
        <v>6978.67</v>
      </c>
    </row>
    <row r="466" spans="1:11" x14ac:dyDescent="0.25">
      <c r="A466" s="5">
        <f t="shared" si="28"/>
        <v>2024</v>
      </c>
      <c r="B466" s="5">
        <f t="shared" si="29"/>
        <v>10</v>
      </c>
      <c r="C466" s="6">
        <v>45572</v>
      </c>
      <c r="D466" s="5" t="s">
        <v>653</v>
      </c>
      <c r="E466" s="5" t="s">
        <v>902</v>
      </c>
      <c r="G466" s="5">
        <v>-171.22</v>
      </c>
      <c r="H466" s="5">
        <f t="shared" si="30"/>
        <v>171.22</v>
      </c>
      <c r="I466" s="5">
        <v>-171.22</v>
      </c>
      <c r="J466" s="5">
        <f t="shared" si="31"/>
        <v>171.22</v>
      </c>
      <c r="K466" s="5">
        <v>69885.11</v>
      </c>
    </row>
    <row r="467" spans="1:11" x14ac:dyDescent="0.25">
      <c r="A467" s="5">
        <f t="shared" si="28"/>
        <v>2025</v>
      </c>
      <c r="B467" s="5">
        <f t="shared" si="29"/>
        <v>1</v>
      </c>
      <c r="C467" s="6">
        <v>45659</v>
      </c>
      <c r="D467" s="5" t="s">
        <v>813</v>
      </c>
      <c r="E467" s="5" t="s">
        <v>902</v>
      </c>
      <c r="G467" s="5">
        <v>-169.83</v>
      </c>
      <c r="H467" s="5">
        <f t="shared" si="30"/>
        <v>169.83</v>
      </c>
      <c r="I467" s="5">
        <v>-169.83</v>
      </c>
      <c r="J467" s="5">
        <f t="shared" si="31"/>
        <v>169.83</v>
      </c>
      <c r="K467" s="5">
        <v>150402.79</v>
      </c>
    </row>
    <row r="468" spans="1:11" x14ac:dyDescent="0.25">
      <c r="A468" s="5">
        <f t="shared" si="28"/>
        <v>2024</v>
      </c>
      <c r="B468" s="5">
        <f t="shared" si="29"/>
        <v>8</v>
      </c>
      <c r="C468" s="6">
        <v>45527</v>
      </c>
      <c r="D468" s="5" t="s">
        <v>528</v>
      </c>
      <c r="E468" s="5" t="s">
        <v>902</v>
      </c>
      <c r="G468" s="5">
        <v>-169.81</v>
      </c>
      <c r="H468" s="5">
        <f t="shared" si="30"/>
        <v>169.81</v>
      </c>
      <c r="I468" s="5">
        <v>-169.81</v>
      </c>
      <c r="J468" s="5">
        <f t="shared" si="31"/>
        <v>169.81</v>
      </c>
      <c r="K468" s="5">
        <v>23873.99</v>
      </c>
    </row>
    <row r="469" spans="1:11" x14ac:dyDescent="0.25">
      <c r="A469" s="5">
        <f t="shared" si="28"/>
        <v>2024</v>
      </c>
      <c r="B469" s="5">
        <f t="shared" si="29"/>
        <v>1</v>
      </c>
      <c r="C469" s="6">
        <v>45321</v>
      </c>
      <c r="D469" s="5" t="s">
        <v>163</v>
      </c>
      <c r="E469" s="5" t="s">
        <v>902</v>
      </c>
      <c r="G469" s="5">
        <v>-169.58</v>
      </c>
      <c r="H469" s="5">
        <f t="shared" si="30"/>
        <v>169.58</v>
      </c>
      <c r="I469" s="5">
        <v>-169.58</v>
      </c>
      <c r="J469" s="5">
        <f t="shared" si="31"/>
        <v>169.58</v>
      </c>
      <c r="K469" s="5">
        <v>26304.38</v>
      </c>
    </row>
    <row r="470" spans="1:11" x14ac:dyDescent="0.25">
      <c r="A470" s="5">
        <f t="shared" si="28"/>
        <v>2024</v>
      </c>
      <c r="B470" s="5">
        <f t="shared" si="29"/>
        <v>5</v>
      </c>
      <c r="C470" s="6">
        <v>45440</v>
      </c>
      <c r="D470" s="5" t="s">
        <v>352</v>
      </c>
      <c r="E470" s="5" t="s">
        <v>902</v>
      </c>
      <c r="G470" s="5">
        <v>-168.79</v>
      </c>
      <c r="H470" s="5">
        <f t="shared" si="30"/>
        <v>168.79</v>
      </c>
      <c r="I470" s="5">
        <v>-168.79</v>
      </c>
      <c r="J470" s="5">
        <f t="shared" si="31"/>
        <v>168.79</v>
      </c>
      <c r="K470" s="5">
        <v>26900.75</v>
      </c>
    </row>
    <row r="471" spans="1:11" x14ac:dyDescent="0.25">
      <c r="A471" s="5">
        <f t="shared" si="28"/>
        <v>2024</v>
      </c>
      <c r="B471" s="5">
        <f t="shared" si="29"/>
        <v>7</v>
      </c>
      <c r="C471" s="6">
        <v>45496</v>
      </c>
      <c r="D471" s="5" t="s">
        <v>457</v>
      </c>
      <c r="E471" s="5" t="s">
        <v>902</v>
      </c>
      <c r="G471" s="5">
        <v>-167</v>
      </c>
      <c r="H471" s="5">
        <f t="shared" si="30"/>
        <v>167</v>
      </c>
      <c r="I471" s="5">
        <v>-167</v>
      </c>
      <c r="J471" s="5">
        <f t="shared" si="31"/>
        <v>167</v>
      </c>
      <c r="K471" s="5">
        <v>49030.5</v>
      </c>
    </row>
    <row r="472" spans="1:11" x14ac:dyDescent="0.25">
      <c r="A472" s="5">
        <f t="shared" si="28"/>
        <v>2024</v>
      </c>
      <c r="B472" s="5">
        <f t="shared" si="29"/>
        <v>8</v>
      </c>
      <c r="C472" s="6">
        <v>45513</v>
      </c>
      <c r="D472" s="5" t="s">
        <v>504</v>
      </c>
      <c r="E472" s="5" t="s">
        <v>902</v>
      </c>
      <c r="G472" s="5">
        <v>-166.49</v>
      </c>
      <c r="H472" s="5">
        <f t="shared" si="30"/>
        <v>166.49</v>
      </c>
      <c r="I472" s="5">
        <v>-166.49</v>
      </c>
      <c r="J472" s="5">
        <f t="shared" si="31"/>
        <v>166.49</v>
      </c>
      <c r="K472" s="5">
        <v>16552.16</v>
      </c>
    </row>
    <row r="473" spans="1:11" x14ac:dyDescent="0.25">
      <c r="A473" s="5">
        <f t="shared" si="28"/>
        <v>2024</v>
      </c>
      <c r="B473" s="5">
        <f t="shared" si="29"/>
        <v>8</v>
      </c>
      <c r="C473" s="6">
        <v>45526</v>
      </c>
      <c r="D473" s="5" t="s">
        <v>522</v>
      </c>
      <c r="E473" s="5" t="s">
        <v>902</v>
      </c>
      <c r="G473" s="5">
        <v>-165.88</v>
      </c>
      <c r="H473" s="5">
        <f t="shared" si="30"/>
        <v>165.88</v>
      </c>
      <c r="I473" s="5">
        <v>-165.88</v>
      </c>
      <c r="J473" s="5">
        <f t="shared" si="31"/>
        <v>165.88</v>
      </c>
      <c r="K473" s="5">
        <v>78299.149999999994</v>
      </c>
    </row>
    <row r="474" spans="1:11" x14ac:dyDescent="0.25">
      <c r="A474" s="5">
        <f t="shared" si="28"/>
        <v>2024</v>
      </c>
      <c r="B474" s="5">
        <f t="shared" si="29"/>
        <v>3</v>
      </c>
      <c r="C474" s="6">
        <v>45362</v>
      </c>
      <c r="D474" s="5" t="s">
        <v>225</v>
      </c>
      <c r="E474" s="5" t="s">
        <v>902</v>
      </c>
      <c r="G474" s="5">
        <v>-165.87</v>
      </c>
      <c r="H474" s="5">
        <f t="shared" si="30"/>
        <v>165.87</v>
      </c>
      <c r="I474" s="5">
        <v>-165.87</v>
      </c>
      <c r="J474" s="5">
        <f t="shared" si="31"/>
        <v>165.87</v>
      </c>
      <c r="K474" s="5">
        <v>27377.99</v>
      </c>
    </row>
    <row r="475" spans="1:11" x14ac:dyDescent="0.25">
      <c r="A475" s="5">
        <f t="shared" si="28"/>
        <v>2024</v>
      </c>
      <c r="B475" s="5">
        <f t="shared" si="29"/>
        <v>4</v>
      </c>
      <c r="C475" s="6">
        <v>45411</v>
      </c>
      <c r="D475" s="5" t="s">
        <v>302</v>
      </c>
      <c r="E475" s="5" t="s">
        <v>902</v>
      </c>
      <c r="G475" s="5">
        <v>-165.87</v>
      </c>
      <c r="H475" s="5">
        <f t="shared" si="30"/>
        <v>165.87</v>
      </c>
      <c r="I475" s="5">
        <v>-165.87</v>
      </c>
      <c r="J475" s="5">
        <f t="shared" si="31"/>
        <v>165.87</v>
      </c>
      <c r="K475" s="5">
        <v>22034.91</v>
      </c>
    </row>
    <row r="476" spans="1:11" x14ac:dyDescent="0.25">
      <c r="A476" s="5">
        <f t="shared" si="28"/>
        <v>2024</v>
      </c>
      <c r="B476" s="5">
        <f t="shared" si="29"/>
        <v>7</v>
      </c>
      <c r="C476" s="6">
        <v>45499</v>
      </c>
      <c r="D476" s="5" t="s">
        <v>464</v>
      </c>
      <c r="E476" s="5" t="s">
        <v>902</v>
      </c>
      <c r="G476" s="5">
        <v>-165.36</v>
      </c>
      <c r="H476" s="5">
        <f t="shared" si="30"/>
        <v>165.36</v>
      </c>
      <c r="I476" s="5">
        <v>-165.36</v>
      </c>
      <c r="J476" s="5">
        <f t="shared" si="31"/>
        <v>165.36</v>
      </c>
      <c r="K476" s="5">
        <v>21472.23</v>
      </c>
    </row>
    <row r="477" spans="1:11" x14ac:dyDescent="0.25">
      <c r="A477" s="5">
        <f t="shared" si="28"/>
        <v>2024</v>
      </c>
      <c r="B477" s="5">
        <f t="shared" si="29"/>
        <v>8</v>
      </c>
      <c r="C477" s="6">
        <v>45531</v>
      </c>
      <c r="D477" s="5" t="s">
        <v>534</v>
      </c>
      <c r="E477" s="5" t="s">
        <v>902</v>
      </c>
      <c r="G477" s="5">
        <v>-163.78</v>
      </c>
      <c r="H477" s="5">
        <f t="shared" si="30"/>
        <v>163.78</v>
      </c>
      <c r="I477" s="5">
        <v>-163.78</v>
      </c>
      <c r="J477" s="5">
        <f t="shared" si="31"/>
        <v>163.78</v>
      </c>
      <c r="K477" s="5">
        <v>36159.06</v>
      </c>
    </row>
    <row r="478" spans="1:11" x14ac:dyDescent="0.25">
      <c r="A478" s="5">
        <f t="shared" si="28"/>
        <v>2024</v>
      </c>
      <c r="B478" s="5">
        <f t="shared" si="29"/>
        <v>9</v>
      </c>
      <c r="C478" s="6">
        <v>45558</v>
      </c>
      <c r="D478" s="5" t="s">
        <v>610</v>
      </c>
      <c r="E478" s="5" t="s">
        <v>902</v>
      </c>
      <c r="G478" s="5">
        <v>-162.56</v>
      </c>
      <c r="H478" s="5">
        <f t="shared" si="30"/>
        <v>162.56</v>
      </c>
      <c r="I478" s="5">
        <v>-162.56</v>
      </c>
      <c r="J478" s="5">
        <f t="shared" si="31"/>
        <v>162.56</v>
      </c>
      <c r="K478" s="5">
        <v>66548.479999999996</v>
      </c>
    </row>
    <row r="479" spans="1:11" x14ac:dyDescent="0.25">
      <c r="A479" s="5">
        <f t="shared" si="28"/>
        <v>2024</v>
      </c>
      <c r="B479" s="5">
        <f t="shared" si="29"/>
        <v>10</v>
      </c>
      <c r="C479" s="6">
        <v>45575</v>
      </c>
      <c r="D479" s="5" t="s">
        <v>663</v>
      </c>
      <c r="E479" s="5" t="s">
        <v>902</v>
      </c>
      <c r="G479" s="5">
        <v>-161.03</v>
      </c>
      <c r="H479" s="5">
        <f t="shared" si="30"/>
        <v>161.03</v>
      </c>
      <c r="I479" s="5">
        <v>-161.03</v>
      </c>
      <c r="J479" s="5">
        <f t="shared" si="31"/>
        <v>161.03</v>
      </c>
      <c r="K479" s="5">
        <v>66509.06</v>
      </c>
    </row>
    <row r="480" spans="1:11" x14ac:dyDescent="0.25">
      <c r="A480" s="5">
        <f t="shared" si="28"/>
        <v>2024</v>
      </c>
      <c r="B480" s="5">
        <f t="shared" si="29"/>
        <v>12</v>
      </c>
      <c r="C480" s="6">
        <v>45629</v>
      </c>
      <c r="D480" s="5" t="s">
        <v>773</v>
      </c>
      <c r="E480" s="5" t="s">
        <v>902</v>
      </c>
      <c r="G480" s="5">
        <v>-160.63</v>
      </c>
      <c r="H480" s="5">
        <f t="shared" si="30"/>
        <v>160.63</v>
      </c>
      <c r="I480" s="5">
        <v>-160.63</v>
      </c>
      <c r="J480" s="5">
        <f t="shared" si="31"/>
        <v>160.63</v>
      </c>
      <c r="K480" s="5">
        <v>3205.27</v>
      </c>
    </row>
    <row r="481" spans="1:11" x14ac:dyDescent="0.25">
      <c r="A481" s="5">
        <f t="shared" si="28"/>
        <v>2024</v>
      </c>
      <c r="B481" s="5">
        <f t="shared" si="29"/>
        <v>7</v>
      </c>
      <c r="C481" s="6">
        <v>45504</v>
      </c>
      <c r="D481" s="5" t="s">
        <v>479</v>
      </c>
      <c r="E481" s="5" t="s">
        <v>902</v>
      </c>
      <c r="G481" s="5">
        <v>-159.69999999999999</v>
      </c>
      <c r="H481" s="5">
        <f t="shared" si="30"/>
        <v>159.69999999999999</v>
      </c>
      <c r="I481" s="5">
        <v>-159.69999999999999</v>
      </c>
      <c r="J481" s="5">
        <f t="shared" si="31"/>
        <v>159.69999999999999</v>
      </c>
      <c r="K481" s="5">
        <v>31317.25</v>
      </c>
    </row>
    <row r="482" spans="1:11" x14ac:dyDescent="0.25">
      <c r="A482" s="5">
        <f t="shared" si="28"/>
        <v>2024</v>
      </c>
      <c r="B482" s="5">
        <f t="shared" si="29"/>
        <v>8</v>
      </c>
      <c r="C482" s="6">
        <v>45523</v>
      </c>
      <c r="D482" s="5" t="s">
        <v>515</v>
      </c>
      <c r="E482" s="5" t="s">
        <v>902</v>
      </c>
      <c r="G482" s="5">
        <v>-159.51</v>
      </c>
      <c r="H482" s="5">
        <f t="shared" si="30"/>
        <v>159.51</v>
      </c>
      <c r="I482" s="5">
        <v>-159.51</v>
      </c>
      <c r="J482" s="5">
        <f t="shared" si="31"/>
        <v>159.51</v>
      </c>
      <c r="K482" s="5">
        <v>71762.98</v>
      </c>
    </row>
    <row r="483" spans="1:11" x14ac:dyDescent="0.25">
      <c r="A483" s="5">
        <f t="shared" si="28"/>
        <v>2024</v>
      </c>
      <c r="B483" s="5">
        <f t="shared" si="29"/>
        <v>8</v>
      </c>
      <c r="C483" s="6">
        <v>45506</v>
      </c>
      <c r="D483" s="5" t="s">
        <v>485</v>
      </c>
      <c r="E483" s="5" t="s">
        <v>902</v>
      </c>
      <c r="G483" s="5">
        <v>-159.38</v>
      </c>
      <c r="H483" s="5">
        <f t="shared" si="30"/>
        <v>159.38</v>
      </c>
      <c r="I483" s="5">
        <v>-159.38</v>
      </c>
      <c r="J483" s="5">
        <f t="shared" si="31"/>
        <v>159.38</v>
      </c>
      <c r="K483" s="5">
        <v>45747.38</v>
      </c>
    </row>
    <row r="484" spans="1:11" x14ac:dyDescent="0.25">
      <c r="A484" s="5">
        <f t="shared" si="28"/>
        <v>2024</v>
      </c>
      <c r="B484" s="5">
        <f t="shared" si="29"/>
        <v>12</v>
      </c>
      <c r="C484" s="6">
        <v>45657</v>
      </c>
      <c r="D484" s="5" t="s">
        <v>807</v>
      </c>
      <c r="E484" s="5" t="s">
        <v>902</v>
      </c>
      <c r="G484" s="5">
        <v>-154.54</v>
      </c>
      <c r="H484" s="5">
        <f t="shared" si="30"/>
        <v>154.54</v>
      </c>
      <c r="I484" s="5">
        <v>-154.54</v>
      </c>
      <c r="J484" s="5">
        <f t="shared" si="31"/>
        <v>154.54</v>
      </c>
      <c r="K484" s="5">
        <v>143425.41</v>
      </c>
    </row>
    <row r="485" spans="1:11" x14ac:dyDescent="0.25">
      <c r="A485" s="5">
        <f t="shared" si="28"/>
        <v>2024</v>
      </c>
      <c r="B485" s="5">
        <f t="shared" si="29"/>
        <v>7</v>
      </c>
      <c r="C485" s="6">
        <v>45497</v>
      </c>
      <c r="D485" s="5" t="s">
        <v>458</v>
      </c>
      <c r="E485" s="5" t="s">
        <v>902</v>
      </c>
      <c r="G485" s="5">
        <v>-153.83000000000001</v>
      </c>
      <c r="H485" s="5">
        <f t="shared" si="30"/>
        <v>153.83000000000001</v>
      </c>
      <c r="I485" s="5">
        <v>-153.83000000000001</v>
      </c>
      <c r="J485" s="5">
        <f t="shared" si="31"/>
        <v>153.83000000000001</v>
      </c>
      <c r="K485" s="5">
        <v>48826.67</v>
      </c>
    </row>
    <row r="486" spans="1:11" x14ac:dyDescent="0.25">
      <c r="A486" s="5">
        <f t="shared" si="28"/>
        <v>2024</v>
      </c>
      <c r="B486" s="5">
        <f t="shared" si="29"/>
        <v>11</v>
      </c>
      <c r="C486" s="6">
        <v>45608</v>
      </c>
      <c r="D486" s="5" t="s">
        <v>729</v>
      </c>
      <c r="E486" s="5" t="s">
        <v>902</v>
      </c>
      <c r="G486" s="5">
        <v>-153.09</v>
      </c>
      <c r="H486" s="5">
        <f t="shared" si="30"/>
        <v>153.09</v>
      </c>
      <c r="I486" s="5">
        <v>-153.09</v>
      </c>
      <c r="J486" s="5">
        <f t="shared" si="31"/>
        <v>153.09</v>
      </c>
      <c r="K486" s="5">
        <v>50458.05</v>
      </c>
    </row>
    <row r="487" spans="1:11" x14ac:dyDescent="0.25">
      <c r="A487" s="5">
        <f t="shared" si="28"/>
        <v>2024</v>
      </c>
      <c r="B487" s="5">
        <f t="shared" si="29"/>
        <v>11</v>
      </c>
      <c r="C487" s="6">
        <v>45625</v>
      </c>
      <c r="D487" s="5" t="s">
        <v>765</v>
      </c>
      <c r="E487" s="5" t="s">
        <v>902</v>
      </c>
      <c r="G487" s="5">
        <v>-152.16999999999999</v>
      </c>
      <c r="H487" s="5">
        <f t="shared" si="30"/>
        <v>152.16999999999999</v>
      </c>
      <c r="I487" s="5">
        <v>-152.16999999999999</v>
      </c>
      <c r="J487" s="5">
        <f t="shared" si="31"/>
        <v>152.16999999999999</v>
      </c>
      <c r="K487" s="5">
        <v>1260.2</v>
      </c>
    </row>
    <row r="488" spans="1:11" x14ac:dyDescent="0.25">
      <c r="A488" s="5">
        <f t="shared" si="28"/>
        <v>2024</v>
      </c>
      <c r="B488" s="5">
        <f t="shared" si="29"/>
        <v>11</v>
      </c>
      <c r="C488" s="6">
        <v>45610</v>
      </c>
      <c r="D488" s="5" t="s">
        <v>737</v>
      </c>
      <c r="E488" s="5" t="s">
        <v>902</v>
      </c>
      <c r="G488" s="5">
        <v>-150.93</v>
      </c>
      <c r="H488" s="5">
        <f t="shared" si="30"/>
        <v>150.93</v>
      </c>
      <c r="I488" s="5">
        <v>-150.93</v>
      </c>
      <c r="J488" s="5">
        <f t="shared" si="31"/>
        <v>150.93</v>
      </c>
      <c r="K488" s="5">
        <v>23711.82</v>
      </c>
    </row>
    <row r="489" spans="1:11" x14ac:dyDescent="0.25">
      <c r="A489" s="5">
        <f t="shared" si="28"/>
        <v>2023</v>
      </c>
      <c r="B489" s="5">
        <f t="shared" si="29"/>
        <v>9</v>
      </c>
      <c r="C489" s="6">
        <v>45191</v>
      </c>
      <c r="D489" s="5" t="s">
        <v>24</v>
      </c>
      <c r="E489" s="5" t="s">
        <v>902</v>
      </c>
      <c r="G489" s="5">
        <v>-150</v>
      </c>
      <c r="H489" s="5">
        <f t="shared" si="30"/>
        <v>150</v>
      </c>
      <c r="I489" s="5">
        <v>-150</v>
      </c>
      <c r="J489" s="5">
        <f t="shared" si="31"/>
        <v>150</v>
      </c>
      <c r="K489" s="5">
        <v>9756.84</v>
      </c>
    </row>
    <row r="490" spans="1:11" x14ac:dyDescent="0.25">
      <c r="A490" s="5">
        <f t="shared" si="28"/>
        <v>2024</v>
      </c>
      <c r="B490" s="5">
        <f t="shared" si="29"/>
        <v>12</v>
      </c>
      <c r="C490" s="6">
        <v>45628</v>
      </c>
      <c r="D490" s="5" t="s">
        <v>308</v>
      </c>
      <c r="E490" s="5" t="s">
        <v>902</v>
      </c>
      <c r="G490" s="5">
        <v>-150</v>
      </c>
      <c r="H490" s="5">
        <f t="shared" si="30"/>
        <v>150</v>
      </c>
      <c r="I490" s="5">
        <v>-150</v>
      </c>
      <c r="J490" s="5">
        <f t="shared" si="31"/>
        <v>150</v>
      </c>
      <c r="K490" s="5">
        <v>3813.84</v>
      </c>
    </row>
    <row r="491" spans="1:11" x14ac:dyDescent="0.25">
      <c r="A491" s="5">
        <f t="shared" si="28"/>
        <v>2024</v>
      </c>
      <c r="B491" s="5">
        <f t="shared" si="29"/>
        <v>1</v>
      </c>
      <c r="C491" s="6">
        <v>45322</v>
      </c>
      <c r="D491" s="5" t="s">
        <v>166</v>
      </c>
      <c r="E491" s="5" t="s">
        <v>902</v>
      </c>
      <c r="G491" s="5">
        <v>-149.94999999999999</v>
      </c>
      <c r="H491" s="5">
        <f t="shared" si="30"/>
        <v>149.94999999999999</v>
      </c>
      <c r="I491" s="5">
        <v>-149.94999999999999</v>
      </c>
      <c r="J491" s="5">
        <f t="shared" si="31"/>
        <v>149.94999999999999</v>
      </c>
      <c r="K491" s="5">
        <v>25628.05</v>
      </c>
    </row>
    <row r="492" spans="1:11" x14ac:dyDescent="0.25">
      <c r="A492" s="5">
        <f t="shared" si="28"/>
        <v>2024</v>
      </c>
      <c r="B492" s="5">
        <f t="shared" si="29"/>
        <v>10</v>
      </c>
      <c r="C492" s="6">
        <v>45569</v>
      </c>
      <c r="D492" s="5" t="s">
        <v>645</v>
      </c>
      <c r="E492" s="5" t="s">
        <v>902</v>
      </c>
      <c r="G492" s="5">
        <v>-148.41</v>
      </c>
      <c r="H492" s="5">
        <f t="shared" si="30"/>
        <v>148.41</v>
      </c>
      <c r="I492" s="5">
        <v>-148.41</v>
      </c>
      <c r="J492" s="5">
        <f t="shared" si="31"/>
        <v>148.41</v>
      </c>
      <c r="K492" s="5">
        <v>88033.16</v>
      </c>
    </row>
    <row r="493" spans="1:11" x14ac:dyDescent="0.25">
      <c r="A493" s="5">
        <f t="shared" si="28"/>
        <v>2024</v>
      </c>
      <c r="B493" s="5">
        <f t="shared" si="29"/>
        <v>12</v>
      </c>
      <c r="C493" s="6">
        <v>45639</v>
      </c>
      <c r="D493" s="5" t="s">
        <v>789</v>
      </c>
      <c r="E493" s="5" t="s">
        <v>902</v>
      </c>
      <c r="G493" s="5">
        <v>-147.91999999999999</v>
      </c>
      <c r="H493" s="5">
        <f t="shared" si="30"/>
        <v>147.91999999999999</v>
      </c>
      <c r="I493" s="5">
        <v>-147.91999999999999</v>
      </c>
      <c r="J493" s="5">
        <f t="shared" si="31"/>
        <v>147.91999999999999</v>
      </c>
      <c r="K493" s="5">
        <v>956.84</v>
      </c>
    </row>
    <row r="494" spans="1:11" x14ac:dyDescent="0.25">
      <c r="A494" s="5">
        <f t="shared" si="28"/>
        <v>2024</v>
      </c>
      <c r="B494" s="5">
        <f t="shared" si="29"/>
        <v>8</v>
      </c>
      <c r="C494" s="6">
        <v>45533</v>
      </c>
      <c r="D494" s="5" t="s">
        <v>542</v>
      </c>
      <c r="E494" s="5" t="s">
        <v>902</v>
      </c>
      <c r="G494" s="5">
        <v>-147.76</v>
      </c>
      <c r="H494" s="5">
        <f t="shared" si="30"/>
        <v>147.76</v>
      </c>
      <c r="I494" s="5">
        <v>-147.76</v>
      </c>
      <c r="J494" s="5">
        <f t="shared" si="31"/>
        <v>147.76</v>
      </c>
      <c r="K494" s="5">
        <v>44227.35</v>
      </c>
    </row>
    <row r="495" spans="1:11" x14ac:dyDescent="0.25">
      <c r="A495" s="5">
        <f t="shared" si="28"/>
        <v>2024</v>
      </c>
      <c r="B495" s="5">
        <f t="shared" si="29"/>
        <v>3</v>
      </c>
      <c r="C495" s="6">
        <v>45379</v>
      </c>
      <c r="D495" s="5" t="s">
        <v>247</v>
      </c>
      <c r="E495" s="5" t="s">
        <v>902</v>
      </c>
      <c r="G495" s="5">
        <v>-147.69</v>
      </c>
      <c r="H495" s="5">
        <f t="shared" si="30"/>
        <v>147.69</v>
      </c>
      <c r="I495" s="5">
        <v>-147.69</v>
      </c>
      <c r="J495" s="5">
        <f t="shared" si="31"/>
        <v>147.69</v>
      </c>
      <c r="K495" s="5">
        <v>22768.799999999999</v>
      </c>
    </row>
    <row r="496" spans="1:11" x14ac:dyDescent="0.25">
      <c r="A496" s="5">
        <f t="shared" si="28"/>
        <v>2024</v>
      </c>
      <c r="B496" s="5">
        <f t="shared" si="29"/>
        <v>4</v>
      </c>
      <c r="C496" s="6">
        <v>45411</v>
      </c>
      <c r="D496" s="5" t="s">
        <v>303</v>
      </c>
      <c r="E496" s="5" t="s">
        <v>902</v>
      </c>
      <c r="G496" s="5">
        <v>-147.69</v>
      </c>
      <c r="H496" s="5">
        <f t="shared" si="30"/>
        <v>147.69</v>
      </c>
      <c r="I496" s="5">
        <v>-147.69</v>
      </c>
      <c r="J496" s="5">
        <f t="shared" si="31"/>
        <v>147.69</v>
      </c>
      <c r="K496" s="5">
        <v>21887.22</v>
      </c>
    </row>
    <row r="497" spans="1:11" x14ac:dyDescent="0.25">
      <c r="A497" s="5">
        <f t="shared" si="28"/>
        <v>2024</v>
      </c>
      <c r="B497" s="5">
        <f t="shared" si="29"/>
        <v>5</v>
      </c>
      <c r="C497" s="6">
        <v>45440</v>
      </c>
      <c r="D497" s="5" t="s">
        <v>354</v>
      </c>
      <c r="E497" s="5" t="s">
        <v>902</v>
      </c>
      <c r="G497" s="5">
        <v>-147.69</v>
      </c>
      <c r="H497" s="5">
        <f t="shared" si="30"/>
        <v>147.69</v>
      </c>
      <c r="I497" s="5">
        <v>-147.69</v>
      </c>
      <c r="J497" s="5">
        <f t="shared" si="31"/>
        <v>147.69</v>
      </c>
      <c r="K497" s="5">
        <v>26210.53</v>
      </c>
    </row>
    <row r="498" spans="1:11" x14ac:dyDescent="0.25">
      <c r="A498" s="5">
        <f t="shared" si="28"/>
        <v>2024</v>
      </c>
      <c r="B498" s="5">
        <f t="shared" si="29"/>
        <v>6</v>
      </c>
      <c r="C498" s="6">
        <v>45471</v>
      </c>
      <c r="D498" s="5" t="s">
        <v>408</v>
      </c>
      <c r="E498" s="5" t="s">
        <v>902</v>
      </c>
      <c r="G498" s="5">
        <v>-147.69</v>
      </c>
      <c r="H498" s="5">
        <f t="shared" si="30"/>
        <v>147.69</v>
      </c>
      <c r="I498" s="5">
        <v>-147.69</v>
      </c>
      <c r="J498" s="5">
        <f t="shared" si="31"/>
        <v>147.69</v>
      </c>
      <c r="K498" s="5">
        <v>66706.100000000006</v>
      </c>
    </row>
    <row r="499" spans="1:11" x14ac:dyDescent="0.25">
      <c r="A499" s="5">
        <f t="shared" si="28"/>
        <v>2024</v>
      </c>
      <c r="B499" s="5">
        <f t="shared" si="29"/>
        <v>7</v>
      </c>
      <c r="C499" s="6">
        <v>45502</v>
      </c>
      <c r="D499" s="5" t="s">
        <v>470</v>
      </c>
      <c r="E499" s="5" t="s">
        <v>902</v>
      </c>
      <c r="G499" s="5">
        <v>-147.69</v>
      </c>
      <c r="H499" s="5">
        <f t="shared" si="30"/>
        <v>147.69</v>
      </c>
      <c r="I499" s="5">
        <v>-147.69</v>
      </c>
      <c r="J499" s="5">
        <f t="shared" si="31"/>
        <v>147.69</v>
      </c>
      <c r="K499" s="5">
        <v>30638.36</v>
      </c>
    </row>
    <row r="500" spans="1:11" x14ac:dyDescent="0.25">
      <c r="A500" s="5">
        <f t="shared" si="28"/>
        <v>2024</v>
      </c>
      <c r="B500" s="5">
        <f t="shared" si="29"/>
        <v>8</v>
      </c>
      <c r="C500" s="6">
        <v>45532</v>
      </c>
      <c r="D500" s="5" t="s">
        <v>538</v>
      </c>
      <c r="E500" s="5" t="s">
        <v>902</v>
      </c>
      <c r="G500" s="5">
        <v>-147.69</v>
      </c>
      <c r="H500" s="5">
        <f t="shared" si="30"/>
        <v>147.69</v>
      </c>
      <c r="I500" s="5">
        <v>-147.69</v>
      </c>
      <c r="J500" s="5">
        <f t="shared" si="31"/>
        <v>147.69</v>
      </c>
      <c r="K500" s="5">
        <v>35102.39</v>
      </c>
    </row>
    <row r="501" spans="1:11" x14ac:dyDescent="0.25">
      <c r="A501" s="5">
        <f t="shared" si="28"/>
        <v>2024</v>
      </c>
      <c r="B501" s="5">
        <f t="shared" si="29"/>
        <v>9</v>
      </c>
      <c r="C501" s="6">
        <v>45565</v>
      </c>
      <c r="D501" s="5" t="s">
        <v>623</v>
      </c>
      <c r="E501" s="5" t="s">
        <v>902</v>
      </c>
      <c r="G501" s="5">
        <v>-147.69</v>
      </c>
      <c r="H501" s="5">
        <f t="shared" si="30"/>
        <v>147.69</v>
      </c>
      <c r="I501" s="5">
        <v>-147.69</v>
      </c>
      <c r="J501" s="5">
        <f t="shared" si="31"/>
        <v>147.69</v>
      </c>
      <c r="K501" s="5">
        <v>96118.53</v>
      </c>
    </row>
    <row r="502" spans="1:11" x14ac:dyDescent="0.25">
      <c r="A502" s="5">
        <f t="shared" si="28"/>
        <v>2024</v>
      </c>
      <c r="B502" s="5">
        <f t="shared" si="29"/>
        <v>10</v>
      </c>
      <c r="C502" s="6">
        <v>45593</v>
      </c>
      <c r="D502" s="5" t="s">
        <v>692</v>
      </c>
      <c r="E502" s="5" t="s">
        <v>902</v>
      </c>
      <c r="G502" s="5">
        <v>-147.69</v>
      </c>
      <c r="H502" s="5">
        <f t="shared" si="30"/>
        <v>147.69</v>
      </c>
      <c r="I502" s="5">
        <v>-147.69</v>
      </c>
      <c r="J502" s="5">
        <f t="shared" si="31"/>
        <v>147.69</v>
      </c>
      <c r="K502" s="5">
        <v>74764.11</v>
      </c>
    </row>
    <row r="503" spans="1:11" x14ac:dyDescent="0.25">
      <c r="A503" s="5">
        <f t="shared" si="28"/>
        <v>2024</v>
      </c>
      <c r="B503" s="5">
        <f t="shared" si="29"/>
        <v>11</v>
      </c>
      <c r="C503" s="6">
        <v>45600</v>
      </c>
      <c r="D503" s="5" t="s">
        <v>717</v>
      </c>
      <c r="E503" s="5" t="s">
        <v>902</v>
      </c>
      <c r="G503" s="5">
        <v>-147.69</v>
      </c>
      <c r="H503" s="5">
        <f t="shared" si="30"/>
        <v>147.69</v>
      </c>
      <c r="I503" s="5">
        <v>-147.69</v>
      </c>
      <c r="J503" s="5">
        <f t="shared" si="31"/>
        <v>147.69</v>
      </c>
      <c r="K503" s="5">
        <v>41872.480000000003</v>
      </c>
    </row>
    <row r="504" spans="1:11" x14ac:dyDescent="0.25">
      <c r="A504" s="5">
        <f t="shared" si="28"/>
        <v>2024</v>
      </c>
      <c r="B504" s="5">
        <f t="shared" si="29"/>
        <v>11</v>
      </c>
      <c r="C504" s="6">
        <v>45625</v>
      </c>
      <c r="D504" s="5" t="s">
        <v>761</v>
      </c>
      <c r="E504" s="5" t="s">
        <v>902</v>
      </c>
      <c r="G504" s="5">
        <v>-147.69</v>
      </c>
      <c r="H504" s="5">
        <f t="shared" si="30"/>
        <v>147.69</v>
      </c>
      <c r="I504" s="5">
        <v>-147.69</v>
      </c>
      <c r="J504" s="5">
        <f t="shared" si="31"/>
        <v>147.69</v>
      </c>
      <c r="K504" s="5">
        <v>19698.98</v>
      </c>
    </row>
    <row r="505" spans="1:11" x14ac:dyDescent="0.25">
      <c r="A505" s="5">
        <f t="shared" si="28"/>
        <v>2024</v>
      </c>
      <c r="B505" s="5">
        <f t="shared" si="29"/>
        <v>12</v>
      </c>
      <c r="C505" s="6">
        <v>45629</v>
      </c>
      <c r="D505" s="5" t="s">
        <v>772</v>
      </c>
      <c r="E505" s="5" t="s">
        <v>902</v>
      </c>
      <c r="G505" s="5">
        <v>-147.69</v>
      </c>
      <c r="H505" s="5">
        <f t="shared" si="30"/>
        <v>147.69</v>
      </c>
      <c r="I505" s="5">
        <v>-147.69</v>
      </c>
      <c r="J505" s="5">
        <f t="shared" si="31"/>
        <v>147.69</v>
      </c>
      <c r="K505" s="5">
        <v>3416.15</v>
      </c>
    </row>
    <row r="506" spans="1:11" x14ac:dyDescent="0.25">
      <c r="A506" s="5">
        <f t="shared" si="28"/>
        <v>2025</v>
      </c>
      <c r="B506" s="5">
        <f t="shared" si="29"/>
        <v>1</v>
      </c>
      <c r="C506" s="6">
        <v>45660</v>
      </c>
      <c r="D506" s="5" t="s">
        <v>821</v>
      </c>
      <c r="E506" s="5" t="s">
        <v>902</v>
      </c>
      <c r="G506" s="5">
        <v>-147.69</v>
      </c>
      <c r="H506" s="5">
        <f t="shared" si="30"/>
        <v>147.69</v>
      </c>
      <c r="I506" s="5">
        <v>-147.69</v>
      </c>
      <c r="J506" s="5">
        <f t="shared" si="31"/>
        <v>147.69</v>
      </c>
      <c r="K506" s="5">
        <v>59967.69</v>
      </c>
    </row>
    <row r="507" spans="1:11" x14ac:dyDescent="0.25">
      <c r="A507" s="5">
        <f t="shared" si="28"/>
        <v>2024</v>
      </c>
      <c r="B507" s="5">
        <f t="shared" si="29"/>
        <v>12</v>
      </c>
      <c r="C507" s="6">
        <v>45628</v>
      </c>
      <c r="D507" s="5" t="s">
        <v>768</v>
      </c>
      <c r="E507" s="5" t="s">
        <v>902</v>
      </c>
      <c r="G507" s="5">
        <v>-145.86000000000001</v>
      </c>
      <c r="H507" s="5">
        <f t="shared" si="30"/>
        <v>145.86000000000001</v>
      </c>
      <c r="I507" s="5">
        <v>-145.86000000000001</v>
      </c>
      <c r="J507" s="5">
        <f t="shared" si="31"/>
        <v>145.86000000000001</v>
      </c>
      <c r="K507" s="5">
        <v>4244.83</v>
      </c>
    </row>
    <row r="508" spans="1:11" x14ac:dyDescent="0.25">
      <c r="A508" s="5">
        <f t="shared" si="28"/>
        <v>2024</v>
      </c>
      <c r="B508" s="5">
        <f t="shared" si="29"/>
        <v>10</v>
      </c>
      <c r="C508" s="6">
        <v>45596</v>
      </c>
      <c r="D508" s="5" t="s">
        <v>706</v>
      </c>
      <c r="E508" s="5" t="s">
        <v>902</v>
      </c>
      <c r="G508" s="5">
        <v>-144.49</v>
      </c>
      <c r="H508" s="5">
        <f t="shared" si="30"/>
        <v>144.49</v>
      </c>
      <c r="I508" s="5">
        <v>-144.49</v>
      </c>
      <c r="J508" s="5">
        <f t="shared" si="31"/>
        <v>144.49</v>
      </c>
      <c r="K508" s="5">
        <v>72199.31</v>
      </c>
    </row>
    <row r="509" spans="1:11" x14ac:dyDescent="0.25">
      <c r="A509" s="5">
        <f t="shared" si="28"/>
        <v>2025</v>
      </c>
      <c r="B509" s="5">
        <f t="shared" si="29"/>
        <v>1</v>
      </c>
      <c r="C509" s="6">
        <v>45659</v>
      </c>
      <c r="D509" s="5" t="s">
        <v>808</v>
      </c>
      <c r="E509" s="5" t="s">
        <v>902</v>
      </c>
      <c r="G509" s="5">
        <v>-142</v>
      </c>
      <c r="H509" s="5">
        <f t="shared" si="30"/>
        <v>142</v>
      </c>
      <c r="I509" s="5">
        <v>-142</v>
      </c>
      <c r="J509" s="5">
        <f t="shared" si="31"/>
        <v>142</v>
      </c>
      <c r="K509" s="5">
        <v>150844.17000000001</v>
      </c>
    </row>
    <row r="510" spans="1:11" x14ac:dyDescent="0.25">
      <c r="A510" s="5">
        <f t="shared" si="28"/>
        <v>2024</v>
      </c>
      <c r="B510" s="5">
        <f t="shared" si="29"/>
        <v>3</v>
      </c>
      <c r="C510" s="6">
        <v>45362</v>
      </c>
      <c r="D510" s="5" t="s">
        <v>227</v>
      </c>
      <c r="E510" s="5" t="s">
        <v>902</v>
      </c>
      <c r="G510" s="5">
        <v>-141.26</v>
      </c>
      <c r="H510" s="5">
        <f t="shared" si="30"/>
        <v>141.26</v>
      </c>
      <c r="I510" s="5">
        <v>-141.26</v>
      </c>
      <c r="J510" s="5">
        <f t="shared" si="31"/>
        <v>141.26</v>
      </c>
      <c r="K510" s="5">
        <v>27036.66</v>
      </c>
    </row>
    <row r="511" spans="1:11" x14ac:dyDescent="0.25">
      <c r="A511" s="5">
        <f t="shared" si="28"/>
        <v>2023</v>
      </c>
      <c r="B511" s="5">
        <f t="shared" si="29"/>
        <v>11</v>
      </c>
      <c r="C511" s="6">
        <v>45252</v>
      </c>
      <c r="D511" s="5" t="s">
        <v>78</v>
      </c>
      <c r="E511" s="5" t="s">
        <v>902</v>
      </c>
      <c r="G511" s="5">
        <v>-140.38</v>
      </c>
      <c r="H511" s="5">
        <f t="shared" si="30"/>
        <v>140.38</v>
      </c>
      <c r="I511" s="5">
        <v>-140.38</v>
      </c>
      <c r="J511" s="5">
        <f t="shared" si="31"/>
        <v>140.38</v>
      </c>
      <c r="K511" s="5">
        <v>35475.599999999999</v>
      </c>
    </row>
    <row r="512" spans="1:11" x14ac:dyDescent="0.25">
      <c r="A512" s="5">
        <f t="shared" si="28"/>
        <v>2024</v>
      </c>
      <c r="B512" s="5">
        <f t="shared" si="29"/>
        <v>10</v>
      </c>
      <c r="C512" s="6">
        <v>45588</v>
      </c>
      <c r="D512" s="5" t="s">
        <v>689</v>
      </c>
      <c r="E512" s="5" t="s">
        <v>902</v>
      </c>
      <c r="G512" s="5">
        <v>-139.99</v>
      </c>
      <c r="H512" s="5">
        <f t="shared" si="30"/>
        <v>139.99</v>
      </c>
      <c r="I512" s="5">
        <v>-139.99</v>
      </c>
      <c r="J512" s="5">
        <f t="shared" si="31"/>
        <v>139.99</v>
      </c>
      <c r="K512" s="5">
        <v>72272.740000000005</v>
      </c>
    </row>
    <row r="513" spans="1:11" x14ac:dyDescent="0.25">
      <c r="A513" s="5">
        <f t="shared" si="28"/>
        <v>2024</v>
      </c>
      <c r="B513" s="5">
        <f t="shared" si="29"/>
        <v>11</v>
      </c>
      <c r="C513" s="6">
        <v>45604</v>
      </c>
      <c r="D513" s="5" t="s">
        <v>727</v>
      </c>
      <c r="E513" s="5" t="s">
        <v>902</v>
      </c>
      <c r="G513" s="5">
        <v>-139.99</v>
      </c>
      <c r="H513" s="5">
        <f t="shared" si="30"/>
        <v>139.99</v>
      </c>
      <c r="I513" s="5">
        <v>-139.99</v>
      </c>
      <c r="J513" s="5">
        <f t="shared" si="31"/>
        <v>139.99</v>
      </c>
      <c r="K513" s="5">
        <v>40360.57</v>
      </c>
    </row>
    <row r="514" spans="1:11" x14ac:dyDescent="0.25">
      <c r="A514" s="5">
        <f t="shared" si="28"/>
        <v>2024</v>
      </c>
      <c r="B514" s="5">
        <f t="shared" si="29"/>
        <v>5</v>
      </c>
      <c r="C514" s="6">
        <v>45440</v>
      </c>
      <c r="D514" s="5" t="s">
        <v>349</v>
      </c>
      <c r="E514" s="5" t="s">
        <v>902</v>
      </c>
      <c r="G514" s="5">
        <v>-139.56</v>
      </c>
      <c r="H514" s="5">
        <f t="shared" si="30"/>
        <v>139.56</v>
      </c>
      <c r="I514" s="5">
        <v>-139.56</v>
      </c>
      <c r="J514" s="5">
        <f t="shared" si="31"/>
        <v>139.56</v>
      </c>
      <c r="K514" s="5">
        <v>27815.79</v>
      </c>
    </row>
    <row r="515" spans="1:11" x14ac:dyDescent="0.25">
      <c r="A515" s="5">
        <f t="shared" ref="A515:A578" si="32">YEAR(C515)</f>
        <v>2025</v>
      </c>
      <c r="B515" s="5">
        <f t="shared" ref="B515:B578" si="33">MONTH(C515)</f>
        <v>1</v>
      </c>
      <c r="C515" s="6">
        <v>45664</v>
      </c>
      <c r="D515" s="5" t="s">
        <v>826</v>
      </c>
      <c r="E515" s="5" t="s">
        <v>902</v>
      </c>
      <c r="G515" s="5">
        <v>-138.26</v>
      </c>
      <c r="H515" s="5">
        <f t="shared" ref="H515:H578" si="34">(-1*G515)</f>
        <v>138.26</v>
      </c>
      <c r="I515" s="5">
        <v>-138.26</v>
      </c>
      <c r="J515" s="5">
        <f t="shared" ref="J515:J578" si="35">(F515+H515)</f>
        <v>138.26</v>
      </c>
      <c r="K515" s="5">
        <v>86651.1</v>
      </c>
    </row>
    <row r="516" spans="1:11" x14ac:dyDescent="0.25">
      <c r="A516" s="5">
        <f t="shared" si="32"/>
        <v>2024</v>
      </c>
      <c r="B516" s="5">
        <f t="shared" si="33"/>
        <v>11</v>
      </c>
      <c r="C516" s="6">
        <v>45597</v>
      </c>
      <c r="D516" s="5" t="s">
        <v>713</v>
      </c>
      <c r="E516" s="5" t="s">
        <v>902</v>
      </c>
      <c r="G516" s="5">
        <v>-135.28</v>
      </c>
      <c r="H516" s="5">
        <f t="shared" si="34"/>
        <v>135.28</v>
      </c>
      <c r="I516" s="5">
        <v>-135.28</v>
      </c>
      <c r="J516" s="5">
        <f t="shared" si="35"/>
        <v>135.28</v>
      </c>
      <c r="K516" s="5">
        <v>30172.12</v>
      </c>
    </row>
    <row r="517" spans="1:11" x14ac:dyDescent="0.25">
      <c r="A517" s="5">
        <f t="shared" si="32"/>
        <v>2024</v>
      </c>
      <c r="B517" s="5">
        <f t="shared" si="33"/>
        <v>1</v>
      </c>
      <c r="C517" s="6">
        <v>45308</v>
      </c>
      <c r="D517" s="5" t="s">
        <v>147</v>
      </c>
      <c r="E517" s="5" t="s">
        <v>902</v>
      </c>
      <c r="G517" s="5">
        <v>-135</v>
      </c>
      <c r="H517" s="5">
        <f t="shared" si="34"/>
        <v>135</v>
      </c>
      <c r="I517" s="5">
        <v>-135</v>
      </c>
      <c r="J517" s="5">
        <f t="shared" si="35"/>
        <v>135</v>
      </c>
      <c r="K517" s="5">
        <v>19369.84</v>
      </c>
    </row>
    <row r="518" spans="1:11" x14ac:dyDescent="0.25">
      <c r="A518" s="5">
        <f t="shared" si="32"/>
        <v>2024</v>
      </c>
      <c r="B518" s="5">
        <f t="shared" si="33"/>
        <v>6</v>
      </c>
      <c r="C518" s="6">
        <v>45446</v>
      </c>
      <c r="D518" s="5" t="s">
        <v>364</v>
      </c>
      <c r="E518" s="5" t="s">
        <v>902</v>
      </c>
      <c r="G518" s="5">
        <v>-134.83000000000001</v>
      </c>
      <c r="H518" s="5">
        <f t="shared" si="34"/>
        <v>134.83000000000001</v>
      </c>
      <c r="I518" s="5">
        <v>-134.83000000000001</v>
      </c>
      <c r="J518" s="5">
        <f t="shared" si="35"/>
        <v>134.83000000000001</v>
      </c>
      <c r="K518" s="5">
        <v>10760.15</v>
      </c>
    </row>
    <row r="519" spans="1:11" x14ac:dyDescent="0.25">
      <c r="A519" s="5">
        <f t="shared" si="32"/>
        <v>2024</v>
      </c>
      <c r="B519" s="5">
        <f t="shared" si="33"/>
        <v>9</v>
      </c>
      <c r="C519" s="6">
        <v>45538</v>
      </c>
      <c r="D519" s="5" t="s">
        <v>553</v>
      </c>
      <c r="E519" s="5" t="s">
        <v>902</v>
      </c>
      <c r="G519" s="5">
        <v>-133.94</v>
      </c>
      <c r="H519" s="5">
        <f t="shared" si="34"/>
        <v>133.94</v>
      </c>
      <c r="I519" s="5">
        <v>-133.94</v>
      </c>
      <c r="J519" s="5">
        <f t="shared" si="35"/>
        <v>133.94</v>
      </c>
      <c r="K519" s="5">
        <v>76382.48</v>
      </c>
    </row>
    <row r="520" spans="1:11" x14ac:dyDescent="0.25">
      <c r="A520" s="5">
        <f t="shared" si="32"/>
        <v>2024</v>
      </c>
      <c r="B520" s="5">
        <f t="shared" si="33"/>
        <v>11</v>
      </c>
      <c r="C520" s="6">
        <v>45611</v>
      </c>
      <c r="D520" s="5" t="s">
        <v>744</v>
      </c>
      <c r="E520" s="5" t="s">
        <v>902</v>
      </c>
      <c r="G520" s="5">
        <v>-133.37</v>
      </c>
      <c r="H520" s="5">
        <f t="shared" si="34"/>
        <v>133.37</v>
      </c>
      <c r="I520" s="5">
        <v>-133.37</v>
      </c>
      <c r="J520" s="5">
        <f t="shared" si="35"/>
        <v>133.37</v>
      </c>
      <c r="K520" s="5">
        <v>5090.17</v>
      </c>
    </row>
    <row r="521" spans="1:11" x14ac:dyDescent="0.25">
      <c r="A521" s="5">
        <f t="shared" si="32"/>
        <v>2023</v>
      </c>
      <c r="B521" s="5">
        <f t="shared" si="33"/>
        <v>10</v>
      </c>
      <c r="C521" s="6">
        <v>45205</v>
      </c>
      <c r="D521" s="5" t="s">
        <v>44</v>
      </c>
      <c r="E521" s="5" t="s">
        <v>902</v>
      </c>
      <c r="G521" s="5">
        <v>-133.13</v>
      </c>
      <c r="H521" s="5">
        <f t="shared" si="34"/>
        <v>133.13</v>
      </c>
      <c r="I521" s="5">
        <v>-133.13</v>
      </c>
      <c r="J521" s="5">
        <f t="shared" si="35"/>
        <v>133.13</v>
      </c>
      <c r="K521" s="5">
        <v>4874.7299999999996</v>
      </c>
    </row>
    <row r="522" spans="1:11" x14ac:dyDescent="0.25">
      <c r="A522" s="5">
        <f t="shared" si="32"/>
        <v>2024</v>
      </c>
      <c r="B522" s="5">
        <f t="shared" si="33"/>
        <v>4</v>
      </c>
      <c r="C522" s="6">
        <v>45404</v>
      </c>
      <c r="D522" s="5" t="s">
        <v>293</v>
      </c>
      <c r="E522" s="5" t="s">
        <v>902</v>
      </c>
      <c r="G522" s="5">
        <v>-132.56</v>
      </c>
      <c r="H522" s="5">
        <f t="shared" si="34"/>
        <v>132.56</v>
      </c>
      <c r="I522" s="5">
        <v>-132.56</v>
      </c>
      <c r="J522" s="5">
        <f t="shared" si="35"/>
        <v>132.56</v>
      </c>
      <c r="K522" s="5">
        <v>13558.58</v>
      </c>
    </row>
    <row r="523" spans="1:11" x14ac:dyDescent="0.25">
      <c r="A523" s="5">
        <f t="shared" si="32"/>
        <v>2024</v>
      </c>
      <c r="B523" s="5">
        <f t="shared" si="33"/>
        <v>1</v>
      </c>
      <c r="C523" s="6">
        <v>45313</v>
      </c>
      <c r="D523" s="5" t="s">
        <v>150</v>
      </c>
      <c r="E523" s="5" t="s">
        <v>902</v>
      </c>
      <c r="G523" s="5">
        <v>-132.44</v>
      </c>
      <c r="H523" s="5">
        <f t="shared" si="34"/>
        <v>132.44</v>
      </c>
      <c r="I523" s="5">
        <v>-132.44</v>
      </c>
      <c r="J523" s="5">
        <f t="shared" si="35"/>
        <v>132.44</v>
      </c>
      <c r="K523" s="5">
        <v>18002.87</v>
      </c>
    </row>
    <row r="524" spans="1:11" x14ac:dyDescent="0.25">
      <c r="A524" s="5">
        <f t="shared" si="32"/>
        <v>2024</v>
      </c>
      <c r="B524" s="5">
        <f t="shared" si="33"/>
        <v>6</v>
      </c>
      <c r="C524" s="6">
        <v>45471</v>
      </c>
      <c r="D524" s="5" t="s">
        <v>410</v>
      </c>
      <c r="E524" s="5" t="s">
        <v>902</v>
      </c>
      <c r="G524" s="5">
        <v>-130.80000000000001</v>
      </c>
      <c r="H524" s="5">
        <f t="shared" si="34"/>
        <v>130.80000000000001</v>
      </c>
      <c r="I524" s="5">
        <v>-130.80000000000001</v>
      </c>
      <c r="J524" s="5">
        <f t="shared" si="35"/>
        <v>130.80000000000001</v>
      </c>
      <c r="K524" s="5">
        <v>65304.91</v>
      </c>
    </row>
    <row r="525" spans="1:11" x14ac:dyDescent="0.25">
      <c r="A525" s="5">
        <f t="shared" si="32"/>
        <v>2024</v>
      </c>
      <c r="B525" s="5">
        <f t="shared" si="33"/>
        <v>11</v>
      </c>
      <c r="C525" s="6">
        <v>45602</v>
      </c>
      <c r="D525" s="5" t="s">
        <v>725</v>
      </c>
      <c r="E525" s="5" t="s">
        <v>902</v>
      </c>
      <c r="G525" s="5">
        <v>-130.72</v>
      </c>
      <c r="H525" s="5">
        <f t="shared" si="34"/>
        <v>130.72</v>
      </c>
      <c r="I525" s="5">
        <v>-130.72</v>
      </c>
      <c r="J525" s="5">
        <f t="shared" si="35"/>
        <v>130.72</v>
      </c>
      <c r="K525" s="5">
        <v>40542.61</v>
      </c>
    </row>
    <row r="526" spans="1:11" x14ac:dyDescent="0.25">
      <c r="A526" s="5">
        <f t="shared" si="32"/>
        <v>2024</v>
      </c>
      <c r="B526" s="5">
        <f t="shared" si="33"/>
        <v>7</v>
      </c>
      <c r="C526" s="6">
        <v>45475</v>
      </c>
      <c r="D526" s="5" t="s">
        <v>419</v>
      </c>
      <c r="E526" s="5" t="s">
        <v>902</v>
      </c>
      <c r="G526" s="5">
        <v>-129.36000000000001</v>
      </c>
      <c r="H526" s="5">
        <f t="shared" si="34"/>
        <v>129.36000000000001</v>
      </c>
      <c r="I526" s="5">
        <v>-129.36000000000001</v>
      </c>
      <c r="J526" s="5">
        <f t="shared" si="35"/>
        <v>129.36000000000001</v>
      </c>
      <c r="K526" s="5">
        <v>72848.759999999995</v>
      </c>
    </row>
    <row r="527" spans="1:11" x14ac:dyDescent="0.25">
      <c r="A527" s="5">
        <f t="shared" si="32"/>
        <v>2024</v>
      </c>
      <c r="B527" s="5">
        <f t="shared" si="33"/>
        <v>8</v>
      </c>
      <c r="C527" s="6">
        <v>45523</v>
      </c>
      <c r="D527" s="5" t="s">
        <v>516</v>
      </c>
      <c r="E527" s="5" t="s">
        <v>902</v>
      </c>
      <c r="G527" s="5">
        <v>-127.59</v>
      </c>
      <c r="H527" s="5">
        <f t="shared" si="34"/>
        <v>127.59</v>
      </c>
      <c r="I527" s="5">
        <v>-127.59</v>
      </c>
      <c r="J527" s="5">
        <f t="shared" si="35"/>
        <v>127.59</v>
      </c>
      <c r="K527" s="5">
        <v>71635.39</v>
      </c>
    </row>
    <row r="528" spans="1:11" x14ac:dyDescent="0.25">
      <c r="A528" s="5">
        <f t="shared" si="32"/>
        <v>2024</v>
      </c>
      <c r="B528" s="5">
        <f t="shared" si="33"/>
        <v>2</v>
      </c>
      <c r="C528" s="6">
        <v>45327</v>
      </c>
      <c r="D528" s="5" t="s">
        <v>174</v>
      </c>
      <c r="E528" s="5" t="s">
        <v>902</v>
      </c>
      <c r="G528" s="5">
        <v>-126.56</v>
      </c>
      <c r="H528" s="5">
        <f t="shared" si="34"/>
        <v>126.56</v>
      </c>
      <c r="I528" s="5">
        <v>-126.56</v>
      </c>
      <c r="J528" s="5">
        <f t="shared" si="35"/>
        <v>126.56</v>
      </c>
      <c r="K528" s="5">
        <v>35066.199999999997</v>
      </c>
    </row>
    <row r="529" spans="1:11" x14ac:dyDescent="0.25">
      <c r="A529" s="5">
        <f t="shared" si="32"/>
        <v>2024</v>
      </c>
      <c r="B529" s="5">
        <f t="shared" si="33"/>
        <v>3</v>
      </c>
      <c r="C529" s="6">
        <v>45359</v>
      </c>
      <c r="D529" s="5" t="s">
        <v>215</v>
      </c>
      <c r="E529" s="5" t="s">
        <v>902</v>
      </c>
      <c r="G529" s="5">
        <v>-126.56</v>
      </c>
      <c r="H529" s="5">
        <f t="shared" si="34"/>
        <v>126.56</v>
      </c>
      <c r="I529" s="5">
        <v>-126.56</v>
      </c>
      <c r="J529" s="5">
        <f t="shared" si="35"/>
        <v>126.56</v>
      </c>
      <c r="K529" s="5">
        <v>21625.61</v>
      </c>
    </row>
    <row r="530" spans="1:11" x14ac:dyDescent="0.25">
      <c r="A530" s="5">
        <f t="shared" si="32"/>
        <v>2024</v>
      </c>
      <c r="B530" s="5">
        <f t="shared" si="33"/>
        <v>4</v>
      </c>
      <c r="C530" s="6">
        <v>45390</v>
      </c>
      <c r="D530" s="5" t="s">
        <v>273</v>
      </c>
      <c r="E530" s="5" t="s">
        <v>902</v>
      </c>
      <c r="G530" s="5">
        <v>-126.56</v>
      </c>
      <c r="H530" s="5">
        <f t="shared" si="34"/>
        <v>126.56</v>
      </c>
      <c r="I530" s="5">
        <v>-126.56</v>
      </c>
      <c r="J530" s="5">
        <f t="shared" si="35"/>
        <v>126.56</v>
      </c>
      <c r="K530" s="5">
        <v>19987.78</v>
      </c>
    </row>
    <row r="531" spans="1:11" x14ac:dyDescent="0.25">
      <c r="A531" s="5">
        <f t="shared" si="32"/>
        <v>2024</v>
      </c>
      <c r="B531" s="5">
        <f t="shared" si="33"/>
        <v>5</v>
      </c>
      <c r="C531" s="6">
        <v>45418</v>
      </c>
      <c r="D531" s="5" t="s">
        <v>323</v>
      </c>
      <c r="E531" s="5" t="s">
        <v>902</v>
      </c>
      <c r="G531" s="5">
        <v>-126.56</v>
      </c>
      <c r="H531" s="5">
        <f t="shared" si="34"/>
        <v>126.56</v>
      </c>
      <c r="I531" s="5">
        <v>-126.56</v>
      </c>
      <c r="J531" s="5">
        <f t="shared" si="35"/>
        <v>126.56</v>
      </c>
      <c r="K531" s="5">
        <v>9480.44</v>
      </c>
    </row>
    <row r="532" spans="1:11" x14ac:dyDescent="0.25">
      <c r="A532" s="5">
        <f t="shared" si="32"/>
        <v>2024</v>
      </c>
      <c r="B532" s="5">
        <f t="shared" si="33"/>
        <v>6</v>
      </c>
      <c r="C532" s="6">
        <v>45450</v>
      </c>
      <c r="D532" s="5" t="s">
        <v>373</v>
      </c>
      <c r="E532" s="5" t="s">
        <v>902</v>
      </c>
      <c r="G532" s="5">
        <v>-126.56</v>
      </c>
      <c r="H532" s="5">
        <f t="shared" si="34"/>
        <v>126.56</v>
      </c>
      <c r="I532" s="5">
        <v>-126.56</v>
      </c>
      <c r="J532" s="5">
        <f t="shared" si="35"/>
        <v>126.56</v>
      </c>
      <c r="K532" s="5">
        <v>25307.84</v>
      </c>
    </row>
    <row r="533" spans="1:11" x14ac:dyDescent="0.25">
      <c r="A533" s="5">
        <f t="shared" si="32"/>
        <v>2024</v>
      </c>
      <c r="B533" s="5">
        <f t="shared" si="33"/>
        <v>7</v>
      </c>
      <c r="C533" s="6">
        <v>45483</v>
      </c>
      <c r="D533" s="5" t="s">
        <v>433</v>
      </c>
      <c r="E533" s="5" t="s">
        <v>902</v>
      </c>
      <c r="G533" s="5">
        <v>-126.56</v>
      </c>
      <c r="H533" s="5">
        <f t="shared" si="34"/>
        <v>126.56</v>
      </c>
      <c r="I533" s="5">
        <v>-126.56</v>
      </c>
      <c r="J533" s="5">
        <f t="shared" si="35"/>
        <v>126.56</v>
      </c>
      <c r="K533" s="5">
        <v>81477.19</v>
      </c>
    </row>
    <row r="534" spans="1:11" x14ac:dyDescent="0.25">
      <c r="A534" s="5">
        <f t="shared" si="32"/>
        <v>2024</v>
      </c>
      <c r="B534" s="5">
        <f t="shared" si="33"/>
        <v>8</v>
      </c>
      <c r="C534" s="6">
        <v>45511</v>
      </c>
      <c r="D534" s="5" t="s">
        <v>498</v>
      </c>
      <c r="E534" s="5" t="s">
        <v>902</v>
      </c>
      <c r="G534" s="5">
        <v>-126.56</v>
      </c>
      <c r="H534" s="5">
        <f t="shared" si="34"/>
        <v>126.56</v>
      </c>
      <c r="I534" s="5">
        <v>-126.56</v>
      </c>
      <c r="J534" s="5">
        <f t="shared" si="35"/>
        <v>126.56</v>
      </c>
      <c r="K534" s="5">
        <v>41288.06</v>
      </c>
    </row>
    <row r="535" spans="1:11" x14ac:dyDescent="0.25">
      <c r="A535" s="5">
        <f t="shared" si="32"/>
        <v>2024</v>
      </c>
      <c r="B535" s="5">
        <f t="shared" si="33"/>
        <v>9</v>
      </c>
      <c r="C535" s="6">
        <v>45541</v>
      </c>
      <c r="D535" s="5" t="s">
        <v>567</v>
      </c>
      <c r="E535" s="5" t="s">
        <v>902</v>
      </c>
      <c r="G535" s="5">
        <v>-126.56</v>
      </c>
      <c r="H535" s="5">
        <f t="shared" si="34"/>
        <v>126.56</v>
      </c>
      <c r="I535" s="5">
        <v>-126.56</v>
      </c>
      <c r="J535" s="5">
        <f t="shared" si="35"/>
        <v>126.56</v>
      </c>
      <c r="K535" s="5">
        <v>80116.09</v>
      </c>
    </row>
    <row r="536" spans="1:11" x14ac:dyDescent="0.25">
      <c r="A536" s="5">
        <f t="shared" si="32"/>
        <v>2024</v>
      </c>
      <c r="B536" s="5">
        <f t="shared" si="33"/>
        <v>10</v>
      </c>
      <c r="C536" s="6">
        <v>45596</v>
      </c>
      <c r="D536" s="5" t="s">
        <v>704</v>
      </c>
      <c r="E536" s="5" t="s">
        <v>902</v>
      </c>
      <c r="G536" s="5">
        <v>-126.56</v>
      </c>
      <c r="H536" s="5">
        <f t="shared" si="34"/>
        <v>126.56</v>
      </c>
      <c r="I536" s="5">
        <v>-126.56</v>
      </c>
      <c r="J536" s="5">
        <f t="shared" si="35"/>
        <v>126.56</v>
      </c>
      <c r="K536" s="5">
        <v>75434.34</v>
      </c>
    </row>
    <row r="537" spans="1:11" x14ac:dyDescent="0.25">
      <c r="A537" s="5">
        <f t="shared" si="32"/>
        <v>2024</v>
      </c>
      <c r="B537" s="5">
        <f t="shared" si="33"/>
        <v>11</v>
      </c>
      <c r="C537" s="6">
        <v>45609</v>
      </c>
      <c r="D537" s="5" t="s">
        <v>736</v>
      </c>
      <c r="E537" s="5" t="s">
        <v>902</v>
      </c>
      <c r="G537" s="5">
        <v>-126.56</v>
      </c>
      <c r="H537" s="5">
        <f t="shared" si="34"/>
        <v>126.56</v>
      </c>
      <c r="I537" s="5">
        <v>-126.56</v>
      </c>
      <c r="J537" s="5">
        <f t="shared" si="35"/>
        <v>126.56</v>
      </c>
      <c r="K537" s="5">
        <v>23912.75</v>
      </c>
    </row>
    <row r="538" spans="1:11" x14ac:dyDescent="0.25">
      <c r="A538" s="5">
        <f t="shared" si="32"/>
        <v>2024</v>
      </c>
      <c r="B538" s="5">
        <f t="shared" si="33"/>
        <v>1</v>
      </c>
      <c r="C538" s="6">
        <v>45301</v>
      </c>
      <c r="D538" s="5" t="s">
        <v>44</v>
      </c>
      <c r="E538" s="5" t="s">
        <v>902</v>
      </c>
      <c r="G538" s="5">
        <v>-126.43</v>
      </c>
      <c r="H538" s="5">
        <f t="shared" si="34"/>
        <v>126.43</v>
      </c>
      <c r="I538" s="5">
        <v>-126.43</v>
      </c>
      <c r="J538" s="5">
        <f t="shared" si="35"/>
        <v>126.43</v>
      </c>
      <c r="K538" s="5">
        <v>31963.94</v>
      </c>
    </row>
    <row r="539" spans="1:11" x14ac:dyDescent="0.25">
      <c r="A539" s="5">
        <f t="shared" si="32"/>
        <v>2024</v>
      </c>
      <c r="B539" s="5">
        <f t="shared" si="33"/>
        <v>2</v>
      </c>
      <c r="C539" s="6">
        <v>45329</v>
      </c>
      <c r="D539" s="5" t="s">
        <v>44</v>
      </c>
      <c r="E539" s="5" t="s">
        <v>902</v>
      </c>
      <c r="G539" s="5">
        <v>-126.43</v>
      </c>
      <c r="H539" s="5">
        <f t="shared" si="34"/>
        <v>126.43</v>
      </c>
      <c r="I539" s="5">
        <v>-126.43</v>
      </c>
      <c r="J539" s="5">
        <f t="shared" si="35"/>
        <v>126.43</v>
      </c>
      <c r="K539" s="5">
        <v>34641.230000000003</v>
      </c>
    </row>
    <row r="540" spans="1:11" x14ac:dyDescent="0.25">
      <c r="A540" s="5">
        <f t="shared" si="32"/>
        <v>2024</v>
      </c>
      <c r="B540" s="5">
        <f t="shared" si="33"/>
        <v>3</v>
      </c>
      <c r="C540" s="6">
        <v>45359</v>
      </c>
      <c r="D540" s="5" t="s">
        <v>44</v>
      </c>
      <c r="E540" s="5" t="s">
        <v>902</v>
      </c>
      <c r="G540" s="5">
        <v>-126.43</v>
      </c>
      <c r="H540" s="5">
        <f t="shared" si="34"/>
        <v>126.43</v>
      </c>
      <c r="I540" s="5">
        <v>-126.43</v>
      </c>
      <c r="J540" s="5">
        <f t="shared" si="35"/>
        <v>126.43</v>
      </c>
      <c r="K540" s="5">
        <v>20405.18</v>
      </c>
    </row>
    <row r="541" spans="1:11" x14ac:dyDescent="0.25">
      <c r="A541" s="5">
        <f t="shared" si="32"/>
        <v>2024</v>
      </c>
      <c r="B541" s="5">
        <f t="shared" si="33"/>
        <v>4</v>
      </c>
      <c r="C541" s="6">
        <v>45390</v>
      </c>
      <c r="D541" s="5" t="s">
        <v>44</v>
      </c>
      <c r="E541" s="5" t="s">
        <v>902</v>
      </c>
      <c r="G541" s="5">
        <v>-126.43</v>
      </c>
      <c r="H541" s="5">
        <f t="shared" si="34"/>
        <v>126.43</v>
      </c>
      <c r="I541" s="5">
        <v>-126.43</v>
      </c>
      <c r="J541" s="5">
        <f t="shared" si="35"/>
        <v>126.43</v>
      </c>
      <c r="K541" s="5">
        <v>19720.41</v>
      </c>
    </row>
    <row r="542" spans="1:11" x14ac:dyDescent="0.25">
      <c r="A542" s="5">
        <f t="shared" si="32"/>
        <v>2024</v>
      </c>
      <c r="B542" s="5">
        <f t="shared" si="33"/>
        <v>5</v>
      </c>
      <c r="C542" s="6">
        <v>45421</v>
      </c>
      <c r="D542" s="5" t="s">
        <v>44</v>
      </c>
      <c r="E542" s="5" t="s">
        <v>902</v>
      </c>
      <c r="G542" s="5">
        <v>-126.43</v>
      </c>
      <c r="H542" s="5">
        <f t="shared" si="34"/>
        <v>126.43</v>
      </c>
      <c r="I542" s="5">
        <v>-126.43</v>
      </c>
      <c r="J542" s="5">
        <f t="shared" si="35"/>
        <v>126.43</v>
      </c>
      <c r="K542" s="5">
        <v>7151.04</v>
      </c>
    </row>
    <row r="543" spans="1:11" x14ac:dyDescent="0.25">
      <c r="A543" s="5">
        <f t="shared" si="32"/>
        <v>2024</v>
      </c>
      <c r="B543" s="5">
        <f t="shared" si="33"/>
        <v>6</v>
      </c>
      <c r="C543" s="6">
        <v>45453</v>
      </c>
      <c r="D543" s="5" t="s">
        <v>44</v>
      </c>
      <c r="E543" s="5" t="s">
        <v>902</v>
      </c>
      <c r="G543" s="5">
        <v>-126.43</v>
      </c>
      <c r="H543" s="5">
        <f t="shared" si="34"/>
        <v>126.43</v>
      </c>
      <c r="I543" s="5">
        <v>-126.43</v>
      </c>
      <c r="J543" s="5">
        <f t="shared" si="35"/>
        <v>126.43</v>
      </c>
      <c r="K543" s="5">
        <v>39539.379999999997</v>
      </c>
    </row>
    <row r="544" spans="1:11" x14ac:dyDescent="0.25">
      <c r="A544" s="5">
        <f t="shared" si="32"/>
        <v>2024</v>
      </c>
      <c r="B544" s="5">
        <f t="shared" si="33"/>
        <v>7</v>
      </c>
      <c r="C544" s="6">
        <v>45478</v>
      </c>
      <c r="D544" s="5" t="s">
        <v>44</v>
      </c>
      <c r="E544" s="5" t="s">
        <v>902</v>
      </c>
      <c r="G544" s="5">
        <v>-126.43</v>
      </c>
      <c r="H544" s="5">
        <f t="shared" si="34"/>
        <v>126.43</v>
      </c>
      <c r="I544" s="5">
        <v>-126.43</v>
      </c>
      <c r="J544" s="5">
        <f t="shared" si="35"/>
        <v>126.43</v>
      </c>
      <c r="K544" s="5">
        <v>71538.570000000007</v>
      </c>
    </row>
    <row r="545" spans="1:11" x14ac:dyDescent="0.25">
      <c r="A545" s="5">
        <f t="shared" si="32"/>
        <v>2024</v>
      </c>
      <c r="B545" s="5">
        <f t="shared" si="33"/>
        <v>8</v>
      </c>
      <c r="C545" s="6">
        <v>45516</v>
      </c>
      <c r="D545" s="5" t="s">
        <v>44</v>
      </c>
      <c r="E545" s="5" t="s">
        <v>902</v>
      </c>
      <c r="G545" s="5">
        <v>-126.43</v>
      </c>
      <c r="H545" s="5">
        <f t="shared" si="34"/>
        <v>126.43</v>
      </c>
      <c r="I545" s="5">
        <v>-126.43</v>
      </c>
      <c r="J545" s="5">
        <f t="shared" si="35"/>
        <v>126.43</v>
      </c>
      <c r="K545" s="5">
        <v>25796.34</v>
      </c>
    </row>
    <row r="546" spans="1:11" x14ac:dyDescent="0.25">
      <c r="A546" s="5">
        <f t="shared" si="32"/>
        <v>2024</v>
      </c>
      <c r="B546" s="5">
        <f t="shared" si="33"/>
        <v>9</v>
      </c>
      <c r="C546" s="6">
        <v>45544</v>
      </c>
      <c r="D546" s="5" t="s">
        <v>44</v>
      </c>
      <c r="E546" s="5" t="s">
        <v>902</v>
      </c>
      <c r="G546" s="5">
        <v>-126.43</v>
      </c>
      <c r="H546" s="5">
        <f t="shared" si="34"/>
        <v>126.43</v>
      </c>
      <c r="I546" s="5">
        <v>-126.43</v>
      </c>
      <c r="J546" s="5">
        <f t="shared" si="35"/>
        <v>126.43</v>
      </c>
      <c r="K546" s="5">
        <v>67710.37</v>
      </c>
    </row>
    <row r="547" spans="1:11" x14ac:dyDescent="0.25">
      <c r="A547" s="5">
        <f t="shared" si="32"/>
        <v>2024</v>
      </c>
      <c r="B547" s="5">
        <f t="shared" si="33"/>
        <v>10</v>
      </c>
      <c r="C547" s="6">
        <v>45572</v>
      </c>
      <c r="D547" s="5" t="s">
        <v>44</v>
      </c>
      <c r="E547" s="5" t="s">
        <v>902</v>
      </c>
      <c r="G547" s="5">
        <v>-126.43</v>
      </c>
      <c r="H547" s="5">
        <f t="shared" si="34"/>
        <v>126.43</v>
      </c>
      <c r="I547" s="5">
        <v>-126.43</v>
      </c>
      <c r="J547" s="5">
        <f t="shared" si="35"/>
        <v>126.43</v>
      </c>
      <c r="K547" s="5">
        <v>69758.679999999993</v>
      </c>
    </row>
    <row r="548" spans="1:11" x14ac:dyDescent="0.25">
      <c r="A548" s="5">
        <f t="shared" si="32"/>
        <v>2024</v>
      </c>
      <c r="B548" s="5">
        <f t="shared" si="33"/>
        <v>11</v>
      </c>
      <c r="C548" s="6">
        <v>45604</v>
      </c>
      <c r="D548" s="5" t="s">
        <v>44</v>
      </c>
      <c r="E548" s="5" t="s">
        <v>902</v>
      </c>
      <c r="G548" s="5">
        <v>-126.43</v>
      </c>
      <c r="H548" s="5">
        <f t="shared" si="34"/>
        <v>126.43</v>
      </c>
      <c r="I548" s="5">
        <v>-126.43</v>
      </c>
      <c r="J548" s="5">
        <f t="shared" si="35"/>
        <v>126.43</v>
      </c>
      <c r="K548" s="5">
        <v>40234.14</v>
      </c>
    </row>
    <row r="549" spans="1:11" x14ac:dyDescent="0.25">
      <c r="A549" s="5">
        <f t="shared" si="32"/>
        <v>2024</v>
      </c>
      <c r="B549" s="5">
        <f t="shared" si="33"/>
        <v>12</v>
      </c>
      <c r="C549" s="6">
        <v>45635</v>
      </c>
      <c r="D549" s="5" t="s">
        <v>44</v>
      </c>
      <c r="E549" s="5" t="s">
        <v>902</v>
      </c>
      <c r="G549" s="5">
        <v>-126.43</v>
      </c>
      <c r="H549" s="5">
        <f t="shared" si="34"/>
        <v>126.43</v>
      </c>
      <c r="I549" s="5">
        <v>-126.43</v>
      </c>
      <c r="J549" s="5">
        <f t="shared" si="35"/>
        <v>126.43</v>
      </c>
      <c r="K549" s="5">
        <v>7352.76</v>
      </c>
    </row>
    <row r="550" spans="1:11" x14ac:dyDescent="0.25">
      <c r="A550" s="5">
        <f t="shared" si="32"/>
        <v>2025</v>
      </c>
      <c r="B550" s="5">
        <f t="shared" si="33"/>
        <v>1</v>
      </c>
      <c r="C550" s="6">
        <v>45666</v>
      </c>
      <c r="D550" s="5" t="s">
        <v>44</v>
      </c>
      <c r="E550" s="5" t="s">
        <v>902</v>
      </c>
      <c r="G550" s="5">
        <v>-126.43</v>
      </c>
      <c r="H550" s="5">
        <f t="shared" si="34"/>
        <v>126.43</v>
      </c>
      <c r="I550" s="5">
        <v>-126.43</v>
      </c>
      <c r="J550" s="5">
        <f t="shared" si="35"/>
        <v>126.43</v>
      </c>
      <c r="K550" s="5">
        <v>59828.3</v>
      </c>
    </row>
    <row r="551" spans="1:11" x14ac:dyDescent="0.25">
      <c r="A551" s="5">
        <f t="shared" si="32"/>
        <v>2025</v>
      </c>
      <c r="B551" s="5">
        <f t="shared" si="33"/>
        <v>2</v>
      </c>
      <c r="C551" s="6">
        <v>45700</v>
      </c>
      <c r="D551" s="5" t="s">
        <v>44</v>
      </c>
      <c r="E551" s="5" t="s">
        <v>902</v>
      </c>
      <c r="G551" s="5">
        <v>-126.43</v>
      </c>
      <c r="H551" s="5">
        <f t="shared" si="34"/>
        <v>126.43</v>
      </c>
      <c r="I551" s="5">
        <v>-126.43</v>
      </c>
      <c r="J551" s="5">
        <f t="shared" si="35"/>
        <v>126.43</v>
      </c>
      <c r="K551" s="5">
        <v>61343.62</v>
      </c>
    </row>
    <row r="552" spans="1:11" x14ac:dyDescent="0.25">
      <c r="A552" s="5">
        <f t="shared" si="32"/>
        <v>2024</v>
      </c>
      <c r="B552" s="5">
        <f t="shared" si="33"/>
        <v>9</v>
      </c>
      <c r="C552" s="6">
        <v>45562</v>
      </c>
      <c r="D552" s="5" t="s">
        <v>621</v>
      </c>
      <c r="E552" s="5" t="s">
        <v>902</v>
      </c>
      <c r="G552" s="5">
        <v>-126</v>
      </c>
      <c r="H552" s="5">
        <f t="shared" si="34"/>
        <v>126</v>
      </c>
      <c r="I552" s="5">
        <v>-126</v>
      </c>
      <c r="J552" s="5">
        <f t="shared" si="35"/>
        <v>126</v>
      </c>
      <c r="K552" s="5">
        <v>76541.600000000006</v>
      </c>
    </row>
    <row r="553" spans="1:11" x14ac:dyDescent="0.25">
      <c r="A553" s="5">
        <f t="shared" si="32"/>
        <v>2024</v>
      </c>
      <c r="B553" s="5">
        <f t="shared" si="33"/>
        <v>9</v>
      </c>
      <c r="C553" s="6">
        <v>45541</v>
      </c>
      <c r="D553" s="5" t="s">
        <v>572</v>
      </c>
      <c r="E553" s="5" t="s">
        <v>902</v>
      </c>
      <c r="G553" s="5">
        <v>-124.78</v>
      </c>
      <c r="H553" s="5">
        <f t="shared" si="34"/>
        <v>124.78</v>
      </c>
      <c r="I553" s="5">
        <v>-124.78</v>
      </c>
      <c r="J553" s="5">
        <f t="shared" si="35"/>
        <v>124.78</v>
      </c>
      <c r="K553" s="5">
        <v>48702.81</v>
      </c>
    </row>
    <row r="554" spans="1:11" x14ac:dyDescent="0.25">
      <c r="A554" s="5">
        <f t="shared" si="32"/>
        <v>2024</v>
      </c>
      <c r="B554" s="5">
        <f t="shared" si="33"/>
        <v>5</v>
      </c>
      <c r="C554" s="6">
        <v>45414</v>
      </c>
      <c r="D554" s="5" t="s">
        <v>312</v>
      </c>
      <c r="E554" s="5" t="s">
        <v>902</v>
      </c>
      <c r="G554" s="5">
        <v>-123.29</v>
      </c>
      <c r="H554" s="5">
        <f t="shared" si="34"/>
        <v>123.29</v>
      </c>
      <c r="I554" s="5">
        <v>-123.29</v>
      </c>
      <c r="J554" s="5">
        <f t="shared" si="35"/>
        <v>123.29</v>
      </c>
      <c r="K554" s="5">
        <v>27294.21</v>
      </c>
    </row>
    <row r="555" spans="1:11" x14ac:dyDescent="0.25">
      <c r="A555" s="5">
        <f t="shared" si="32"/>
        <v>2024</v>
      </c>
      <c r="B555" s="5">
        <f t="shared" si="33"/>
        <v>7</v>
      </c>
      <c r="C555" s="6">
        <v>45485</v>
      </c>
      <c r="D555" s="5" t="s">
        <v>437</v>
      </c>
      <c r="E555" s="5" t="s">
        <v>902</v>
      </c>
      <c r="G555" s="5">
        <v>-122.65</v>
      </c>
      <c r="H555" s="5">
        <f t="shared" si="34"/>
        <v>122.65</v>
      </c>
      <c r="I555" s="5">
        <v>-122.65</v>
      </c>
      <c r="J555" s="5">
        <f t="shared" si="35"/>
        <v>122.65</v>
      </c>
      <c r="K555" s="5">
        <v>58817.63</v>
      </c>
    </row>
    <row r="556" spans="1:11" x14ac:dyDescent="0.25">
      <c r="A556" s="5">
        <f t="shared" si="32"/>
        <v>2024</v>
      </c>
      <c r="B556" s="5">
        <f t="shared" si="33"/>
        <v>2</v>
      </c>
      <c r="C556" s="6">
        <v>45330</v>
      </c>
      <c r="D556" s="5" t="s">
        <v>176</v>
      </c>
      <c r="E556" s="5" t="s">
        <v>902</v>
      </c>
      <c r="G556" s="5">
        <v>-121.14</v>
      </c>
      <c r="H556" s="5">
        <f t="shared" si="34"/>
        <v>121.14</v>
      </c>
      <c r="I556" s="5">
        <v>-121.14</v>
      </c>
      <c r="J556" s="5">
        <f t="shared" si="35"/>
        <v>121.14</v>
      </c>
      <c r="K556" s="5">
        <v>34520.089999999997</v>
      </c>
    </row>
    <row r="557" spans="1:11" x14ac:dyDescent="0.25">
      <c r="A557" s="5">
        <f t="shared" si="32"/>
        <v>2024</v>
      </c>
      <c r="B557" s="5">
        <f t="shared" si="33"/>
        <v>9</v>
      </c>
      <c r="C557" s="6">
        <v>45541</v>
      </c>
      <c r="D557" s="5" t="s">
        <v>568</v>
      </c>
      <c r="E557" s="5" t="s">
        <v>902</v>
      </c>
      <c r="G557" s="5">
        <v>-119.14</v>
      </c>
      <c r="H557" s="5">
        <f t="shared" si="34"/>
        <v>119.14</v>
      </c>
      <c r="I557" s="5">
        <v>-119.14</v>
      </c>
      <c r="J557" s="5">
        <f t="shared" si="35"/>
        <v>119.14</v>
      </c>
      <c r="K557" s="5">
        <v>79996.95</v>
      </c>
    </row>
    <row r="558" spans="1:11" x14ac:dyDescent="0.25">
      <c r="A558" s="5">
        <f t="shared" si="32"/>
        <v>2024</v>
      </c>
      <c r="B558" s="5">
        <f t="shared" si="33"/>
        <v>7</v>
      </c>
      <c r="C558" s="6">
        <v>45475</v>
      </c>
      <c r="D558" s="5" t="s">
        <v>423</v>
      </c>
      <c r="E558" s="5" t="s">
        <v>902</v>
      </c>
      <c r="G558" s="5">
        <v>-119</v>
      </c>
      <c r="H558" s="5">
        <f t="shared" si="34"/>
        <v>119</v>
      </c>
      <c r="I558" s="5">
        <v>-119</v>
      </c>
      <c r="J558" s="5">
        <f t="shared" si="35"/>
        <v>119</v>
      </c>
      <c r="K558" s="5">
        <v>71956.259999999995</v>
      </c>
    </row>
    <row r="559" spans="1:11" x14ac:dyDescent="0.25">
      <c r="A559" s="5">
        <f t="shared" si="32"/>
        <v>2024</v>
      </c>
      <c r="B559" s="5">
        <f t="shared" si="33"/>
        <v>8</v>
      </c>
      <c r="C559" s="6">
        <v>45510</v>
      </c>
      <c r="D559" s="5" t="s">
        <v>496</v>
      </c>
      <c r="E559" s="5" t="s">
        <v>902</v>
      </c>
      <c r="G559" s="5">
        <v>-118.95</v>
      </c>
      <c r="H559" s="5">
        <f t="shared" si="34"/>
        <v>118.95</v>
      </c>
      <c r="I559" s="5">
        <v>-118.95</v>
      </c>
      <c r="J559" s="5">
        <f t="shared" si="35"/>
        <v>118.95</v>
      </c>
      <c r="K559" s="5">
        <v>41682.69</v>
      </c>
    </row>
    <row r="560" spans="1:11" x14ac:dyDescent="0.25">
      <c r="A560" s="5">
        <f t="shared" si="32"/>
        <v>2023</v>
      </c>
      <c r="B560" s="5">
        <f t="shared" si="33"/>
        <v>12</v>
      </c>
      <c r="C560" s="6">
        <v>45266</v>
      </c>
      <c r="D560" s="5" t="s">
        <v>90</v>
      </c>
      <c r="E560" s="5" t="s">
        <v>902</v>
      </c>
      <c r="G560" s="5">
        <v>-118.41</v>
      </c>
      <c r="H560" s="5">
        <f t="shared" si="34"/>
        <v>118.41</v>
      </c>
      <c r="I560" s="5">
        <v>-118.41</v>
      </c>
      <c r="J560" s="5">
        <f t="shared" si="35"/>
        <v>118.41</v>
      </c>
      <c r="K560" s="5">
        <v>19058.580000000002</v>
      </c>
    </row>
    <row r="561" spans="1:11" x14ac:dyDescent="0.25">
      <c r="A561" s="5">
        <f t="shared" si="32"/>
        <v>2024</v>
      </c>
      <c r="B561" s="5">
        <f t="shared" si="33"/>
        <v>1</v>
      </c>
      <c r="C561" s="6">
        <v>45296</v>
      </c>
      <c r="D561" s="5" t="s">
        <v>126</v>
      </c>
      <c r="E561" s="5" t="s">
        <v>902</v>
      </c>
      <c r="G561" s="5">
        <v>-118.41</v>
      </c>
      <c r="H561" s="5">
        <f t="shared" si="34"/>
        <v>118.41</v>
      </c>
      <c r="I561" s="5">
        <v>-118.41</v>
      </c>
      <c r="J561" s="5">
        <f t="shared" si="35"/>
        <v>118.41</v>
      </c>
      <c r="K561" s="5">
        <v>50937</v>
      </c>
    </row>
    <row r="562" spans="1:11" x14ac:dyDescent="0.25">
      <c r="A562" s="5">
        <f t="shared" si="32"/>
        <v>2024</v>
      </c>
      <c r="B562" s="5">
        <f t="shared" si="33"/>
        <v>3</v>
      </c>
      <c r="C562" s="6">
        <v>45362</v>
      </c>
      <c r="D562" s="5" t="s">
        <v>224</v>
      </c>
      <c r="E562" s="5" t="s">
        <v>902</v>
      </c>
      <c r="G562" s="5">
        <v>-118.1</v>
      </c>
      <c r="H562" s="5">
        <f t="shared" si="34"/>
        <v>118.1</v>
      </c>
      <c r="I562" s="5">
        <v>-118.1</v>
      </c>
      <c r="J562" s="5">
        <f t="shared" si="35"/>
        <v>118.1</v>
      </c>
      <c r="K562" s="5">
        <v>27543.86</v>
      </c>
    </row>
    <row r="563" spans="1:11" x14ac:dyDescent="0.25">
      <c r="A563" s="5">
        <f t="shared" si="32"/>
        <v>2024</v>
      </c>
      <c r="B563" s="5">
        <f t="shared" si="33"/>
        <v>3</v>
      </c>
      <c r="C563" s="6">
        <v>45379</v>
      </c>
      <c r="D563" s="5" t="s">
        <v>249</v>
      </c>
      <c r="E563" s="5" t="s">
        <v>902</v>
      </c>
      <c r="G563" s="5">
        <v>-116.96</v>
      </c>
      <c r="H563" s="5">
        <f t="shared" si="34"/>
        <v>116.96</v>
      </c>
      <c r="I563" s="5">
        <v>-116.96</v>
      </c>
      <c r="J563" s="5">
        <f t="shared" si="35"/>
        <v>116.96</v>
      </c>
      <c r="K563" s="5">
        <v>22575.279999999999</v>
      </c>
    </row>
    <row r="564" spans="1:11" x14ac:dyDescent="0.25">
      <c r="A564" s="5">
        <f t="shared" si="32"/>
        <v>2024</v>
      </c>
      <c r="B564" s="5">
        <f t="shared" si="33"/>
        <v>3</v>
      </c>
      <c r="C564" s="6">
        <v>45359</v>
      </c>
      <c r="D564" s="5" t="s">
        <v>219</v>
      </c>
      <c r="E564" s="5" t="s">
        <v>902</v>
      </c>
      <c r="G564" s="5">
        <v>-115.22</v>
      </c>
      <c r="H564" s="5">
        <f t="shared" si="34"/>
        <v>115.22</v>
      </c>
      <c r="I564" s="5">
        <v>-115.22</v>
      </c>
      <c r="J564" s="5">
        <f t="shared" si="35"/>
        <v>115.22</v>
      </c>
      <c r="K564" s="5">
        <v>20289.96</v>
      </c>
    </row>
    <row r="565" spans="1:11" x14ac:dyDescent="0.25">
      <c r="A565" s="5">
        <f t="shared" si="32"/>
        <v>2023</v>
      </c>
      <c r="B565" s="5">
        <f t="shared" si="33"/>
        <v>9</v>
      </c>
      <c r="C565" s="6">
        <v>45195</v>
      </c>
      <c r="D565" s="5" t="s">
        <v>28</v>
      </c>
      <c r="E565" s="5" t="s">
        <v>902</v>
      </c>
      <c r="G565" s="5">
        <v>-114.22</v>
      </c>
      <c r="H565" s="5">
        <f t="shared" si="34"/>
        <v>114.22</v>
      </c>
      <c r="I565" s="5">
        <v>-114.22</v>
      </c>
      <c r="J565" s="5">
        <f t="shared" si="35"/>
        <v>114.22</v>
      </c>
      <c r="K565" s="5">
        <v>23475.94</v>
      </c>
    </row>
    <row r="566" spans="1:11" x14ac:dyDescent="0.25">
      <c r="A566" s="5">
        <f t="shared" si="32"/>
        <v>2024</v>
      </c>
      <c r="B566" s="5">
        <f t="shared" si="33"/>
        <v>1</v>
      </c>
      <c r="C566" s="6">
        <v>45293</v>
      </c>
      <c r="D566" s="5" t="s">
        <v>117</v>
      </c>
      <c r="E566" s="5" t="s">
        <v>902</v>
      </c>
      <c r="G566" s="5">
        <v>-114.17</v>
      </c>
      <c r="H566" s="5">
        <f t="shared" si="34"/>
        <v>114.17</v>
      </c>
      <c r="I566" s="5">
        <v>-114.17</v>
      </c>
      <c r="J566" s="5">
        <f t="shared" si="35"/>
        <v>114.17</v>
      </c>
      <c r="K566" s="5">
        <v>33508.06</v>
      </c>
    </row>
    <row r="567" spans="1:11" x14ac:dyDescent="0.25">
      <c r="A567" s="5">
        <f t="shared" si="32"/>
        <v>2024</v>
      </c>
      <c r="B567" s="5">
        <f t="shared" si="33"/>
        <v>7</v>
      </c>
      <c r="C567" s="6">
        <v>45474</v>
      </c>
      <c r="D567" s="5" t="s">
        <v>414</v>
      </c>
      <c r="E567" s="5" t="s">
        <v>902</v>
      </c>
      <c r="G567" s="5">
        <v>-114.05</v>
      </c>
      <c r="H567" s="5">
        <f t="shared" si="34"/>
        <v>114.05</v>
      </c>
      <c r="I567" s="5">
        <v>-114.05</v>
      </c>
      <c r="J567" s="5">
        <f t="shared" si="35"/>
        <v>114.05</v>
      </c>
      <c r="K567" s="5">
        <v>67655.740000000005</v>
      </c>
    </row>
    <row r="568" spans="1:11" x14ac:dyDescent="0.25">
      <c r="A568" s="5">
        <f t="shared" si="32"/>
        <v>2023</v>
      </c>
      <c r="B568" s="5">
        <f t="shared" si="33"/>
        <v>10</v>
      </c>
      <c r="C568" s="6">
        <v>45226</v>
      </c>
      <c r="D568" s="5" t="s">
        <v>55</v>
      </c>
      <c r="E568" s="5" t="s">
        <v>902</v>
      </c>
      <c r="G568" s="5">
        <v>-112.96</v>
      </c>
      <c r="H568" s="5">
        <f t="shared" si="34"/>
        <v>112.96</v>
      </c>
      <c r="I568" s="5">
        <v>-112.96</v>
      </c>
      <c r="J568" s="5">
        <f t="shared" si="35"/>
        <v>112.96</v>
      </c>
      <c r="K568" s="5">
        <v>37561.61</v>
      </c>
    </row>
    <row r="569" spans="1:11" x14ac:dyDescent="0.25">
      <c r="A569" s="5">
        <f t="shared" si="32"/>
        <v>2024</v>
      </c>
      <c r="B569" s="5">
        <f t="shared" si="33"/>
        <v>5</v>
      </c>
      <c r="C569" s="6">
        <v>45425</v>
      </c>
      <c r="D569" s="5" t="s">
        <v>332</v>
      </c>
      <c r="E569" s="5" t="s">
        <v>902</v>
      </c>
      <c r="G569" s="5">
        <v>-112.6</v>
      </c>
      <c r="H569" s="5">
        <f t="shared" si="34"/>
        <v>112.6</v>
      </c>
      <c r="I569" s="5">
        <v>-112.6</v>
      </c>
      <c r="J569" s="5">
        <f t="shared" si="35"/>
        <v>112.6</v>
      </c>
      <c r="K569" s="5">
        <v>8725.07</v>
      </c>
    </row>
    <row r="570" spans="1:11" x14ac:dyDescent="0.25">
      <c r="A570" s="5">
        <f t="shared" si="32"/>
        <v>2024</v>
      </c>
      <c r="B570" s="5">
        <f t="shared" si="33"/>
        <v>5</v>
      </c>
      <c r="C570" s="6">
        <v>45427</v>
      </c>
      <c r="D570" s="5" t="s">
        <v>335</v>
      </c>
      <c r="E570" s="5" t="s">
        <v>902</v>
      </c>
      <c r="G570" s="5">
        <v>-108.43</v>
      </c>
      <c r="H570" s="5">
        <f t="shared" si="34"/>
        <v>108.43</v>
      </c>
      <c r="I570" s="5">
        <v>-108.43</v>
      </c>
      <c r="J570" s="5">
        <f t="shared" si="35"/>
        <v>108.43</v>
      </c>
      <c r="K570" s="5">
        <v>25566.639999999999</v>
      </c>
    </row>
    <row r="571" spans="1:11" x14ac:dyDescent="0.25">
      <c r="A571" s="5">
        <f t="shared" si="32"/>
        <v>2024</v>
      </c>
      <c r="B571" s="5">
        <f t="shared" si="33"/>
        <v>11</v>
      </c>
      <c r="C571" s="6">
        <v>45625</v>
      </c>
      <c r="D571" s="5" t="s">
        <v>762</v>
      </c>
      <c r="E571" s="5" t="s">
        <v>902</v>
      </c>
      <c r="G571" s="5">
        <v>-107.4</v>
      </c>
      <c r="H571" s="5">
        <f t="shared" si="34"/>
        <v>107.4</v>
      </c>
      <c r="I571" s="5">
        <v>-107.4</v>
      </c>
      <c r="J571" s="5">
        <f t="shared" si="35"/>
        <v>107.4</v>
      </c>
      <c r="K571" s="5">
        <v>19591.580000000002</v>
      </c>
    </row>
    <row r="572" spans="1:11" x14ac:dyDescent="0.25">
      <c r="A572" s="5">
        <f t="shared" si="32"/>
        <v>2024</v>
      </c>
      <c r="B572" s="5">
        <f t="shared" si="33"/>
        <v>11</v>
      </c>
      <c r="C572" s="6">
        <v>45621</v>
      </c>
      <c r="D572" s="5" t="s">
        <v>757</v>
      </c>
      <c r="E572" s="5" t="s">
        <v>902</v>
      </c>
      <c r="G572" s="5">
        <v>-106.93</v>
      </c>
      <c r="H572" s="5">
        <f t="shared" si="34"/>
        <v>106.93</v>
      </c>
      <c r="I572" s="5">
        <v>-106.93</v>
      </c>
      <c r="J572" s="5">
        <f t="shared" si="35"/>
        <v>106.93</v>
      </c>
      <c r="K572" s="5">
        <v>11964.5</v>
      </c>
    </row>
    <row r="573" spans="1:11" x14ac:dyDescent="0.25">
      <c r="A573" s="5">
        <f t="shared" si="32"/>
        <v>2024</v>
      </c>
      <c r="B573" s="5">
        <f t="shared" si="33"/>
        <v>9</v>
      </c>
      <c r="C573" s="6">
        <v>45551</v>
      </c>
      <c r="D573" s="5" t="s">
        <v>589</v>
      </c>
      <c r="E573" s="5" t="s">
        <v>902</v>
      </c>
      <c r="G573" s="5">
        <v>-106.24</v>
      </c>
      <c r="H573" s="5">
        <f t="shared" si="34"/>
        <v>106.24</v>
      </c>
      <c r="I573" s="5">
        <v>-106.24</v>
      </c>
      <c r="J573" s="5">
        <f t="shared" si="35"/>
        <v>106.24</v>
      </c>
      <c r="K573" s="5">
        <v>87403.46</v>
      </c>
    </row>
    <row r="574" spans="1:11" x14ac:dyDescent="0.25">
      <c r="A574" s="5">
        <f t="shared" si="32"/>
        <v>2024</v>
      </c>
      <c r="B574" s="5">
        <f t="shared" si="33"/>
        <v>11</v>
      </c>
      <c r="C574" s="6">
        <v>45618</v>
      </c>
      <c r="D574" s="5" t="s">
        <v>752</v>
      </c>
      <c r="E574" s="5" t="s">
        <v>902</v>
      </c>
      <c r="G574" s="5">
        <v>-106.24</v>
      </c>
      <c r="H574" s="5">
        <f t="shared" si="34"/>
        <v>106.24</v>
      </c>
      <c r="I574" s="5">
        <v>-106.24</v>
      </c>
      <c r="J574" s="5">
        <f t="shared" si="35"/>
        <v>106.24</v>
      </c>
      <c r="K574" s="5">
        <v>5108.99</v>
      </c>
    </row>
    <row r="575" spans="1:11" x14ac:dyDescent="0.25">
      <c r="A575" s="5">
        <f t="shared" si="32"/>
        <v>2025</v>
      </c>
      <c r="B575" s="5">
        <f t="shared" si="33"/>
        <v>1</v>
      </c>
      <c r="C575" s="6">
        <v>45660</v>
      </c>
      <c r="D575" s="5" t="s">
        <v>822</v>
      </c>
      <c r="E575" s="5" t="s">
        <v>902</v>
      </c>
      <c r="G575" s="5">
        <v>-106.2</v>
      </c>
      <c r="H575" s="5">
        <f t="shared" si="34"/>
        <v>106.2</v>
      </c>
      <c r="I575" s="5">
        <v>-106.2</v>
      </c>
      <c r="J575" s="5">
        <f t="shared" si="35"/>
        <v>106.2</v>
      </c>
      <c r="K575" s="5">
        <v>59861.49</v>
      </c>
    </row>
    <row r="576" spans="1:11" x14ac:dyDescent="0.25">
      <c r="A576" s="5">
        <f t="shared" si="32"/>
        <v>2023</v>
      </c>
      <c r="B576" s="5">
        <f t="shared" si="33"/>
        <v>10</v>
      </c>
      <c r="C576" s="6">
        <v>45204</v>
      </c>
      <c r="D576" s="5" t="s">
        <v>35</v>
      </c>
      <c r="E576" s="5" t="s">
        <v>902</v>
      </c>
      <c r="G576" s="5">
        <v>-105.77</v>
      </c>
      <c r="H576" s="5">
        <f t="shared" si="34"/>
        <v>105.77</v>
      </c>
      <c r="I576" s="5">
        <v>-105.77</v>
      </c>
      <c r="J576" s="5">
        <f t="shared" si="35"/>
        <v>105.77</v>
      </c>
      <c r="K576" s="5">
        <v>11830.59</v>
      </c>
    </row>
    <row r="577" spans="1:11" x14ac:dyDescent="0.25">
      <c r="A577" s="5">
        <f t="shared" si="32"/>
        <v>2024</v>
      </c>
      <c r="B577" s="5">
        <f t="shared" si="33"/>
        <v>9</v>
      </c>
      <c r="C577" s="6">
        <v>45538</v>
      </c>
      <c r="D577" s="5" t="s">
        <v>557</v>
      </c>
      <c r="E577" s="5" t="s">
        <v>902</v>
      </c>
      <c r="G577" s="5">
        <v>-105.29</v>
      </c>
      <c r="H577" s="5">
        <f t="shared" si="34"/>
        <v>105.29</v>
      </c>
      <c r="I577" s="5">
        <v>-105.29</v>
      </c>
      <c r="J577" s="5">
        <f t="shared" si="35"/>
        <v>105.29</v>
      </c>
      <c r="K577" s="5">
        <v>71152.350000000006</v>
      </c>
    </row>
    <row r="578" spans="1:11" x14ac:dyDescent="0.25">
      <c r="A578" s="5">
        <f t="shared" si="32"/>
        <v>2024</v>
      </c>
      <c r="B578" s="5">
        <f t="shared" si="33"/>
        <v>10</v>
      </c>
      <c r="C578" s="6">
        <v>45596</v>
      </c>
      <c r="D578" s="5" t="s">
        <v>704</v>
      </c>
      <c r="E578" s="5" t="s">
        <v>902</v>
      </c>
      <c r="G578" s="5">
        <v>-105.19</v>
      </c>
      <c r="H578" s="5">
        <f t="shared" si="34"/>
        <v>105.19</v>
      </c>
      <c r="I578" s="5">
        <v>-105.19</v>
      </c>
      <c r="J578" s="5">
        <f t="shared" si="35"/>
        <v>105.19</v>
      </c>
      <c r="K578" s="5">
        <v>75560.899999999994</v>
      </c>
    </row>
    <row r="579" spans="1:11" x14ac:dyDescent="0.25">
      <c r="A579" s="5">
        <f t="shared" ref="A579:A642" si="36">YEAR(C579)</f>
        <v>2024</v>
      </c>
      <c r="B579" s="5">
        <f t="shared" ref="B579:B642" si="37">MONTH(C579)</f>
        <v>3</v>
      </c>
      <c r="C579" s="6">
        <v>45364</v>
      </c>
      <c r="D579" s="5" t="s">
        <v>229</v>
      </c>
      <c r="E579" s="5" t="s">
        <v>902</v>
      </c>
      <c r="G579" s="5">
        <v>-103.7</v>
      </c>
      <c r="H579" s="5">
        <f t="shared" ref="H579:H642" si="38">(-1*G579)</f>
        <v>103.7</v>
      </c>
      <c r="I579" s="5">
        <v>-103.7</v>
      </c>
      <c r="J579" s="5">
        <f t="shared" ref="J579:J642" si="39">(F579+H579)</f>
        <v>103.7</v>
      </c>
      <c r="K579" s="5">
        <v>26432.959999999999</v>
      </c>
    </row>
    <row r="580" spans="1:11" x14ac:dyDescent="0.25">
      <c r="A580" s="5">
        <f t="shared" si="36"/>
        <v>2024</v>
      </c>
      <c r="B580" s="5">
        <f t="shared" si="37"/>
        <v>9</v>
      </c>
      <c r="C580" s="6">
        <v>45540</v>
      </c>
      <c r="D580" s="5" t="s">
        <v>565</v>
      </c>
      <c r="E580" s="5" t="s">
        <v>902</v>
      </c>
      <c r="G580" s="5">
        <v>-100</v>
      </c>
      <c r="H580" s="5">
        <f t="shared" si="38"/>
        <v>100</v>
      </c>
      <c r="I580" s="5">
        <v>-100</v>
      </c>
      <c r="J580" s="5">
        <f t="shared" si="39"/>
        <v>100</v>
      </c>
      <c r="K580" s="5">
        <v>80179.11</v>
      </c>
    </row>
    <row r="581" spans="1:11" x14ac:dyDescent="0.25">
      <c r="A581" s="5">
        <f t="shared" si="36"/>
        <v>2024</v>
      </c>
      <c r="B581" s="5">
        <f t="shared" si="37"/>
        <v>10</v>
      </c>
      <c r="C581" s="6">
        <v>45580</v>
      </c>
      <c r="D581" s="5" t="s">
        <v>669</v>
      </c>
      <c r="E581" s="5" t="s">
        <v>902</v>
      </c>
      <c r="G581" s="5">
        <v>-100</v>
      </c>
      <c r="H581" s="5">
        <f t="shared" si="38"/>
        <v>100</v>
      </c>
      <c r="I581" s="5">
        <v>-100</v>
      </c>
      <c r="J581" s="5">
        <f t="shared" si="39"/>
        <v>100</v>
      </c>
      <c r="K581" s="5">
        <v>99892.52</v>
      </c>
    </row>
    <row r="582" spans="1:11" x14ac:dyDescent="0.25">
      <c r="A582" s="5">
        <f t="shared" si="36"/>
        <v>2024</v>
      </c>
      <c r="B582" s="5">
        <f t="shared" si="37"/>
        <v>10</v>
      </c>
      <c r="C582" s="6">
        <v>45580</v>
      </c>
      <c r="D582" s="5" t="s">
        <v>672</v>
      </c>
      <c r="E582" s="5" t="s">
        <v>902</v>
      </c>
      <c r="G582" s="5">
        <v>-100</v>
      </c>
      <c r="H582" s="5">
        <f t="shared" si="38"/>
        <v>100</v>
      </c>
      <c r="I582" s="5">
        <v>-100</v>
      </c>
      <c r="J582" s="5">
        <f t="shared" si="39"/>
        <v>100</v>
      </c>
      <c r="K582" s="5">
        <v>98248.76</v>
      </c>
    </row>
    <row r="583" spans="1:11" x14ac:dyDescent="0.25">
      <c r="A583" s="5">
        <f t="shared" si="36"/>
        <v>2023</v>
      </c>
      <c r="B583" s="5">
        <f t="shared" si="37"/>
        <v>11</v>
      </c>
      <c r="C583" s="6">
        <v>45238</v>
      </c>
      <c r="D583" s="5" t="s">
        <v>44</v>
      </c>
      <c r="E583" s="5" t="s">
        <v>902</v>
      </c>
      <c r="G583" s="5">
        <v>-99.86</v>
      </c>
      <c r="H583" s="5">
        <f t="shared" si="38"/>
        <v>99.86</v>
      </c>
      <c r="I583" s="5">
        <v>-99.86</v>
      </c>
      <c r="J583" s="5">
        <f t="shared" si="39"/>
        <v>99.86</v>
      </c>
      <c r="K583" s="5">
        <v>41678.94</v>
      </c>
    </row>
    <row r="584" spans="1:11" x14ac:dyDescent="0.25">
      <c r="A584" s="5">
        <f t="shared" si="36"/>
        <v>2023</v>
      </c>
      <c r="B584" s="5">
        <f t="shared" si="37"/>
        <v>12</v>
      </c>
      <c r="C584" s="6">
        <v>45268</v>
      </c>
      <c r="D584" s="5" t="s">
        <v>44</v>
      </c>
      <c r="E584" s="5" t="s">
        <v>902</v>
      </c>
      <c r="G584" s="5">
        <v>-99.86</v>
      </c>
      <c r="H584" s="5">
        <f t="shared" si="38"/>
        <v>99.86</v>
      </c>
      <c r="I584" s="5">
        <v>-99.86</v>
      </c>
      <c r="J584" s="5">
        <f t="shared" si="39"/>
        <v>99.86</v>
      </c>
      <c r="K584" s="5">
        <v>18600.68</v>
      </c>
    </row>
    <row r="585" spans="1:11" x14ac:dyDescent="0.25">
      <c r="A585" s="5">
        <f t="shared" si="36"/>
        <v>2025</v>
      </c>
      <c r="B585" s="5">
        <f t="shared" si="37"/>
        <v>2</v>
      </c>
      <c r="C585" s="6">
        <v>45707</v>
      </c>
      <c r="D585" s="5" t="s">
        <v>870</v>
      </c>
      <c r="E585" s="5" t="s">
        <v>902</v>
      </c>
      <c r="G585" s="5">
        <v>-99.48</v>
      </c>
      <c r="H585" s="5">
        <f t="shared" si="38"/>
        <v>99.48</v>
      </c>
      <c r="I585" s="5">
        <v>-99.48</v>
      </c>
      <c r="J585" s="5">
        <f t="shared" si="39"/>
        <v>99.48</v>
      </c>
      <c r="K585" s="5">
        <v>57123.5</v>
      </c>
    </row>
    <row r="586" spans="1:11" x14ac:dyDescent="0.25">
      <c r="A586" s="5">
        <f t="shared" si="36"/>
        <v>2024</v>
      </c>
      <c r="B586" s="5">
        <f t="shared" si="37"/>
        <v>6</v>
      </c>
      <c r="C586" s="6">
        <v>45457</v>
      </c>
      <c r="D586" s="5" t="s">
        <v>384</v>
      </c>
      <c r="E586" s="5" t="s">
        <v>902</v>
      </c>
      <c r="G586" s="5">
        <v>-98.99</v>
      </c>
      <c r="H586" s="5">
        <f t="shared" si="38"/>
        <v>98.99</v>
      </c>
      <c r="I586" s="5">
        <v>-98.99</v>
      </c>
      <c r="J586" s="5">
        <f t="shared" si="39"/>
        <v>98.99</v>
      </c>
      <c r="K586" s="5">
        <v>19855.55</v>
      </c>
    </row>
    <row r="587" spans="1:11" x14ac:dyDescent="0.25">
      <c r="A587" s="5">
        <f t="shared" si="36"/>
        <v>2024</v>
      </c>
      <c r="B587" s="5">
        <f t="shared" si="37"/>
        <v>6</v>
      </c>
      <c r="C587" s="6">
        <v>45446</v>
      </c>
      <c r="D587" s="5" t="s">
        <v>362</v>
      </c>
      <c r="E587" s="5" t="s">
        <v>902</v>
      </c>
      <c r="G587" s="5">
        <v>-98.32</v>
      </c>
      <c r="H587" s="5">
        <f t="shared" si="38"/>
        <v>98.32</v>
      </c>
      <c r="I587" s="5">
        <v>-98.32</v>
      </c>
      <c r="J587" s="5">
        <f t="shared" si="39"/>
        <v>98.32</v>
      </c>
      <c r="K587" s="5">
        <v>10917.93</v>
      </c>
    </row>
    <row r="588" spans="1:11" x14ac:dyDescent="0.25">
      <c r="A588" s="5">
        <f t="shared" si="36"/>
        <v>2024</v>
      </c>
      <c r="B588" s="5">
        <f t="shared" si="37"/>
        <v>6</v>
      </c>
      <c r="C588" s="6">
        <v>45460</v>
      </c>
      <c r="D588" s="5" t="s">
        <v>387</v>
      </c>
      <c r="E588" s="5" t="s">
        <v>902</v>
      </c>
      <c r="G588" s="5">
        <v>-98.09</v>
      </c>
      <c r="H588" s="5">
        <f t="shared" si="38"/>
        <v>98.09</v>
      </c>
      <c r="I588" s="5">
        <v>-98.09</v>
      </c>
      <c r="J588" s="5">
        <f t="shared" si="39"/>
        <v>98.09</v>
      </c>
      <c r="K588" s="5">
        <v>34899.46</v>
      </c>
    </row>
    <row r="589" spans="1:11" x14ac:dyDescent="0.25">
      <c r="A589" s="5">
        <f t="shared" si="36"/>
        <v>2024</v>
      </c>
      <c r="B589" s="5">
        <f t="shared" si="37"/>
        <v>5</v>
      </c>
      <c r="C589" s="6">
        <v>45443</v>
      </c>
      <c r="D589" s="5" t="s">
        <v>361</v>
      </c>
      <c r="E589" s="5" t="s">
        <v>902</v>
      </c>
      <c r="G589" s="5">
        <v>-95.67</v>
      </c>
      <c r="H589" s="5">
        <f t="shared" si="38"/>
        <v>95.67</v>
      </c>
      <c r="I589" s="5">
        <v>-95.67</v>
      </c>
      <c r="J589" s="5">
        <f t="shared" si="39"/>
        <v>95.67</v>
      </c>
      <c r="K589" s="5">
        <v>11016.25</v>
      </c>
    </row>
    <row r="590" spans="1:11" x14ac:dyDescent="0.25">
      <c r="A590" s="5">
        <f t="shared" si="36"/>
        <v>2024</v>
      </c>
      <c r="B590" s="5">
        <f t="shared" si="37"/>
        <v>10</v>
      </c>
      <c r="C590" s="6">
        <v>45568</v>
      </c>
      <c r="D590" s="5" t="s">
        <v>643</v>
      </c>
      <c r="E590" s="5" t="s">
        <v>902</v>
      </c>
      <c r="G590" s="5">
        <v>-95.42</v>
      </c>
      <c r="H590" s="5">
        <f t="shared" si="38"/>
        <v>95.42</v>
      </c>
      <c r="I590" s="5">
        <v>-95.42</v>
      </c>
      <c r="J590" s="5">
        <f t="shared" si="39"/>
        <v>95.42</v>
      </c>
      <c r="K590" s="5">
        <v>88215.82</v>
      </c>
    </row>
    <row r="591" spans="1:11" x14ac:dyDescent="0.25">
      <c r="A591" s="5">
        <f t="shared" si="36"/>
        <v>2024</v>
      </c>
      <c r="B591" s="5">
        <f t="shared" si="37"/>
        <v>8</v>
      </c>
      <c r="C591" s="6">
        <v>45517</v>
      </c>
      <c r="D591" s="5" t="s">
        <v>509</v>
      </c>
      <c r="E591" s="5" t="s">
        <v>902</v>
      </c>
      <c r="G591" s="5">
        <v>-94.92</v>
      </c>
      <c r="H591" s="5">
        <f t="shared" si="38"/>
        <v>94.92</v>
      </c>
      <c r="I591" s="5">
        <v>-94.92</v>
      </c>
      <c r="J591" s="5">
        <f t="shared" si="39"/>
        <v>94.92</v>
      </c>
      <c r="K591" s="5">
        <v>41449.42</v>
      </c>
    </row>
    <row r="592" spans="1:11" x14ac:dyDescent="0.25">
      <c r="A592" s="5">
        <f t="shared" si="36"/>
        <v>2024</v>
      </c>
      <c r="B592" s="5">
        <f t="shared" si="37"/>
        <v>5</v>
      </c>
      <c r="C592" s="6">
        <v>45429</v>
      </c>
      <c r="D592" s="5" t="s">
        <v>341</v>
      </c>
      <c r="E592" s="5" t="s">
        <v>902</v>
      </c>
      <c r="G592" s="5">
        <v>-93.94</v>
      </c>
      <c r="H592" s="5">
        <f t="shared" si="38"/>
        <v>93.94</v>
      </c>
      <c r="I592" s="5">
        <v>-93.94</v>
      </c>
      <c r="J592" s="5">
        <f t="shared" si="39"/>
        <v>93.94</v>
      </c>
      <c r="K592" s="5">
        <v>8039.5</v>
      </c>
    </row>
    <row r="593" spans="1:11" x14ac:dyDescent="0.25">
      <c r="A593" s="5">
        <f t="shared" si="36"/>
        <v>2024</v>
      </c>
      <c r="B593" s="5">
        <f t="shared" si="37"/>
        <v>1</v>
      </c>
      <c r="C593" s="6">
        <v>45320</v>
      </c>
      <c r="D593" s="5" t="s">
        <v>161</v>
      </c>
      <c r="E593" s="5" t="s">
        <v>902</v>
      </c>
      <c r="G593" s="5">
        <v>-93.46</v>
      </c>
      <c r="H593" s="5">
        <f t="shared" si="38"/>
        <v>93.46</v>
      </c>
      <c r="I593" s="5">
        <v>-93.46</v>
      </c>
      <c r="J593" s="5">
        <f t="shared" si="39"/>
        <v>93.46</v>
      </c>
      <c r="K593" s="5">
        <v>26483.96</v>
      </c>
    </row>
    <row r="594" spans="1:11" x14ac:dyDescent="0.25">
      <c r="A594" s="5">
        <f t="shared" si="36"/>
        <v>2024</v>
      </c>
      <c r="B594" s="5">
        <f t="shared" si="37"/>
        <v>7</v>
      </c>
      <c r="C594" s="6">
        <v>45499</v>
      </c>
      <c r="D594" s="5" t="s">
        <v>467</v>
      </c>
      <c r="E594" s="5" t="s">
        <v>902</v>
      </c>
      <c r="G594" s="5">
        <v>-92.54</v>
      </c>
      <c r="H594" s="5">
        <f t="shared" si="38"/>
        <v>92.54</v>
      </c>
      <c r="I594" s="5">
        <v>-92.54</v>
      </c>
      <c r="J594" s="5">
        <f t="shared" si="39"/>
        <v>92.54</v>
      </c>
      <c r="K594" s="5">
        <v>19364.05</v>
      </c>
    </row>
    <row r="595" spans="1:11" x14ac:dyDescent="0.25">
      <c r="A595" s="5">
        <f t="shared" si="36"/>
        <v>2024</v>
      </c>
      <c r="B595" s="5">
        <f t="shared" si="37"/>
        <v>9</v>
      </c>
      <c r="C595" s="6">
        <v>45555</v>
      </c>
      <c r="D595" s="5" t="s">
        <v>606</v>
      </c>
      <c r="E595" s="5" t="s">
        <v>902</v>
      </c>
      <c r="G595" s="5">
        <v>-91.57</v>
      </c>
      <c r="H595" s="5">
        <f t="shared" si="38"/>
        <v>91.57</v>
      </c>
      <c r="I595" s="5">
        <v>-91.57</v>
      </c>
      <c r="J595" s="5">
        <f t="shared" si="39"/>
        <v>91.57</v>
      </c>
      <c r="K595" s="5">
        <v>56512.22</v>
      </c>
    </row>
    <row r="596" spans="1:11" x14ac:dyDescent="0.25">
      <c r="A596" s="5">
        <f t="shared" si="36"/>
        <v>2024</v>
      </c>
      <c r="B596" s="5">
        <f t="shared" si="37"/>
        <v>6</v>
      </c>
      <c r="C596" s="6">
        <v>45471</v>
      </c>
      <c r="D596" s="5" t="s">
        <v>412</v>
      </c>
      <c r="E596" s="5" t="s">
        <v>902</v>
      </c>
      <c r="G596" s="5">
        <v>-91.46</v>
      </c>
      <c r="H596" s="5">
        <f t="shared" si="38"/>
        <v>91.46</v>
      </c>
      <c r="I596" s="5">
        <v>-91.46</v>
      </c>
      <c r="J596" s="5">
        <f t="shared" si="39"/>
        <v>91.46</v>
      </c>
      <c r="K596" s="5">
        <v>63264.79</v>
      </c>
    </row>
    <row r="597" spans="1:11" x14ac:dyDescent="0.25">
      <c r="A597" s="5">
        <f t="shared" si="36"/>
        <v>2024</v>
      </c>
      <c r="B597" s="5">
        <f t="shared" si="37"/>
        <v>9</v>
      </c>
      <c r="C597" s="6">
        <v>45565</v>
      </c>
      <c r="D597" s="5" t="s">
        <v>628</v>
      </c>
      <c r="E597" s="5" t="s">
        <v>902</v>
      </c>
      <c r="G597" s="5">
        <v>-91.44</v>
      </c>
      <c r="H597" s="5">
        <f t="shared" si="38"/>
        <v>91.44</v>
      </c>
      <c r="I597" s="5">
        <v>-91.44</v>
      </c>
      <c r="J597" s="5">
        <f t="shared" si="39"/>
        <v>91.44</v>
      </c>
      <c r="K597" s="5">
        <v>94136.95</v>
      </c>
    </row>
    <row r="598" spans="1:11" x14ac:dyDescent="0.25">
      <c r="A598" s="5">
        <f t="shared" si="36"/>
        <v>2025</v>
      </c>
      <c r="B598" s="5">
        <f t="shared" si="37"/>
        <v>2</v>
      </c>
      <c r="C598" s="6">
        <v>45707</v>
      </c>
      <c r="D598" s="5" t="s">
        <v>873</v>
      </c>
      <c r="E598" s="5" t="s">
        <v>902</v>
      </c>
      <c r="G598" s="5">
        <v>-88.75</v>
      </c>
      <c r="H598" s="5">
        <f t="shared" si="38"/>
        <v>88.75</v>
      </c>
      <c r="I598" s="5">
        <v>-88.75</v>
      </c>
      <c r="J598" s="5">
        <f t="shared" si="39"/>
        <v>88.75</v>
      </c>
      <c r="K598" s="5">
        <v>55792.94</v>
      </c>
    </row>
    <row r="599" spans="1:11" x14ac:dyDescent="0.25">
      <c r="A599" s="5">
        <f t="shared" si="36"/>
        <v>2024</v>
      </c>
      <c r="B599" s="5">
        <f t="shared" si="37"/>
        <v>3</v>
      </c>
      <c r="C599" s="6">
        <v>45373</v>
      </c>
      <c r="D599" s="5" t="s">
        <v>240</v>
      </c>
      <c r="E599" s="5" t="s">
        <v>902</v>
      </c>
      <c r="G599" s="5">
        <v>-87.82</v>
      </c>
      <c r="H599" s="5">
        <f t="shared" si="38"/>
        <v>87.82</v>
      </c>
      <c r="I599" s="5">
        <v>-87.82</v>
      </c>
      <c r="J599" s="5">
        <f t="shared" si="39"/>
        <v>87.82</v>
      </c>
      <c r="K599" s="5">
        <v>4781.0200000000004</v>
      </c>
    </row>
    <row r="600" spans="1:11" x14ac:dyDescent="0.25">
      <c r="A600" s="5">
        <f t="shared" si="36"/>
        <v>2024</v>
      </c>
      <c r="B600" s="5">
        <f t="shared" si="37"/>
        <v>3</v>
      </c>
      <c r="C600" s="6">
        <v>45379</v>
      </c>
      <c r="D600" s="5" t="s">
        <v>251</v>
      </c>
      <c r="E600" s="5" t="s">
        <v>902</v>
      </c>
      <c r="G600" s="5">
        <v>-86.92</v>
      </c>
      <c r="H600" s="5">
        <f t="shared" si="38"/>
        <v>86.92</v>
      </c>
      <c r="I600" s="5">
        <v>-86.92</v>
      </c>
      <c r="J600" s="5">
        <f t="shared" si="39"/>
        <v>86.92</v>
      </c>
      <c r="K600" s="5">
        <v>22479.86</v>
      </c>
    </row>
    <row r="601" spans="1:11" x14ac:dyDescent="0.25">
      <c r="A601" s="5">
        <f t="shared" si="36"/>
        <v>2023</v>
      </c>
      <c r="B601" s="5">
        <f t="shared" si="37"/>
        <v>11</v>
      </c>
      <c r="C601" s="6">
        <v>45260</v>
      </c>
      <c r="D601" s="5" t="s">
        <v>81</v>
      </c>
      <c r="E601" s="5" t="s">
        <v>902</v>
      </c>
      <c r="G601" s="5">
        <v>-85.75</v>
      </c>
      <c r="H601" s="5">
        <f t="shared" si="38"/>
        <v>85.75</v>
      </c>
      <c r="I601" s="5">
        <v>-85.75</v>
      </c>
      <c r="J601" s="5">
        <f t="shared" si="39"/>
        <v>85.75</v>
      </c>
      <c r="K601" s="5">
        <v>33369.129999999997</v>
      </c>
    </row>
    <row r="602" spans="1:11" x14ac:dyDescent="0.25">
      <c r="A602" s="5">
        <f t="shared" si="36"/>
        <v>2024</v>
      </c>
      <c r="B602" s="5">
        <f t="shared" si="37"/>
        <v>4</v>
      </c>
      <c r="C602" s="6">
        <v>45390</v>
      </c>
      <c r="D602" s="5" t="s">
        <v>274</v>
      </c>
      <c r="E602" s="5" t="s">
        <v>902</v>
      </c>
      <c r="G602" s="5">
        <v>-85.08</v>
      </c>
      <c r="H602" s="5">
        <f t="shared" si="38"/>
        <v>85.08</v>
      </c>
      <c r="I602" s="5">
        <v>-85.08</v>
      </c>
      <c r="J602" s="5">
        <f t="shared" si="39"/>
        <v>85.08</v>
      </c>
      <c r="K602" s="5">
        <v>19902.7</v>
      </c>
    </row>
    <row r="603" spans="1:11" x14ac:dyDescent="0.25">
      <c r="A603" s="5">
        <f t="shared" si="36"/>
        <v>2024</v>
      </c>
      <c r="B603" s="5">
        <f t="shared" si="37"/>
        <v>11</v>
      </c>
      <c r="C603" s="6">
        <v>45618</v>
      </c>
      <c r="D603" s="5" t="s">
        <v>753</v>
      </c>
      <c r="E603" s="5" t="s">
        <v>902</v>
      </c>
      <c r="G603" s="5">
        <v>-85.06</v>
      </c>
      <c r="H603" s="5">
        <f t="shared" si="38"/>
        <v>85.06</v>
      </c>
      <c r="I603" s="5">
        <v>-85.06</v>
      </c>
      <c r="J603" s="5">
        <f t="shared" si="39"/>
        <v>85.06</v>
      </c>
      <c r="K603" s="5">
        <v>5023.93</v>
      </c>
    </row>
    <row r="604" spans="1:11" x14ac:dyDescent="0.25">
      <c r="A604" s="5">
        <f t="shared" si="36"/>
        <v>2024</v>
      </c>
      <c r="B604" s="5">
        <f t="shared" si="37"/>
        <v>10</v>
      </c>
      <c r="C604" s="6">
        <v>45583</v>
      </c>
      <c r="D604" s="5" t="s">
        <v>678</v>
      </c>
      <c r="E604" s="5" t="s">
        <v>902</v>
      </c>
      <c r="G604" s="5">
        <v>-85.05</v>
      </c>
      <c r="H604" s="5">
        <f t="shared" si="38"/>
        <v>85.05</v>
      </c>
      <c r="I604" s="5">
        <v>-85.05</v>
      </c>
      <c r="J604" s="5">
        <f t="shared" si="39"/>
        <v>85.05</v>
      </c>
      <c r="K604" s="5">
        <v>96447.83</v>
      </c>
    </row>
    <row r="605" spans="1:11" x14ac:dyDescent="0.25">
      <c r="A605" s="5">
        <f t="shared" si="36"/>
        <v>2024</v>
      </c>
      <c r="B605" s="5">
        <f t="shared" si="37"/>
        <v>7</v>
      </c>
      <c r="C605" s="6">
        <v>45491</v>
      </c>
      <c r="D605" s="5" t="s">
        <v>446</v>
      </c>
      <c r="E605" s="5" t="s">
        <v>902</v>
      </c>
      <c r="G605" s="5">
        <v>-82.6</v>
      </c>
      <c r="H605" s="5">
        <f t="shared" si="38"/>
        <v>82.6</v>
      </c>
      <c r="I605" s="5">
        <v>-82.6</v>
      </c>
      <c r="J605" s="5">
        <f t="shared" si="39"/>
        <v>82.6</v>
      </c>
      <c r="K605" s="5">
        <v>51141.38</v>
      </c>
    </row>
    <row r="606" spans="1:11" x14ac:dyDescent="0.25">
      <c r="A606" s="5">
        <f t="shared" si="36"/>
        <v>2024</v>
      </c>
      <c r="B606" s="5">
        <f t="shared" si="37"/>
        <v>9</v>
      </c>
      <c r="C606" s="6">
        <v>45551</v>
      </c>
      <c r="D606" s="5" t="s">
        <v>590</v>
      </c>
      <c r="E606" s="5" t="s">
        <v>902</v>
      </c>
      <c r="G606" s="5">
        <v>-82.53</v>
      </c>
      <c r="H606" s="5">
        <f t="shared" si="38"/>
        <v>82.53</v>
      </c>
      <c r="I606" s="5">
        <v>-82.53</v>
      </c>
      <c r="J606" s="5">
        <f t="shared" si="39"/>
        <v>82.53</v>
      </c>
      <c r="K606" s="5">
        <v>87320.93</v>
      </c>
    </row>
    <row r="607" spans="1:11" x14ac:dyDescent="0.25">
      <c r="A607" s="5">
        <f t="shared" si="36"/>
        <v>2024</v>
      </c>
      <c r="B607" s="5">
        <f t="shared" si="37"/>
        <v>11</v>
      </c>
      <c r="C607" s="6">
        <v>45608</v>
      </c>
      <c r="D607" s="5" t="s">
        <v>732</v>
      </c>
      <c r="E607" s="5" t="s">
        <v>902</v>
      </c>
      <c r="G607" s="5">
        <v>-82.3</v>
      </c>
      <c r="H607" s="5">
        <f t="shared" si="38"/>
        <v>82.3</v>
      </c>
      <c r="I607" s="5">
        <v>-82.3</v>
      </c>
      <c r="J607" s="5">
        <f t="shared" si="39"/>
        <v>82.3</v>
      </c>
      <c r="K607" s="5">
        <v>50137.88</v>
      </c>
    </row>
    <row r="608" spans="1:11" x14ac:dyDescent="0.25">
      <c r="A608" s="5">
        <f t="shared" si="36"/>
        <v>2025</v>
      </c>
      <c r="B608" s="5">
        <f t="shared" si="37"/>
        <v>2</v>
      </c>
      <c r="C608" s="6">
        <v>45706</v>
      </c>
      <c r="D608" s="5" t="s">
        <v>867</v>
      </c>
      <c r="E608" s="5" t="s">
        <v>902</v>
      </c>
      <c r="G608" s="5">
        <v>-81.67</v>
      </c>
      <c r="H608" s="5">
        <f t="shared" si="38"/>
        <v>81.67</v>
      </c>
      <c r="I608" s="5">
        <v>-81.67</v>
      </c>
      <c r="J608" s="5">
        <f t="shared" si="39"/>
        <v>81.67</v>
      </c>
      <c r="K608" s="5">
        <v>64241.45</v>
      </c>
    </row>
    <row r="609" spans="1:11" x14ac:dyDescent="0.25">
      <c r="A609" s="5">
        <f t="shared" si="36"/>
        <v>2024</v>
      </c>
      <c r="B609" s="5">
        <f t="shared" si="37"/>
        <v>6</v>
      </c>
      <c r="C609" s="6">
        <v>45447</v>
      </c>
      <c r="D609" s="5" t="s">
        <v>367</v>
      </c>
      <c r="E609" s="5" t="s">
        <v>902</v>
      </c>
      <c r="G609" s="5">
        <v>-81.52</v>
      </c>
      <c r="H609" s="5">
        <f t="shared" si="38"/>
        <v>81.52</v>
      </c>
      <c r="I609" s="5">
        <v>-81.52</v>
      </c>
      <c r="J609" s="5">
        <f t="shared" si="39"/>
        <v>81.52</v>
      </c>
      <c r="K609" s="5">
        <v>25879.26</v>
      </c>
    </row>
    <row r="610" spans="1:11" x14ac:dyDescent="0.25">
      <c r="A610" s="5">
        <f t="shared" si="36"/>
        <v>2024</v>
      </c>
      <c r="B610" s="5">
        <f t="shared" si="37"/>
        <v>5</v>
      </c>
      <c r="C610" s="6">
        <v>45421</v>
      </c>
      <c r="D610" s="5" t="s">
        <v>328</v>
      </c>
      <c r="E610" s="5" t="s">
        <v>902</v>
      </c>
      <c r="G610" s="5">
        <v>-80.150000000000006</v>
      </c>
      <c r="H610" s="5">
        <f t="shared" si="38"/>
        <v>80.150000000000006</v>
      </c>
      <c r="I610" s="5">
        <v>-80.150000000000006</v>
      </c>
      <c r="J610" s="5">
        <f t="shared" si="39"/>
        <v>80.150000000000006</v>
      </c>
      <c r="K610" s="5">
        <v>7277.47</v>
      </c>
    </row>
    <row r="611" spans="1:11" x14ac:dyDescent="0.25">
      <c r="A611" s="5">
        <f t="shared" si="36"/>
        <v>2024</v>
      </c>
      <c r="B611" s="5">
        <f t="shared" si="37"/>
        <v>2</v>
      </c>
      <c r="C611" s="6">
        <v>45349</v>
      </c>
      <c r="D611" s="5" t="s">
        <v>197</v>
      </c>
      <c r="E611" s="5" t="s">
        <v>902</v>
      </c>
      <c r="G611" s="5">
        <v>-80.040000000000006</v>
      </c>
      <c r="H611" s="5">
        <f t="shared" si="38"/>
        <v>80.040000000000006</v>
      </c>
      <c r="I611" s="5">
        <v>-80.040000000000006</v>
      </c>
      <c r="J611" s="5">
        <f t="shared" si="39"/>
        <v>80.040000000000006</v>
      </c>
      <c r="K611" s="5">
        <v>24166.15</v>
      </c>
    </row>
    <row r="612" spans="1:11" x14ac:dyDescent="0.25">
      <c r="A612" s="5">
        <f t="shared" si="36"/>
        <v>2024</v>
      </c>
      <c r="B612" s="5">
        <f t="shared" si="37"/>
        <v>9</v>
      </c>
      <c r="C612" s="6">
        <v>45544</v>
      </c>
      <c r="D612" s="5" t="s">
        <v>577</v>
      </c>
      <c r="E612" s="5" t="s">
        <v>902</v>
      </c>
      <c r="G612" s="5">
        <v>-79</v>
      </c>
      <c r="H612" s="5">
        <f t="shared" si="38"/>
        <v>79</v>
      </c>
      <c r="I612" s="5">
        <v>-79</v>
      </c>
      <c r="J612" s="5">
        <f t="shared" si="39"/>
        <v>79</v>
      </c>
      <c r="K612" s="5">
        <v>67927.240000000005</v>
      </c>
    </row>
    <row r="613" spans="1:11" x14ac:dyDescent="0.25">
      <c r="A613" s="5">
        <f t="shared" si="36"/>
        <v>2024</v>
      </c>
      <c r="B613" s="5">
        <f t="shared" si="37"/>
        <v>7</v>
      </c>
      <c r="C613" s="6">
        <v>45502</v>
      </c>
      <c r="D613" s="5" t="s">
        <v>472</v>
      </c>
      <c r="E613" s="5" t="s">
        <v>902</v>
      </c>
      <c r="G613" s="5">
        <v>-78.680000000000007</v>
      </c>
      <c r="H613" s="5">
        <f t="shared" si="38"/>
        <v>78.680000000000007</v>
      </c>
      <c r="I613" s="5">
        <v>-78.680000000000007</v>
      </c>
      <c r="J613" s="5">
        <f t="shared" si="39"/>
        <v>78.680000000000007</v>
      </c>
      <c r="K613" s="5">
        <v>30544.69</v>
      </c>
    </row>
    <row r="614" spans="1:11" x14ac:dyDescent="0.25">
      <c r="A614" s="5">
        <f t="shared" si="36"/>
        <v>2024</v>
      </c>
      <c r="B614" s="5">
        <f t="shared" si="37"/>
        <v>4</v>
      </c>
      <c r="C614" s="6">
        <v>45386</v>
      </c>
      <c r="D614" s="5" t="s">
        <v>267</v>
      </c>
      <c r="E614" s="5" t="s">
        <v>902</v>
      </c>
      <c r="G614" s="5">
        <v>-76.81</v>
      </c>
      <c r="H614" s="5">
        <f t="shared" si="38"/>
        <v>76.81</v>
      </c>
      <c r="I614" s="5">
        <v>-76.81</v>
      </c>
      <c r="J614" s="5">
        <f t="shared" si="39"/>
        <v>76.81</v>
      </c>
      <c r="K614" s="5">
        <v>34393.25</v>
      </c>
    </row>
    <row r="615" spans="1:11" x14ac:dyDescent="0.25">
      <c r="A615" s="5">
        <f t="shared" si="36"/>
        <v>2024</v>
      </c>
      <c r="B615" s="5">
        <f t="shared" si="37"/>
        <v>5</v>
      </c>
      <c r="C615" s="6">
        <v>45415</v>
      </c>
      <c r="D615" s="5" t="s">
        <v>318</v>
      </c>
      <c r="E615" s="5" t="s">
        <v>902</v>
      </c>
      <c r="G615" s="5">
        <v>-76.77</v>
      </c>
      <c r="H615" s="5">
        <f t="shared" si="38"/>
        <v>76.77</v>
      </c>
      <c r="I615" s="5">
        <v>-76.77</v>
      </c>
      <c r="J615" s="5">
        <f t="shared" si="39"/>
        <v>76.77</v>
      </c>
      <c r="K615" s="5">
        <v>4946.47</v>
      </c>
    </row>
    <row r="616" spans="1:11" x14ac:dyDescent="0.25">
      <c r="A616" s="5">
        <f t="shared" si="36"/>
        <v>2024</v>
      </c>
      <c r="B616" s="5">
        <f t="shared" si="37"/>
        <v>3</v>
      </c>
      <c r="C616" s="6">
        <v>45379</v>
      </c>
      <c r="D616" s="5" t="s">
        <v>248</v>
      </c>
      <c r="E616" s="5" t="s">
        <v>902</v>
      </c>
      <c r="G616" s="5">
        <v>-76.56</v>
      </c>
      <c r="H616" s="5">
        <f t="shared" si="38"/>
        <v>76.56</v>
      </c>
      <c r="I616" s="5">
        <v>-76.56</v>
      </c>
      <c r="J616" s="5">
        <f t="shared" si="39"/>
        <v>76.56</v>
      </c>
      <c r="K616" s="5">
        <v>22692.240000000002</v>
      </c>
    </row>
    <row r="617" spans="1:11" x14ac:dyDescent="0.25">
      <c r="A617" s="5">
        <f t="shared" si="36"/>
        <v>2024</v>
      </c>
      <c r="B617" s="5">
        <f t="shared" si="37"/>
        <v>3</v>
      </c>
      <c r="C617" s="6">
        <v>45370</v>
      </c>
      <c r="D617" s="5" t="s">
        <v>236</v>
      </c>
      <c r="E617" s="5" t="s">
        <v>902</v>
      </c>
      <c r="G617" s="5">
        <v>-76.040000000000006</v>
      </c>
      <c r="H617" s="5">
        <f t="shared" si="38"/>
        <v>76.040000000000006</v>
      </c>
      <c r="I617" s="5">
        <v>-76.040000000000006</v>
      </c>
      <c r="J617" s="5">
        <f t="shared" si="39"/>
        <v>76.040000000000006</v>
      </c>
      <c r="K617" s="5">
        <v>27707.759999999998</v>
      </c>
    </row>
    <row r="618" spans="1:11" x14ac:dyDescent="0.25">
      <c r="A618" s="5">
        <f t="shared" si="36"/>
        <v>2024</v>
      </c>
      <c r="B618" s="5">
        <f t="shared" si="37"/>
        <v>4</v>
      </c>
      <c r="C618" s="6">
        <v>45401</v>
      </c>
      <c r="D618" s="5" t="s">
        <v>290</v>
      </c>
      <c r="E618" s="5" t="s">
        <v>902</v>
      </c>
      <c r="G618" s="5">
        <v>-75.680000000000007</v>
      </c>
      <c r="H618" s="5">
        <f t="shared" si="38"/>
        <v>75.680000000000007</v>
      </c>
      <c r="I618" s="5">
        <v>-75.680000000000007</v>
      </c>
      <c r="J618" s="5">
        <f t="shared" si="39"/>
        <v>75.680000000000007</v>
      </c>
      <c r="K618" s="5">
        <v>8524.51</v>
      </c>
    </row>
    <row r="619" spans="1:11" x14ac:dyDescent="0.25">
      <c r="A619" s="5">
        <f t="shared" si="36"/>
        <v>2024</v>
      </c>
      <c r="B619" s="5">
        <f t="shared" si="37"/>
        <v>4</v>
      </c>
      <c r="C619" s="6">
        <v>45387</v>
      </c>
      <c r="D619" s="5" t="s">
        <v>270</v>
      </c>
      <c r="E619" s="5" t="s">
        <v>902</v>
      </c>
      <c r="G619" s="5">
        <v>-75.510000000000005</v>
      </c>
      <c r="H619" s="5">
        <f t="shared" si="38"/>
        <v>75.510000000000005</v>
      </c>
      <c r="I619" s="5">
        <v>-75.510000000000005</v>
      </c>
      <c r="J619" s="5">
        <f t="shared" si="39"/>
        <v>75.510000000000005</v>
      </c>
      <c r="K619" s="5">
        <v>12084.34</v>
      </c>
    </row>
    <row r="620" spans="1:11" x14ac:dyDescent="0.25">
      <c r="A620" s="5">
        <f t="shared" si="36"/>
        <v>2024</v>
      </c>
      <c r="B620" s="5">
        <f t="shared" si="37"/>
        <v>10</v>
      </c>
      <c r="C620" s="6">
        <v>45595</v>
      </c>
      <c r="D620" s="5" t="s">
        <v>697</v>
      </c>
      <c r="E620" s="5" t="s">
        <v>902</v>
      </c>
      <c r="G620" s="5">
        <v>-74.36</v>
      </c>
      <c r="H620" s="5">
        <f t="shared" si="38"/>
        <v>74.36</v>
      </c>
      <c r="I620" s="5">
        <v>-74.36</v>
      </c>
      <c r="J620" s="5">
        <f t="shared" si="39"/>
        <v>74.36</v>
      </c>
      <c r="K620" s="5">
        <v>77521.91</v>
      </c>
    </row>
    <row r="621" spans="1:11" x14ac:dyDescent="0.25">
      <c r="A621" s="5">
        <f t="shared" si="36"/>
        <v>2024</v>
      </c>
      <c r="B621" s="5">
        <f t="shared" si="37"/>
        <v>10</v>
      </c>
      <c r="C621" s="6">
        <v>45574</v>
      </c>
      <c r="D621" s="5" t="s">
        <v>661</v>
      </c>
      <c r="E621" s="5" t="s">
        <v>902</v>
      </c>
      <c r="G621" s="5">
        <v>-73.64</v>
      </c>
      <c r="H621" s="5">
        <f t="shared" si="38"/>
        <v>73.64</v>
      </c>
      <c r="I621" s="5">
        <v>-73.64</v>
      </c>
      <c r="J621" s="5">
        <f t="shared" si="39"/>
        <v>73.64</v>
      </c>
      <c r="K621" s="5">
        <v>66696.639999999999</v>
      </c>
    </row>
    <row r="622" spans="1:11" x14ac:dyDescent="0.25">
      <c r="A622" s="5">
        <f t="shared" si="36"/>
        <v>2023</v>
      </c>
      <c r="B622" s="5">
        <f t="shared" si="37"/>
        <v>11</v>
      </c>
      <c r="C622" s="6">
        <v>45239</v>
      </c>
      <c r="D622" s="5" t="s">
        <v>66</v>
      </c>
      <c r="E622" s="5" t="s">
        <v>902</v>
      </c>
      <c r="G622" s="5">
        <v>-71.010000000000005</v>
      </c>
      <c r="H622" s="5">
        <f t="shared" si="38"/>
        <v>71.010000000000005</v>
      </c>
      <c r="I622" s="5">
        <v>-71.010000000000005</v>
      </c>
      <c r="J622" s="5">
        <f t="shared" si="39"/>
        <v>71.010000000000005</v>
      </c>
      <c r="K622" s="5">
        <v>41607.93</v>
      </c>
    </row>
    <row r="623" spans="1:11" x14ac:dyDescent="0.25">
      <c r="A623" s="5">
        <f t="shared" si="36"/>
        <v>2023</v>
      </c>
      <c r="B623" s="5">
        <f t="shared" si="37"/>
        <v>12</v>
      </c>
      <c r="C623" s="6">
        <v>45280</v>
      </c>
      <c r="D623" s="5" t="s">
        <v>107</v>
      </c>
      <c r="E623" s="5" t="s">
        <v>902</v>
      </c>
      <c r="G623" s="5">
        <v>-70.319999999999993</v>
      </c>
      <c r="H623" s="5">
        <f t="shared" si="38"/>
        <v>70.319999999999993</v>
      </c>
      <c r="I623" s="5">
        <v>-70.319999999999993</v>
      </c>
      <c r="J623" s="5">
        <f t="shared" si="39"/>
        <v>70.319999999999993</v>
      </c>
      <c r="K623" s="5">
        <v>40656.839999999997</v>
      </c>
    </row>
    <row r="624" spans="1:11" x14ac:dyDescent="0.25">
      <c r="A624" s="5">
        <f t="shared" si="36"/>
        <v>2024</v>
      </c>
      <c r="B624" s="5">
        <f t="shared" si="37"/>
        <v>1</v>
      </c>
      <c r="C624" s="6">
        <v>45307</v>
      </c>
      <c r="D624" s="5" t="s">
        <v>143</v>
      </c>
      <c r="E624" s="5" t="s">
        <v>902</v>
      </c>
      <c r="G624" s="5">
        <v>-70.319999999999993</v>
      </c>
      <c r="H624" s="5">
        <f t="shared" si="38"/>
        <v>70.319999999999993</v>
      </c>
      <c r="I624" s="5">
        <v>-70.319999999999993</v>
      </c>
      <c r="J624" s="5">
        <f t="shared" si="39"/>
        <v>70.319999999999993</v>
      </c>
      <c r="K624" s="5">
        <v>20310.560000000001</v>
      </c>
    </row>
    <row r="625" spans="1:11" x14ac:dyDescent="0.25">
      <c r="A625" s="5">
        <f t="shared" si="36"/>
        <v>2024</v>
      </c>
      <c r="B625" s="5">
        <f t="shared" si="37"/>
        <v>4</v>
      </c>
      <c r="C625" s="6">
        <v>45384</v>
      </c>
      <c r="D625" s="5" t="s">
        <v>263</v>
      </c>
      <c r="E625" s="5" t="s">
        <v>902</v>
      </c>
      <c r="G625" s="5">
        <v>-68.05</v>
      </c>
      <c r="H625" s="5">
        <f t="shared" si="38"/>
        <v>68.05</v>
      </c>
      <c r="I625" s="5">
        <v>-68.05</v>
      </c>
      <c r="J625" s="5">
        <f t="shared" si="39"/>
        <v>68.05</v>
      </c>
      <c r="K625" s="5">
        <v>34806.81</v>
      </c>
    </row>
    <row r="626" spans="1:11" x14ac:dyDescent="0.25">
      <c r="A626" s="5">
        <f t="shared" si="36"/>
        <v>2024</v>
      </c>
      <c r="B626" s="5">
        <f t="shared" si="37"/>
        <v>6</v>
      </c>
      <c r="C626" s="6">
        <v>45463</v>
      </c>
      <c r="D626" s="5" t="s">
        <v>394</v>
      </c>
      <c r="E626" s="5" t="s">
        <v>902</v>
      </c>
      <c r="G626" s="5">
        <v>-67.86</v>
      </c>
      <c r="H626" s="5">
        <f t="shared" si="38"/>
        <v>67.86</v>
      </c>
      <c r="I626" s="5">
        <v>-67.86</v>
      </c>
      <c r="J626" s="5">
        <f t="shared" si="39"/>
        <v>67.86</v>
      </c>
      <c r="K626" s="5">
        <v>55825.599999999999</v>
      </c>
    </row>
    <row r="627" spans="1:11" x14ac:dyDescent="0.25">
      <c r="A627" s="5">
        <f t="shared" si="36"/>
        <v>2023</v>
      </c>
      <c r="B627" s="5">
        <f t="shared" si="37"/>
        <v>11</v>
      </c>
      <c r="C627" s="6">
        <v>45250</v>
      </c>
      <c r="D627" s="5" t="s">
        <v>74</v>
      </c>
      <c r="E627" s="5" t="s">
        <v>902</v>
      </c>
      <c r="G627" s="5">
        <v>-67.55</v>
      </c>
      <c r="H627" s="5">
        <f t="shared" si="38"/>
        <v>67.55</v>
      </c>
      <c r="I627" s="5">
        <v>-67.55</v>
      </c>
      <c r="J627" s="5">
        <f t="shared" si="39"/>
        <v>67.55</v>
      </c>
      <c r="K627" s="5">
        <v>24574.720000000001</v>
      </c>
    </row>
    <row r="628" spans="1:11" x14ac:dyDescent="0.25">
      <c r="A628" s="5">
        <f t="shared" si="36"/>
        <v>2024</v>
      </c>
      <c r="B628" s="5">
        <f t="shared" si="37"/>
        <v>11</v>
      </c>
      <c r="C628" s="6">
        <v>45601</v>
      </c>
      <c r="D628" s="5" t="s">
        <v>724</v>
      </c>
      <c r="E628" s="5" t="s">
        <v>902</v>
      </c>
      <c r="G628" s="5">
        <v>-66.930000000000007</v>
      </c>
      <c r="H628" s="5">
        <f t="shared" si="38"/>
        <v>66.930000000000007</v>
      </c>
      <c r="I628" s="5">
        <v>-66.930000000000007</v>
      </c>
      <c r="J628" s="5">
        <f t="shared" si="39"/>
        <v>66.930000000000007</v>
      </c>
      <c r="K628" s="5">
        <v>40673.33</v>
      </c>
    </row>
    <row r="629" spans="1:11" x14ac:dyDescent="0.25">
      <c r="A629" s="5">
        <f t="shared" si="36"/>
        <v>2023</v>
      </c>
      <c r="B629" s="5">
        <f t="shared" si="37"/>
        <v>10</v>
      </c>
      <c r="C629" s="6">
        <v>45212</v>
      </c>
      <c r="D629" s="5" t="s">
        <v>47</v>
      </c>
      <c r="E629" s="5" t="s">
        <v>902</v>
      </c>
      <c r="G629" s="5">
        <v>-66.459999999999994</v>
      </c>
      <c r="H629" s="5">
        <f t="shared" si="38"/>
        <v>66.459999999999994</v>
      </c>
      <c r="I629" s="5">
        <v>-66.459999999999994</v>
      </c>
      <c r="J629" s="5">
        <f t="shared" si="39"/>
        <v>66.459999999999994</v>
      </c>
      <c r="K629" s="5">
        <v>13929.79</v>
      </c>
    </row>
    <row r="630" spans="1:11" x14ac:dyDescent="0.25">
      <c r="A630" s="5">
        <f t="shared" si="36"/>
        <v>2024</v>
      </c>
      <c r="B630" s="5">
        <f t="shared" si="37"/>
        <v>5</v>
      </c>
      <c r="C630" s="6">
        <v>45435</v>
      </c>
      <c r="D630" s="5" t="s">
        <v>345</v>
      </c>
      <c r="E630" s="5" t="s">
        <v>902</v>
      </c>
      <c r="G630" s="5">
        <v>-64.52</v>
      </c>
      <c r="H630" s="5">
        <f t="shared" si="38"/>
        <v>64.52</v>
      </c>
      <c r="I630" s="5">
        <v>-64.52</v>
      </c>
      <c r="J630" s="5">
        <f t="shared" si="39"/>
        <v>64.52</v>
      </c>
      <c r="K630" s="5">
        <v>18506.61</v>
      </c>
    </row>
    <row r="631" spans="1:11" x14ac:dyDescent="0.25">
      <c r="A631" s="5">
        <f t="shared" si="36"/>
        <v>2024</v>
      </c>
      <c r="B631" s="5">
        <f t="shared" si="37"/>
        <v>10</v>
      </c>
      <c r="C631" s="6">
        <v>45586</v>
      </c>
      <c r="D631" s="5" t="s">
        <v>685</v>
      </c>
      <c r="E631" s="5" t="s">
        <v>902</v>
      </c>
      <c r="G631" s="5">
        <v>-63.22</v>
      </c>
      <c r="H631" s="5">
        <f t="shared" si="38"/>
        <v>63.22</v>
      </c>
      <c r="I631" s="5">
        <v>-63.22</v>
      </c>
      <c r="J631" s="5">
        <f t="shared" si="39"/>
        <v>63.22</v>
      </c>
      <c r="K631" s="5">
        <v>72485.039999999994</v>
      </c>
    </row>
    <row r="632" spans="1:11" x14ac:dyDescent="0.25">
      <c r="A632" s="5">
        <f t="shared" si="36"/>
        <v>2024</v>
      </c>
      <c r="B632" s="5">
        <f t="shared" si="37"/>
        <v>8</v>
      </c>
      <c r="C632" s="6">
        <v>45506</v>
      </c>
      <c r="D632" s="5" t="s">
        <v>486</v>
      </c>
      <c r="E632" s="5" t="s">
        <v>902</v>
      </c>
      <c r="G632" s="5">
        <v>-61.23</v>
      </c>
      <c r="H632" s="5">
        <f t="shared" si="38"/>
        <v>61.23</v>
      </c>
      <c r="I632" s="5">
        <v>-61.23</v>
      </c>
      <c r="J632" s="5">
        <f t="shared" si="39"/>
        <v>61.23</v>
      </c>
      <c r="K632" s="5">
        <v>45686.15</v>
      </c>
    </row>
    <row r="633" spans="1:11" x14ac:dyDescent="0.25">
      <c r="A633" s="5">
        <f t="shared" si="36"/>
        <v>2023</v>
      </c>
      <c r="B633" s="5">
        <f t="shared" si="37"/>
        <v>12</v>
      </c>
      <c r="C633" s="6">
        <v>45280</v>
      </c>
      <c r="D633" s="5" t="s">
        <v>106</v>
      </c>
      <c r="E633" s="5" t="s">
        <v>902</v>
      </c>
      <c r="G633" s="5">
        <v>-59.88</v>
      </c>
      <c r="H633" s="5">
        <f t="shared" si="38"/>
        <v>59.88</v>
      </c>
      <c r="I633" s="5">
        <v>-59.88</v>
      </c>
      <c r="J633" s="5">
        <f t="shared" si="39"/>
        <v>59.88</v>
      </c>
      <c r="K633" s="5">
        <v>40727.160000000003</v>
      </c>
    </row>
    <row r="634" spans="1:11" x14ac:dyDescent="0.25">
      <c r="A634" s="5">
        <f t="shared" si="36"/>
        <v>2023</v>
      </c>
      <c r="B634" s="5">
        <f t="shared" si="37"/>
        <v>10</v>
      </c>
      <c r="C634" s="6">
        <v>45203</v>
      </c>
      <c r="D634" s="5" t="s">
        <v>32</v>
      </c>
      <c r="E634" s="5" t="s">
        <v>902</v>
      </c>
      <c r="G634" s="5">
        <v>-59</v>
      </c>
      <c r="H634" s="5">
        <f t="shared" si="38"/>
        <v>59</v>
      </c>
      <c r="I634" s="5">
        <v>-59</v>
      </c>
      <c r="J634" s="5">
        <f t="shared" si="39"/>
        <v>59</v>
      </c>
      <c r="K634" s="5">
        <v>13454.9</v>
      </c>
    </row>
    <row r="635" spans="1:11" x14ac:dyDescent="0.25">
      <c r="A635" s="5">
        <f t="shared" si="36"/>
        <v>2023</v>
      </c>
      <c r="B635" s="5">
        <f t="shared" si="37"/>
        <v>11</v>
      </c>
      <c r="C635" s="6">
        <v>45231</v>
      </c>
      <c r="D635" s="5" t="s">
        <v>58</v>
      </c>
      <c r="E635" s="5" t="s">
        <v>902</v>
      </c>
      <c r="G635" s="5">
        <v>-59</v>
      </c>
      <c r="H635" s="5">
        <f t="shared" si="38"/>
        <v>59</v>
      </c>
      <c r="I635" s="5">
        <v>-59</v>
      </c>
      <c r="J635" s="5">
        <f t="shared" si="39"/>
        <v>59</v>
      </c>
      <c r="K635" s="5">
        <v>24564.54</v>
      </c>
    </row>
    <row r="636" spans="1:11" x14ac:dyDescent="0.25">
      <c r="A636" s="5">
        <f t="shared" si="36"/>
        <v>2024</v>
      </c>
      <c r="B636" s="5">
        <f t="shared" si="37"/>
        <v>7</v>
      </c>
      <c r="C636" s="6">
        <v>45495</v>
      </c>
      <c r="D636" s="5" t="s">
        <v>452</v>
      </c>
      <c r="E636" s="5" t="s">
        <v>902</v>
      </c>
      <c r="G636" s="5">
        <v>-58.78</v>
      </c>
      <c r="H636" s="5">
        <f t="shared" si="38"/>
        <v>58.78</v>
      </c>
      <c r="I636" s="5">
        <v>-58.78</v>
      </c>
      <c r="J636" s="5">
        <f t="shared" si="39"/>
        <v>58.78</v>
      </c>
      <c r="K636" s="5">
        <v>51783.48</v>
      </c>
    </row>
    <row r="637" spans="1:11" x14ac:dyDescent="0.25">
      <c r="A637" s="5">
        <f t="shared" si="36"/>
        <v>2024</v>
      </c>
      <c r="B637" s="5">
        <f t="shared" si="37"/>
        <v>9</v>
      </c>
      <c r="C637" s="6">
        <v>45553</v>
      </c>
      <c r="D637" s="5" t="s">
        <v>595</v>
      </c>
      <c r="E637" s="5" t="s">
        <v>902</v>
      </c>
      <c r="G637" s="5">
        <v>-57.1</v>
      </c>
      <c r="H637" s="5">
        <f t="shared" si="38"/>
        <v>57.1</v>
      </c>
      <c r="I637" s="5">
        <v>-57.1</v>
      </c>
      <c r="J637" s="5">
        <f t="shared" si="39"/>
        <v>57.1</v>
      </c>
      <c r="K637" s="5">
        <v>85473.16</v>
      </c>
    </row>
    <row r="638" spans="1:11" x14ac:dyDescent="0.25">
      <c r="A638" s="5">
        <f t="shared" si="36"/>
        <v>2024</v>
      </c>
      <c r="B638" s="5">
        <f t="shared" si="37"/>
        <v>1</v>
      </c>
      <c r="C638" s="6">
        <v>45299</v>
      </c>
      <c r="D638" s="5" t="s">
        <v>129</v>
      </c>
      <c r="E638" s="5" t="s">
        <v>902</v>
      </c>
      <c r="G638" s="5">
        <v>-55.86</v>
      </c>
      <c r="H638" s="5">
        <f t="shared" si="38"/>
        <v>55.86</v>
      </c>
      <c r="I638" s="5">
        <v>-55.86</v>
      </c>
      <c r="J638" s="5">
        <f t="shared" si="39"/>
        <v>55.86</v>
      </c>
      <c r="K638" s="5">
        <v>50471.42</v>
      </c>
    </row>
    <row r="639" spans="1:11" x14ac:dyDescent="0.25">
      <c r="A639" s="5">
        <f t="shared" si="36"/>
        <v>2024</v>
      </c>
      <c r="B639" s="5">
        <f t="shared" si="37"/>
        <v>2</v>
      </c>
      <c r="C639" s="6">
        <v>45330</v>
      </c>
      <c r="D639" s="5" t="s">
        <v>178</v>
      </c>
      <c r="E639" s="5" t="s">
        <v>902</v>
      </c>
      <c r="G639" s="5">
        <v>-55.86</v>
      </c>
      <c r="H639" s="5">
        <f t="shared" si="38"/>
        <v>55.86</v>
      </c>
      <c r="I639" s="5">
        <v>-55.86</v>
      </c>
      <c r="J639" s="5">
        <f t="shared" si="39"/>
        <v>55.86</v>
      </c>
      <c r="K639" s="5">
        <v>34432.17</v>
      </c>
    </row>
    <row r="640" spans="1:11" x14ac:dyDescent="0.25">
      <c r="A640" s="5">
        <f t="shared" si="36"/>
        <v>2024</v>
      </c>
      <c r="B640" s="5">
        <f t="shared" si="37"/>
        <v>3</v>
      </c>
      <c r="C640" s="6">
        <v>45359</v>
      </c>
      <c r="D640" s="5" t="s">
        <v>216</v>
      </c>
      <c r="E640" s="5" t="s">
        <v>902</v>
      </c>
      <c r="G640" s="5">
        <v>-55.86</v>
      </c>
      <c r="H640" s="5">
        <f t="shared" si="38"/>
        <v>55.86</v>
      </c>
      <c r="I640" s="5">
        <v>-55.86</v>
      </c>
      <c r="J640" s="5">
        <f t="shared" si="39"/>
        <v>55.86</v>
      </c>
      <c r="K640" s="5">
        <v>21569.75</v>
      </c>
    </row>
    <row r="641" spans="1:11" x14ac:dyDescent="0.25">
      <c r="A641" s="5">
        <f t="shared" si="36"/>
        <v>2024</v>
      </c>
      <c r="B641" s="5">
        <f t="shared" si="37"/>
        <v>4</v>
      </c>
      <c r="C641" s="6">
        <v>45390</v>
      </c>
      <c r="D641" s="5" t="s">
        <v>275</v>
      </c>
      <c r="E641" s="5" t="s">
        <v>902</v>
      </c>
      <c r="G641" s="5">
        <v>-55.86</v>
      </c>
      <c r="H641" s="5">
        <f t="shared" si="38"/>
        <v>55.86</v>
      </c>
      <c r="I641" s="5">
        <v>-55.86</v>
      </c>
      <c r="J641" s="5">
        <f t="shared" si="39"/>
        <v>55.86</v>
      </c>
      <c r="K641" s="5">
        <v>19846.84</v>
      </c>
    </row>
    <row r="642" spans="1:11" x14ac:dyDescent="0.25">
      <c r="A642" s="5">
        <f t="shared" si="36"/>
        <v>2024</v>
      </c>
      <c r="B642" s="5">
        <f t="shared" si="37"/>
        <v>4</v>
      </c>
      <c r="C642" s="6">
        <v>45406</v>
      </c>
      <c r="D642" s="5" t="s">
        <v>297</v>
      </c>
      <c r="E642" s="5" t="s">
        <v>902</v>
      </c>
      <c r="G642" s="5">
        <v>-55.86</v>
      </c>
      <c r="H642" s="5">
        <f t="shared" si="38"/>
        <v>55.86</v>
      </c>
      <c r="I642" s="5">
        <v>-55.86</v>
      </c>
      <c r="J642" s="5">
        <f t="shared" si="39"/>
        <v>55.86</v>
      </c>
      <c r="K642" s="5">
        <v>12138.05</v>
      </c>
    </row>
    <row r="643" spans="1:11" x14ac:dyDescent="0.25">
      <c r="A643" s="5">
        <f t="shared" ref="A643:A706" si="40">YEAR(C643)</f>
        <v>2024</v>
      </c>
      <c r="B643" s="5">
        <f t="shared" ref="B643:B706" si="41">MONTH(C643)</f>
        <v>5</v>
      </c>
      <c r="C643" s="6">
        <v>45420</v>
      </c>
      <c r="D643" s="5" t="s">
        <v>327</v>
      </c>
      <c r="E643" s="5" t="s">
        <v>902</v>
      </c>
      <c r="G643" s="5">
        <v>-55.86</v>
      </c>
      <c r="H643" s="5">
        <f t="shared" ref="H643:H706" si="42">(-1*G643)</f>
        <v>55.86</v>
      </c>
      <c r="I643" s="5">
        <v>-55.86</v>
      </c>
      <c r="J643" s="5">
        <f t="shared" ref="J643:J706" si="43">(F643+H643)</f>
        <v>55.86</v>
      </c>
      <c r="K643" s="5">
        <v>7357.62</v>
      </c>
    </row>
    <row r="644" spans="1:11" x14ac:dyDescent="0.25">
      <c r="A644" s="5">
        <f t="shared" si="40"/>
        <v>2024</v>
      </c>
      <c r="B644" s="5">
        <f t="shared" si="41"/>
        <v>6</v>
      </c>
      <c r="C644" s="6">
        <v>45453</v>
      </c>
      <c r="D644" s="5" t="s">
        <v>375</v>
      </c>
      <c r="E644" s="5" t="s">
        <v>902</v>
      </c>
      <c r="G644" s="5">
        <v>-55.86</v>
      </c>
      <c r="H644" s="5">
        <f t="shared" si="42"/>
        <v>55.86</v>
      </c>
      <c r="I644" s="5">
        <v>-55.86</v>
      </c>
      <c r="J644" s="5">
        <f t="shared" si="43"/>
        <v>55.86</v>
      </c>
      <c r="K644" s="5">
        <v>39709.980000000003</v>
      </c>
    </row>
    <row r="645" spans="1:11" x14ac:dyDescent="0.25">
      <c r="A645" s="5">
        <f t="shared" si="40"/>
        <v>2024</v>
      </c>
      <c r="B645" s="5">
        <f t="shared" si="41"/>
        <v>7</v>
      </c>
      <c r="C645" s="6">
        <v>45481</v>
      </c>
      <c r="D645" s="5" t="s">
        <v>430</v>
      </c>
      <c r="E645" s="5" t="s">
        <v>902</v>
      </c>
      <c r="G645" s="5">
        <v>-55.86</v>
      </c>
      <c r="H645" s="5">
        <f t="shared" si="42"/>
        <v>55.86</v>
      </c>
      <c r="I645" s="5">
        <v>-55.86</v>
      </c>
      <c r="J645" s="5">
        <f t="shared" si="43"/>
        <v>55.86</v>
      </c>
      <c r="K645" s="5">
        <v>82807.3</v>
      </c>
    </row>
    <row r="646" spans="1:11" x14ac:dyDescent="0.25">
      <c r="A646" s="5">
        <f t="shared" si="40"/>
        <v>2023</v>
      </c>
      <c r="B646" s="5">
        <f t="shared" si="41"/>
        <v>9</v>
      </c>
      <c r="C646" s="6">
        <v>45180</v>
      </c>
      <c r="D646" s="5" t="s">
        <v>13</v>
      </c>
      <c r="E646" s="5" t="s">
        <v>902</v>
      </c>
      <c r="G646" s="5">
        <v>-55.05</v>
      </c>
      <c r="H646" s="5">
        <f t="shared" si="42"/>
        <v>55.05</v>
      </c>
      <c r="I646" s="5">
        <v>-55.05</v>
      </c>
      <c r="J646" s="5">
        <f t="shared" si="43"/>
        <v>55.05</v>
      </c>
      <c r="K646" s="5">
        <v>8536.83</v>
      </c>
    </row>
    <row r="647" spans="1:11" x14ac:dyDescent="0.25">
      <c r="A647" s="5">
        <f t="shared" si="40"/>
        <v>2024</v>
      </c>
      <c r="B647" s="5">
        <f t="shared" si="41"/>
        <v>7</v>
      </c>
      <c r="C647" s="6">
        <v>45498</v>
      </c>
      <c r="D647" s="5" t="s">
        <v>460</v>
      </c>
      <c r="E647" s="5" t="s">
        <v>902</v>
      </c>
      <c r="G647" s="5">
        <v>-53.35</v>
      </c>
      <c r="H647" s="5">
        <f t="shared" si="42"/>
        <v>53.35</v>
      </c>
      <c r="I647" s="5">
        <v>-53.35</v>
      </c>
      <c r="J647" s="5">
        <f t="shared" si="43"/>
        <v>53.35</v>
      </c>
      <c r="K647" s="5">
        <v>44666.93</v>
      </c>
    </row>
    <row r="648" spans="1:11" x14ac:dyDescent="0.25">
      <c r="A648" s="5">
        <f t="shared" si="40"/>
        <v>2024</v>
      </c>
      <c r="B648" s="5">
        <f t="shared" si="41"/>
        <v>11</v>
      </c>
      <c r="C648" s="6">
        <v>45614</v>
      </c>
      <c r="D648" s="5" t="s">
        <v>747</v>
      </c>
      <c r="E648" s="5" t="s">
        <v>902</v>
      </c>
      <c r="G648" s="5">
        <v>-53.13</v>
      </c>
      <c r="H648" s="5">
        <f t="shared" si="42"/>
        <v>53.13</v>
      </c>
      <c r="I648" s="5">
        <v>-53.13</v>
      </c>
      <c r="J648" s="5">
        <f t="shared" si="43"/>
        <v>53.13</v>
      </c>
      <c r="K648" s="5">
        <v>6234.77</v>
      </c>
    </row>
    <row r="649" spans="1:11" x14ac:dyDescent="0.25">
      <c r="A649" s="5">
        <f t="shared" si="40"/>
        <v>2024</v>
      </c>
      <c r="B649" s="5">
        <f t="shared" si="41"/>
        <v>7</v>
      </c>
      <c r="C649" s="6">
        <v>45502</v>
      </c>
      <c r="D649" s="5" t="s">
        <v>474</v>
      </c>
      <c r="E649" s="5" t="s">
        <v>902</v>
      </c>
      <c r="G649" s="5">
        <v>-53.1</v>
      </c>
      <c r="H649" s="5">
        <f t="shared" si="42"/>
        <v>53.1</v>
      </c>
      <c r="I649" s="5">
        <v>-53.1</v>
      </c>
      <c r="J649" s="5">
        <f t="shared" si="43"/>
        <v>53.1</v>
      </c>
      <c r="K649" s="5">
        <v>30473.54</v>
      </c>
    </row>
    <row r="650" spans="1:11" x14ac:dyDescent="0.25">
      <c r="A650" s="5">
        <f t="shared" si="40"/>
        <v>2023</v>
      </c>
      <c r="B650" s="5">
        <f t="shared" si="41"/>
        <v>12</v>
      </c>
      <c r="C650" s="6">
        <v>45268</v>
      </c>
      <c r="D650" s="5" t="s">
        <v>92</v>
      </c>
      <c r="E650" s="5" t="s">
        <v>902</v>
      </c>
      <c r="G650" s="5">
        <v>-52.99</v>
      </c>
      <c r="H650" s="5">
        <f t="shared" si="42"/>
        <v>52.99</v>
      </c>
      <c r="I650" s="5">
        <v>-52.99</v>
      </c>
      <c r="J650" s="5">
        <f t="shared" si="43"/>
        <v>52.99</v>
      </c>
      <c r="K650" s="5">
        <v>18740.3</v>
      </c>
    </row>
    <row r="651" spans="1:11" x14ac:dyDescent="0.25">
      <c r="A651" s="5">
        <f t="shared" si="40"/>
        <v>2024</v>
      </c>
      <c r="B651" s="5">
        <f t="shared" si="41"/>
        <v>5</v>
      </c>
      <c r="C651" s="6">
        <v>45418</v>
      </c>
      <c r="D651" s="5" t="s">
        <v>325</v>
      </c>
      <c r="E651" s="5" t="s">
        <v>902</v>
      </c>
      <c r="G651" s="5">
        <v>-52.96</v>
      </c>
      <c r="H651" s="5">
        <f t="shared" si="42"/>
        <v>52.96</v>
      </c>
      <c r="I651" s="5">
        <v>-52.96</v>
      </c>
      <c r="J651" s="5">
        <f t="shared" si="43"/>
        <v>52.96</v>
      </c>
      <c r="K651" s="5">
        <v>7427.48</v>
      </c>
    </row>
    <row r="652" spans="1:11" x14ac:dyDescent="0.25">
      <c r="A652" s="5">
        <f t="shared" si="40"/>
        <v>2024</v>
      </c>
      <c r="B652" s="5">
        <f t="shared" si="41"/>
        <v>6</v>
      </c>
      <c r="C652" s="6">
        <v>45461</v>
      </c>
      <c r="D652" s="5" t="s">
        <v>391</v>
      </c>
      <c r="E652" s="5" t="s">
        <v>902</v>
      </c>
      <c r="G652" s="5">
        <v>-52.96</v>
      </c>
      <c r="H652" s="5">
        <f t="shared" si="42"/>
        <v>52.96</v>
      </c>
      <c r="I652" s="5">
        <v>-52.96</v>
      </c>
      <c r="J652" s="5">
        <f t="shared" si="43"/>
        <v>52.96</v>
      </c>
      <c r="K652" s="5">
        <v>32642.83</v>
      </c>
    </row>
    <row r="653" spans="1:11" x14ac:dyDescent="0.25">
      <c r="A653" s="5">
        <f t="shared" si="40"/>
        <v>2024</v>
      </c>
      <c r="B653" s="5">
        <f t="shared" si="41"/>
        <v>7</v>
      </c>
      <c r="C653" s="6">
        <v>45489</v>
      </c>
      <c r="D653" s="5" t="s">
        <v>445</v>
      </c>
      <c r="E653" s="5" t="s">
        <v>902</v>
      </c>
      <c r="G653" s="5">
        <v>-52.96</v>
      </c>
      <c r="H653" s="5">
        <f t="shared" si="42"/>
        <v>52.96</v>
      </c>
      <c r="I653" s="5">
        <v>-52.96</v>
      </c>
      <c r="J653" s="5">
        <f t="shared" si="43"/>
        <v>52.96</v>
      </c>
      <c r="K653" s="5">
        <v>51223.98</v>
      </c>
    </row>
    <row r="654" spans="1:11" x14ac:dyDescent="0.25">
      <c r="A654" s="5">
        <f t="shared" si="40"/>
        <v>2024</v>
      </c>
      <c r="B654" s="5">
        <f t="shared" si="41"/>
        <v>8</v>
      </c>
      <c r="C654" s="6">
        <v>45520</v>
      </c>
      <c r="D654" s="5" t="s">
        <v>513</v>
      </c>
      <c r="E654" s="5" t="s">
        <v>902</v>
      </c>
      <c r="G654" s="5">
        <v>-52.96</v>
      </c>
      <c r="H654" s="5">
        <f t="shared" si="42"/>
        <v>52.96</v>
      </c>
      <c r="I654" s="5">
        <v>-52.96</v>
      </c>
      <c r="J654" s="5">
        <f t="shared" si="43"/>
        <v>52.96</v>
      </c>
      <c r="K654" s="5">
        <v>58703.49</v>
      </c>
    </row>
    <row r="655" spans="1:11" x14ac:dyDescent="0.25">
      <c r="A655" s="5">
        <f t="shared" si="40"/>
        <v>2024</v>
      </c>
      <c r="B655" s="5">
        <f t="shared" si="41"/>
        <v>9</v>
      </c>
      <c r="C655" s="6">
        <v>45552</v>
      </c>
      <c r="D655" s="5" t="s">
        <v>593</v>
      </c>
      <c r="E655" s="5" t="s">
        <v>902</v>
      </c>
      <c r="G655" s="5">
        <v>-52.93</v>
      </c>
      <c r="H655" s="5">
        <f t="shared" si="42"/>
        <v>52.93</v>
      </c>
      <c r="I655" s="5">
        <v>-52.93</v>
      </c>
      <c r="J655" s="5">
        <f t="shared" si="43"/>
        <v>52.93</v>
      </c>
      <c r="K655" s="5">
        <v>85760.55</v>
      </c>
    </row>
    <row r="656" spans="1:11" x14ac:dyDescent="0.25">
      <c r="A656" s="5">
        <f t="shared" si="40"/>
        <v>2024</v>
      </c>
      <c r="B656" s="5">
        <f t="shared" si="41"/>
        <v>10</v>
      </c>
      <c r="C656" s="6">
        <v>45581</v>
      </c>
      <c r="D656" s="5" t="s">
        <v>676</v>
      </c>
      <c r="E656" s="5" t="s">
        <v>902</v>
      </c>
      <c r="G656" s="5">
        <v>-52.92</v>
      </c>
      <c r="H656" s="5">
        <f t="shared" si="42"/>
        <v>52.92</v>
      </c>
      <c r="I656" s="5">
        <v>-52.92</v>
      </c>
      <c r="J656" s="5">
        <f t="shared" si="43"/>
        <v>52.92</v>
      </c>
      <c r="K656" s="5">
        <v>96799.88</v>
      </c>
    </row>
    <row r="657" spans="1:11" x14ac:dyDescent="0.25">
      <c r="A657" s="5">
        <f t="shared" si="40"/>
        <v>2025</v>
      </c>
      <c r="B657" s="5">
        <f t="shared" si="41"/>
        <v>1</v>
      </c>
      <c r="C657" s="6">
        <v>45659</v>
      </c>
      <c r="D657" s="5" t="s">
        <v>810</v>
      </c>
      <c r="E657" s="5" t="s">
        <v>902</v>
      </c>
      <c r="G657" s="5">
        <v>-51.43</v>
      </c>
      <c r="H657" s="5">
        <f t="shared" si="42"/>
        <v>51.43</v>
      </c>
      <c r="I657" s="5">
        <v>-51.43</v>
      </c>
      <c r="J657" s="5">
        <f t="shared" si="43"/>
        <v>51.43</v>
      </c>
      <c r="K657" s="5">
        <v>150612.74</v>
      </c>
    </row>
    <row r="658" spans="1:11" x14ac:dyDescent="0.25">
      <c r="A658" s="5">
        <f t="shared" si="40"/>
        <v>2024</v>
      </c>
      <c r="B658" s="5">
        <f t="shared" si="41"/>
        <v>7</v>
      </c>
      <c r="C658" s="6">
        <v>45496</v>
      </c>
      <c r="D658" s="5" t="s">
        <v>456</v>
      </c>
      <c r="E658" s="5" t="s">
        <v>902</v>
      </c>
      <c r="G658" s="5">
        <v>-50.9</v>
      </c>
      <c r="H658" s="5">
        <f t="shared" si="42"/>
        <v>50.9</v>
      </c>
      <c r="I658" s="5">
        <v>-50.9</v>
      </c>
      <c r="J658" s="5">
        <f t="shared" si="43"/>
        <v>50.9</v>
      </c>
      <c r="K658" s="5">
        <v>49197.5</v>
      </c>
    </row>
    <row r="659" spans="1:11" x14ac:dyDescent="0.25">
      <c r="A659" s="5">
        <f t="shared" si="40"/>
        <v>2024</v>
      </c>
      <c r="B659" s="5">
        <f t="shared" si="41"/>
        <v>12</v>
      </c>
      <c r="C659" s="6">
        <v>45629</v>
      </c>
      <c r="D659" s="5" t="s">
        <v>773</v>
      </c>
      <c r="E659" s="5" t="s">
        <v>902</v>
      </c>
      <c r="G659" s="5">
        <v>-50.25</v>
      </c>
      <c r="H659" s="5">
        <f t="shared" si="42"/>
        <v>50.25</v>
      </c>
      <c r="I659" s="5">
        <v>-50.25</v>
      </c>
      <c r="J659" s="5">
        <f t="shared" si="43"/>
        <v>50.25</v>
      </c>
      <c r="K659" s="5">
        <v>3365.9</v>
      </c>
    </row>
    <row r="660" spans="1:11" x14ac:dyDescent="0.25">
      <c r="A660" s="5">
        <f t="shared" si="40"/>
        <v>2023</v>
      </c>
      <c r="B660" s="5">
        <f t="shared" si="41"/>
        <v>9</v>
      </c>
      <c r="C660" s="6">
        <v>45188</v>
      </c>
      <c r="D660" s="5" t="s">
        <v>18</v>
      </c>
      <c r="E660" s="5" t="s">
        <v>902</v>
      </c>
      <c r="G660" s="5">
        <v>-50</v>
      </c>
      <c r="H660" s="5">
        <f t="shared" si="42"/>
        <v>50</v>
      </c>
      <c r="I660" s="5">
        <v>-50</v>
      </c>
      <c r="J660" s="5">
        <f t="shared" si="43"/>
        <v>50</v>
      </c>
      <c r="K660" s="5">
        <v>7961.7</v>
      </c>
    </row>
    <row r="661" spans="1:11" x14ac:dyDescent="0.25">
      <c r="A661" s="5">
        <f t="shared" si="40"/>
        <v>2023</v>
      </c>
      <c r="B661" s="5">
        <f t="shared" si="41"/>
        <v>10</v>
      </c>
      <c r="C661" s="6">
        <v>45202</v>
      </c>
      <c r="D661" s="5" t="s">
        <v>18</v>
      </c>
      <c r="E661" s="5" t="s">
        <v>902</v>
      </c>
      <c r="G661" s="5">
        <v>-50</v>
      </c>
      <c r="H661" s="5">
        <f t="shared" si="42"/>
        <v>50</v>
      </c>
      <c r="I661" s="5">
        <v>-50</v>
      </c>
      <c r="J661" s="5">
        <f t="shared" si="43"/>
        <v>50</v>
      </c>
      <c r="K661" s="5">
        <v>23388.959999999999</v>
      </c>
    </row>
    <row r="662" spans="1:11" x14ac:dyDescent="0.25">
      <c r="A662" s="5">
        <f t="shared" si="40"/>
        <v>2023</v>
      </c>
      <c r="B662" s="5">
        <f t="shared" si="41"/>
        <v>10</v>
      </c>
      <c r="C662" s="6">
        <v>45229</v>
      </c>
      <c r="D662" s="5" t="s">
        <v>18</v>
      </c>
      <c r="E662" s="5" t="s">
        <v>902</v>
      </c>
      <c r="G662" s="5">
        <v>-50</v>
      </c>
      <c r="H662" s="5">
        <f t="shared" si="42"/>
        <v>50</v>
      </c>
      <c r="I662" s="5">
        <v>-50</v>
      </c>
      <c r="J662" s="5">
        <f t="shared" si="43"/>
        <v>50</v>
      </c>
      <c r="K662" s="5">
        <v>37511.61</v>
      </c>
    </row>
    <row r="663" spans="1:11" x14ac:dyDescent="0.25">
      <c r="A663" s="5">
        <f t="shared" si="40"/>
        <v>2023</v>
      </c>
      <c r="B663" s="5">
        <f t="shared" si="41"/>
        <v>11</v>
      </c>
      <c r="C663" s="6">
        <v>45237</v>
      </c>
      <c r="D663" s="5" t="s">
        <v>18</v>
      </c>
      <c r="E663" s="5" t="s">
        <v>902</v>
      </c>
      <c r="G663" s="5">
        <v>-50</v>
      </c>
      <c r="H663" s="5">
        <f t="shared" si="42"/>
        <v>50</v>
      </c>
      <c r="I663" s="5">
        <v>-50</v>
      </c>
      <c r="J663" s="5">
        <f t="shared" si="43"/>
        <v>50</v>
      </c>
      <c r="K663" s="5">
        <v>11778.8</v>
      </c>
    </row>
    <row r="664" spans="1:11" x14ac:dyDescent="0.25">
      <c r="A664" s="5">
        <f t="shared" si="40"/>
        <v>2023</v>
      </c>
      <c r="B664" s="5">
        <f t="shared" si="41"/>
        <v>11</v>
      </c>
      <c r="C664" s="6">
        <v>45244</v>
      </c>
      <c r="D664" s="5" t="s">
        <v>18</v>
      </c>
      <c r="E664" s="5" t="s">
        <v>902</v>
      </c>
      <c r="G664" s="5">
        <v>-50</v>
      </c>
      <c r="H664" s="5">
        <f t="shared" si="42"/>
        <v>50</v>
      </c>
      <c r="I664" s="5">
        <v>-50</v>
      </c>
      <c r="J664" s="5">
        <f t="shared" si="43"/>
        <v>50</v>
      </c>
      <c r="K664" s="5">
        <v>39544.03</v>
      </c>
    </row>
    <row r="665" spans="1:11" x14ac:dyDescent="0.25">
      <c r="A665" s="5">
        <f t="shared" si="40"/>
        <v>2023</v>
      </c>
      <c r="B665" s="5">
        <f t="shared" si="41"/>
        <v>11</v>
      </c>
      <c r="C665" s="6">
        <v>45258</v>
      </c>
      <c r="D665" s="5" t="s">
        <v>18</v>
      </c>
      <c r="E665" s="5" t="s">
        <v>902</v>
      </c>
      <c r="G665" s="5">
        <v>-50</v>
      </c>
      <c r="H665" s="5">
        <f t="shared" si="42"/>
        <v>50</v>
      </c>
      <c r="I665" s="5">
        <v>-50</v>
      </c>
      <c r="J665" s="5">
        <f t="shared" si="43"/>
        <v>50</v>
      </c>
      <c r="K665" s="5">
        <v>33455.879999999997</v>
      </c>
    </row>
    <row r="666" spans="1:11" x14ac:dyDescent="0.25">
      <c r="A666" s="5">
        <f t="shared" si="40"/>
        <v>2023</v>
      </c>
      <c r="B666" s="5">
        <f t="shared" si="41"/>
        <v>12</v>
      </c>
      <c r="C666" s="6">
        <v>45272</v>
      </c>
      <c r="D666" s="5" t="s">
        <v>18</v>
      </c>
      <c r="E666" s="5" t="s">
        <v>902</v>
      </c>
      <c r="G666" s="5">
        <v>-50</v>
      </c>
      <c r="H666" s="5">
        <f t="shared" si="42"/>
        <v>50</v>
      </c>
      <c r="I666" s="5">
        <v>-50</v>
      </c>
      <c r="J666" s="5">
        <f t="shared" si="43"/>
        <v>50</v>
      </c>
      <c r="K666" s="5">
        <v>56016.75</v>
      </c>
    </row>
    <row r="667" spans="1:11" x14ac:dyDescent="0.25">
      <c r="A667" s="5">
        <f t="shared" si="40"/>
        <v>2023</v>
      </c>
      <c r="B667" s="5">
        <f t="shared" si="41"/>
        <v>12</v>
      </c>
      <c r="C667" s="6">
        <v>45286</v>
      </c>
      <c r="D667" s="5" t="s">
        <v>110</v>
      </c>
      <c r="E667" s="5" t="s">
        <v>902</v>
      </c>
      <c r="G667" s="5">
        <v>-50</v>
      </c>
      <c r="H667" s="5">
        <f t="shared" si="42"/>
        <v>50</v>
      </c>
      <c r="I667" s="5">
        <v>-50</v>
      </c>
      <c r="J667" s="5">
        <f t="shared" si="43"/>
        <v>50</v>
      </c>
      <c r="K667" s="5">
        <v>62507.46</v>
      </c>
    </row>
    <row r="668" spans="1:11" x14ac:dyDescent="0.25">
      <c r="A668" s="5">
        <f t="shared" si="40"/>
        <v>2024</v>
      </c>
      <c r="B668" s="5">
        <f t="shared" si="41"/>
        <v>1</v>
      </c>
      <c r="C668" s="6">
        <v>45300</v>
      </c>
      <c r="D668" s="5" t="s">
        <v>110</v>
      </c>
      <c r="E668" s="5" t="s">
        <v>902</v>
      </c>
      <c r="G668" s="5">
        <v>-50</v>
      </c>
      <c r="H668" s="5">
        <f t="shared" si="42"/>
        <v>50</v>
      </c>
      <c r="I668" s="5">
        <v>-50</v>
      </c>
      <c r="J668" s="5">
        <f t="shared" si="43"/>
        <v>50</v>
      </c>
      <c r="K668" s="5">
        <v>47090.37</v>
      </c>
    </row>
    <row r="669" spans="1:11" x14ac:dyDescent="0.25">
      <c r="A669" s="5">
        <f t="shared" si="40"/>
        <v>2024</v>
      </c>
      <c r="B669" s="5">
        <f t="shared" si="41"/>
        <v>1</v>
      </c>
      <c r="C669" s="6">
        <v>45314</v>
      </c>
      <c r="D669" s="5" t="s">
        <v>110</v>
      </c>
      <c r="E669" s="5" t="s">
        <v>902</v>
      </c>
      <c r="G669" s="5">
        <v>-50</v>
      </c>
      <c r="H669" s="5">
        <f t="shared" si="42"/>
        <v>50</v>
      </c>
      <c r="I669" s="5">
        <v>-50</v>
      </c>
      <c r="J669" s="5">
        <f t="shared" si="43"/>
        <v>50</v>
      </c>
      <c r="K669" s="5">
        <v>42928.87</v>
      </c>
    </row>
    <row r="670" spans="1:11" x14ac:dyDescent="0.25">
      <c r="A670" s="5">
        <f t="shared" si="40"/>
        <v>2024</v>
      </c>
      <c r="B670" s="5">
        <f t="shared" si="41"/>
        <v>2</v>
      </c>
      <c r="C670" s="6">
        <v>45327</v>
      </c>
      <c r="D670" s="5" t="s">
        <v>110</v>
      </c>
      <c r="E670" s="5" t="s">
        <v>902</v>
      </c>
      <c r="G670" s="5">
        <v>-50</v>
      </c>
      <c r="H670" s="5">
        <f t="shared" si="42"/>
        <v>50</v>
      </c>
      <c r="I670" s="5">
        <v>-50</v>
      </c>
      <c r="J670" s="5">
        <f t="shared" si="43"/>
        <v>50</v>
      </c>
      <c r="K670" s="5">
        <v>34767.660000000003</v>
      </c>
    </row>
    <row r="671" spans="1:11" x14ac:dyDescent="0.25">
      <c r="A671" s="5">
        <f t="shared" si="40"/>
        <v>2024</v>
      </c>
      <c r="B671" s="5">
        <f t="shared" si="41"/>
        <v>2</v>
      </c>
      <c r="C671" s="6">
        <v>45334</v>
      </c>
      <c r="D671" s="5" t="s">
        <v>181</v>
      </c>
      <c r="E671" s="5" t="s">
        <v>902</v>
      </c>
      <c r="G671" s="5">
        <v>-50</v>
      </c>
      <c r="H671" s="5">
        <f t="shared" si="42"/>
        <v>50</v>
      </c>
      <c r="I671" s="5">
        <v>-50</v>
      </c>
      <c r="J671" s="5">
        <f t="shared" si="43"/>
        <v>50</v>
      </c>
      <c r="K671" s="5">
        <v>20127.09</v>
      </c>
    </row>
    <row r="672" spans="1:11" x14ac:dyDescent="0.25">
      <c r="A672" s="5">
        <f t="shared" si="40"/>
        <v>2024</v>
      </c>
      <c r="B672" s="5">
        <f t="shared" si="41"/>
        <v>2</v>
      </c>
      <c r="C672" s="6">
        <v>45343</v>
      </c>
      <c r="D672" s="5" t="s">
        <v>110</v>
      </c>
      <c r="E672" s="5" t="s">
        <v>902</v>
      </c>
      <c r="G672" s="5">
        <v>-50</v>
      </c>
      <c r="H672" s="5">
        <f t="shared" si="42"/>
        <v>50</v>
      </c>
      <c r="I672" s="5">
        <v>-50</v>
      </c>
      <c r="J672" s="5">
        <f t="shared" si="43"/>
        <v>50</v>
      </c>
      <c r="K672" s="5">
        <v>15593.61</v>
      </c>
    </row>
    <row r="673" spans="1:11" x14ac:dyDescent="0.25">
      <c r="A673" s="5">
        <f t="shared" si="40"/>
        <v>2024</v>
      </c>
      <c r="B673" s="5">
        <f t="shared" si="41"/>
        <v>3</v>
      </c>
      <c r="C673" s="6">
        <v>45356</v>
      </c>
      <c r="D673" s="5" t="s">
        <v>110</v>
      </c>
      <c r="E673" s="5" t="s">
        <v>902</v>
      </c>
      <c r="G673" s="5">
        <v>-50</v>
      </c>
      <c r="H673" s="5">
        <f t="shared" si="42"/>
        <v>50</v>
      </c>
      <c r="I673" s="5">
        <v>-50</v>
      </c>
      <c r="J673" s="5">
        <f t="shared" si="43"/>
        <v>50</v>
      </c>
      <c r="K673" s="5">
        <v>45821.72</v>
      </c>
    </row>
    <row r="674" spans="1:11" x14ac:dyDescent="0.25">
      <c r="A674" s="5">
        <f t="shared" si="40"/>
        <v>2024</v>
      </c>
      <c r="B674" s="5">
        <f t="shared" si="41"/>
        <v>3</v>
      </c>
      <c r="C674" s="6">
        <v>45359</v>
      </c>
      <c r="D674" s="5" t="s">
        <v>220</v>
      </c>
      <c r="E674" s="5" t="s">
        <v>902</v>
      </c>
      <c r="G674" s="5">
        <v>-50</v>
      </c>
      <c r="H674" s="5">
        <f t="shared" si="42"/>
        <v>50</v>
      </c>
      <c r="I674" s="5">
        <v>-50</v>
      </c>
      <c r="J674" s="5">
        <f t="shared" si="43"/>
        <v>50</v>
      </c>
      <c r="K674" s="5">
        <v>20239.96</v>
      </c>
    </row>
    <row r="675" spans="1:11" x14ac:dyDescent="0.25">
      <c r="A675" s="5">
        <f t="shared" si="40"/>
        <v>2024</v>
      </c>
      <c r="B675" s="5">
        <f t="shared" si="41"/>
        <v>3</v>
      </c>
      <c r="C675" s="6">
        <v>45370</v>
      </c>
      <c r="D675" s="5" t="s">
        <v>110</v>
      </c>
      <c r="E675" s="5" t="s">
        <v>902</v>
      </c>
      <c r="G675" s="5">
        <v>-50</v>
      </c>
      <c r="H675" s="5">
        <f t="shared" si="42"/>
        <v>50</v>
      </c>
      <c r="I675" s="5">
        <v>-50</v>
      </c>
      <c r="J675" s="5">
        <f t="shared" si="43"/>
        <v>50</v>
      </c>
      <c r="K675" s="5">
        <v>27408.39</v>
      </c>
    </row>
    <row r="676" spans="1:11" x14ac:dyDescent="0.25">
      <c r="A676" s="5">
        <f t="shared" si="40"/>
        <v>2024</v>
      </c>
      <c r="B676" s="5">
        <f t="shared" si="41"/>
        <v>4</v>
      </c>
      <c r="C676" s="6">
        <v>45384</v>
      </c>
      <c r="D676" s="5" t="s">
        <v>110</v>
      </c>
      <c r="E676" s="5" t="s">
        <v>902</v>
      </c>
      <c r="G676" s="5">
        <v>-50</v>
      </c>
      <c r="H676" s="5">
        <f t="shared" si="42"/>
        <v>50</v>
      </c>
      <c r="I676" s="5">
        <v>-50</v>
      </c>
      <c r="J676" s="5">
        <f t="shared" si="43"/>
        <v>50</v>
      </c>
      <c r="K676" s="5">
        <v>34756.81</v>
      </c>
    </row>
    <row r="677" spans="1:11" x14ac:dyDescent="0.25">
      <c r="A677" s="5">
        <f t="shared" si="40"/>
        <v>2024</v>
      </c>
      <c r="B677" s="5">
        <f t="shared" si="41"/>
        <v>4</v>
      </c>
      <c r="C677" s="6">
        <v>45398</v>
      </c>
      <c r="D677" s="5" t="s">
        <v>110</v>
      </c>
      <c r="E677" s="5" t="s">
        <v>902</v>
      </c>
      <c r="G677" s="5">
        <v>-50</v>
      </c>
      <c r="H677" s="5">
        <f t="shared" si="42"/>
        <v>50</v>
      </c>
      <c r="I677" s="5">
        <v>-50</v>
      </c>
      <c r="J677" s="5">
        <f t="shared" si="43"/>
        <v>50</v>
      </c>
      <c r="K677" s="5">
        <v>47172.76</v>
      </c>
    </row>
    <row r="678" spans="1:11" x14ac:dyDescent="0.25">
      <c r="A678" s="5">
        <f t="shared" si="40"/>
        <v>2024</v>
      </c>
      <c r="B678" s="5">
        <f t="shared" si="41"/>
        <v>4</v>
      </c>
      <c r="C678" s="6">
        <v>45412</v>
      </c>
      <c r="D678" s="5" t="s">
        <v>110</v>
      </c>
      <c r="E678" s="5" t="s">
        <v>902</v>
      </c>
      <c r="G678" s="5">
        <v>-50</v>
      </c>
      <c r="H678" s="5">
        <f t="shared" si="42"/>
        <v>50</v>
      </c>
      <c r="I678" s="5">
        <v>-50</v>
      </c>
      <c r="J678" s="5">
        <f t="shared" si="43"/>
        <v>50</v>
      </c>
      <c r="K678" s="5">
        <v>20542.310000000001</v>
      </c>
    </row>
    <row r="679" spans="1:11" x14ac:dyDescent="0.25">
      <c r="A679" s="5">
        <f t="shared" si="40"/>
        <v>2024</v>
      </c>
      <c r="B679" s="5">
        <f t="shared" si="41"/>
        <v>5</v>
      </c>
      <c r="C679" s="6">
        <v>45426</v>
      </c>
      <c r="D679" s="5" t="s">
        <v>110</v>
      </c>
      <c r="E679" s="5" t="s">
        <v>902</v>
      </c>
      <c r="G679" s="5">
        <v>-50</v>
      </c>
      <c r="H679" s="5">
        <f t="shared" si="42"/>
        <v>50</v>
      </c>
      <c r="I679" s="5">
        <v>-50</v>
      </c>
      <c r="J679" s="5">
        <f t="shared" si="43"/>
        <v>50</v>
      </c>
      <c r="K679" s="5">
        <v>8675.07</v>
      </c>
    </row>
    <row r="680" spans="1:11" x14ac:dyDescent="0.25">
      <c r="A680" s="5">
        <f t="shared" si="40"/>
        <v>2024</v>
      </c>
      <c r="B680" s="5">
        <f t="shared" si="41"/>
        <v>5</v>
      </c>
      <c r="C680" s="6">
        <v>45440</v>
      </c>
      <c r="D680" s="5" t="s">
        <v>110</v>
      </c>
      <c r="E680" s="5" t="s">
        <v>902</v>
      </c>
      <c r="G680" s="5">
        <v>-50</v>
      </c>
      <c r="H680" s="5">
        <f t="shared" si="42"/>
        <v>50</v>
      </c>
      <c r="I680" s="5">
        <v>-50</v>
      </c>
      <c r="J680" s="5">
        <f t="shared" si="43"/>
        <v>50</v>
      </c>
      <c r="K680" s="5">
        <v>26145.54</v>
      </c>
    </row>
    <row r="681" spans="1:11" x14ac:dyDescent="0.25">
      <c r="A681" s="5">
        <f t="shared" si="40"/>
        <v>2024</v>
      </c>
      <c r="B681" s="5">
        <f t="shared" si="41"/>
        <v>6</v>
      </c>
      <c r="C681" s="6">
        <v>45454</v>
      </c>
      <c r="D681" s="5" t="s">
        <v>110</v>
      </c>
      <c r="E681" s="5" t="s">
        <v>902</v>
      </c>
      <c r="G681" s="5">
        <v>-50</v>
      </c>
      <c r="H681" s="5">
        <f t="shared" si="42"/>
        <v>50</v>
      </c>
      <c r="I681" s="5">
        <v>-50</v>
      </c>
      <c r="J681" s="5">
        <f t="shared" si="43"/>
        <v>50</v>
      </c>
      <c r="K681" s="5">
        <v>39489.379999999997</v>
      </c>
    </row>
    <row r="682" spans="1:11" x14ac:dyDescent="0.25">
      <c r="A682" s="5">
        <f t="shared" si="40"/>
        <v>2024</v>
      </c>
      <c r="B682" s="5">
        <f t="shared" si="41"/>
        <v>6</v>
      </c>
      <c r="C682" s="6">
        <v>45468</v>
      </c>
      <c r="D682" s="5" t="s">
        <v>110</v>
      </c>
      <c r="E682" s="5" t="s">
        <v>902</v>
      </c>
      <c r="G682" s="5">
        <v>-50</v>
      </c>
      <c r="H682" s="5">
        <f t="shared" si="42"/>
        <v>50</v>
      </c>
      <c r="I682" s="5">
        <v>-50</v>
      </c>
      <c r="J682" s="5">
        <f t="shared" si="43"/>
        <v>50</v>
      </c>
      <c r="K682" s="5">
        <v>74708.460000000006</v>
      </c>
    </row>
    <row r="683" spans="1:11" x14ac:dyDescent="0.25">
      <c r="A683" s="5">
        <f t="shared" si="40"/>
        <v>2024</v>
      </c>
      <c r="B683" s="5">
        <f t="shared" si="41"/>
        <v>7</v>
      </c>
      <c r="C683" s="6">
        <v>45482</v>
      </c>
      <c r="D683" s="5" t="s">
        <v>110</v>
      </c>
      <c r="E683" s="5" t="s">
        <v>902</v>
      </c>
      <c r="G683" s="5">
        <v>-50</v>
      </c>
      <c r="H683" s="5">
        <f t="shared" si="42"/>
        <v>50</v>
      </c>
      <c r="I683" s="5">
        <v>-50</v>
      </c>
      <c r="J683" s="5">
        <f t="shared" si="43"/>
        <v>50</v>
      </c>
      <c r="K683" s="5">
        <v>81393.75</v>
      </c>
    </row>
    <row r="684" spans="1:11" x14ac:dyDescent="0.25">
      <c r="A684" s="5">
        <f t="shared" si="40"/>
        <v>2024</v>
      </c>
      <c r="B684" s="5">
        <f t="shared" si="41"/>
        <v>7</v>
      </c>
      <c r="C684" s="6">
        <v>45496</v>
      </c>
      <c r="D684" s="5" t="s">
        <v>110</v>
      </c>
      <c r="E684" s="5" t="s">
        <v>902</v>
      </c>
      <c r="G684" s="5">
        <v>-50</v>
      </c>
      <c r="H684" s="5">
        <f t="shared" si="42"/>
        <v>50</v>
      </c>
      <c r="I684" s="5">
        <v>-50</v>
      </c>
      <c r="J684" s="5">
        <f t="shared" si="43"/>
        <v>50</v>
      </c>
      <c r="K684" s="5">
        <v>48980.5</v>
      </c>
    </row>
    <row r="685" spans="1:11" x14ac:dyDescent="0.25">
      <c r="A685" s="5">
        <f t="shared" si="40"/>
        <v>2024</v>
      </c>
      <c r="B685" s="5">
        <f t="shared" si="41"/>
        <v>8</v>
      </c>
      <c r="C685" s="6">
        <v>45510</v>
      </c>
      <c r="D685" s="5" t="s">
        <v>110</v>
      </c>
      <c r="E685" s="5" t="s">
        <v>902</v>
      </c>
      <c r="G685" s="5">
        <v>-50</v>
      </c>
      <c r="H685" s="5">
        <f t="shared" si="42"/>
        <v>50</v>
      </c>
      <c r="I685" s="5">
        <v>-50</v>
      </c>
      <c r="J685" s="5">
        <f t="shared" si="43"/>
        <v>50</v>
      </c>
      <c r="K685" s="5">
        <v>41632.69</v>
      </c>
    </row>
    <row r="686" spans="1:11" x14ac:dyDescent="0.25">
      <c r="A686" s="5">
        <f t="shared" si="40"/>
        <v>2024</v>
      </c>
      <c r="B686" s="5">
        <f t="shared" si="41"/>
        <v>8</v>
      </c>
      <c r="C686" s="6">
        <v>45523</v>
      </c>
      <c r="D686" s="5" t="s">
        <v>110</v>
      </c>
      <c r="E686" s="5" t="s">
        <v>902</v>
      </c>
      <c r="G686" s="5">
        <v>-50</v>
      </c>
      <c r="H686" s="5">
        <f t="shared" si="42"/>
        <v>50</v>
      </c>
      <c r="I686" s="5">
        <v>-50</v>
      </c>
      <c r="J686" s="5">
        <f t="shared" si="43"/>
        <v>50</v>
      </c>
      <c r="K686" s="5">
        <v>61849.2</v>
      </c>
    </row>
    <row r="687" spans="1:11" x14ac:dyDescent="0.25">
      <c r="A687" s="5">
        <f t="shared" si="40"/>
        <v>2024</v>
      </c>
      <c r="B687" s="5">
        <f t="shared" si="41"/>
        <v>9</v>
      </c>
      <c r="C687" s="6">
        <v>45539</v>
      </c>
      <c r="D687" s="5" t="s">
        <v>110</v>
      </c>
      <c r="E687" s="5" t="s">
        <v>902</v>
      </c>
      <c r="G687" s="5">
        <v>-50</v>
      </c>
      <c r="H687" s="5">
        <f t="shared" si="42"/>
        <v>50</v>
      </c>
      <c r="I687" s="5">
        <v>-50</v>
      </c>
      <c r="J687" s="5">
        <f t="shared" si="43"/>
        <v>50</v>
      </c>
      <c r="K687" s="5">
        <v>70127.92</v>
      </c>
    </row>
    <row r="688" spans="1:11" x14ac:dyDescent="0.25">
      <c r="A688" s="5">
        <f t="shared" si="40"/>
        <v>2024</v>
      </c>
      <c r="B688" s="5">
        <f t="shared" si="41"/>
        <v>9</v>
      </c>
      <c r="C688" s="6">
        <v>45559</v>
      </c>
      <c r="D688" s="5" t="s">
        <v>110</v>
      </c>
      <c r="E688" s="5" t="s">
        <v>902</v>
      </c>
      <c r="G688" s="5">
        <v>-50</v>
      </c>
      <c r="H688" s="5">
        <f t="shared" si="42"/>
        <v>50</v>
      </c>
      <c r="I688" s="5">
        <v>-50</v>
      </c>
      <c r="J688" s="5">
        <f t="shared" si="43"/>
        <v>50</v>
      </c>
      <c r="K688" s="5">
        <v>66062.460000000006</v>
      </c>
    </row>
    <row r="689" spans="1:11" x14ac:dyDescent="0.25">
      <c r="A689" s="5">
        <f t="shared" si="40"/>
        <v>2024</v>
      </c>
      <c r="B689" s="5">
        <f t="shared" si="41"/>
        <v>10</v>
      </c>
      <c r="C689" s="6">
        <v>45581</v>
      </c>
      <c r="D689" s="5" t="s">
        <v>110</v>
      </c>
      <c r="E689" s="5" t="s">
        <v>902</v>
      </c>
      <c r="G689" s="5">
        <v>-50</v>
      </c>
      <c r="H689" s="5">
        <f t="shared" si="42"/>
        <v>50</v>
      </c>
      <c r="I689" s="5">
        <v>-50</v>
      </c>
      <c r="J689" s="5">
        <f t="shared" si="43"/>
        <v>50</v>
      </c>
      <c r="K689" s="5">
        <v>96749.88</v>
      </c>
    </row>
    <row r="690" spans="1:11" x14ac:dyDescent="0.25">
      <c r="A690" s="5">
        <f t="shared" si="40"/>
        <v>2024</v>
      </c>
      <c r="B690" s="5">
        <f t="shared" si="41"/>
        <v>10</v>
      </c>
      <c r="C690" s="6">
        <v>45583</v>
      </c>
      <c r="D690" s="5" t="s">
        <v>110</v>
      </c>
      <c r="E690" s="5" t="s">
        <v>902</v>
      </c>
      <c r="G690" s="5">
        <v>-50</v>
      </c>
      <c r="H690" s="5">
        <f t="shared" si="42"/>
        <v>50</v>
      </c>
      <c r="I690" s="5">
        <v>-50</v>
      </c>
      <c r="J690" s="5">
        <f t="shared" si="43"/>
        <v>50</v>
      </c>
      <c r="K690" s="5">
        <v>63007.63</v>
      </c>
    </row>
    <row r="691" spans="1:11" x14ac:dyDescent="0.25">
      <c r="A691" s="5">
        <f t="shared" si="40"/>
        <v>2024</v>
      </c>
      <c r="B691" s="5">
        <f t="shared" si="41"/>
        <v>10</v>
      </c>
      <c r="C691" s="6">
        <v>45595</v>
      </c>
      <c r="D691" s="5" t="s">
        <v>110</v>
      </c>
      <c r="E691" s="5" t="s">
        <v>902</v>
      </c>
      <c r="G691" s="5">
        <v>-50</v>
      </c>
      <c r="H691" s="5">
        <f t="shared" si="42"/>
        <v>50</v>
      </c>
      <c r="I691" s="5">
        <v>-50</v>
      </c>
      <c r="J691" s="5">
        <f t="shared" si="43"/>
        <v>50</v>
      </c>
      <c r="K691" s="5">
        <v>71958.86</v>
      </c>
    </row>
    <row r="692" spans="1:11" x14ac:dyDescent="0.25">
      <c r="A692" s="5">
        <f t="shared" si="40"/>
        <v>2024</v>
      </c>
      <c r="B692" s="5">
        <f t="shared" si="41"/>
        <v>11</v>
      </c>
      <c r="C692" s="6">
        <v>45609</v>
      </c>
      <c r="D692" s="5" t="s">
        <v>110</v>
      </c>
      <c r="E692" s="5" t="s">
        <v>902</v>
      </c>
      <c r="G692" s="5">
        <v>-50</v>
      </c>
      <c r="H692" s="5">
        <f t="shared" si="42"/>
        <v>50</v>
      </c>
      <c r="I692" s="5">
        <v>-50</v>
      </c>
      <c r="J692" s="5">
        <f t="shared" si="43"/>
        <v>50</v>
      </c>
      <c r="K692" s="5">
        <v>23862.75</v>
      </c>
    </row>
    <row r="693" spans="1:11" x14ac:dyDescent="0.25">
      <c r="A693" s="5">
        <f t="shared" si="40"/>
        <v>2024</v>
      </c>
      <c r="B693" s="5">
        <f t="shared" si="41"/>
        <v>11</v>
      </c>
      <c r="C693" s="6">
        <v>45625</v>
      </c>
      <c r="D693" s="5" t="s">
        <v>110</v>
      </c>
      <c r="E693" s="5" t="s">
        <v>902</v>
      </c>
      <c r="G693" s="5">
        <v>-50</v>
      </c>
      <c r="H693" s="5">
        <f t="shared" si="42"/>
        <v>50</v>
      </c>
      <c r="I693" s="5">
        <v>-50</v>
      </c>
      <c r="J693" s="5">
        <f t="shared" si="43"/>
        <v>50</v>
      </c>
      <c r="K693" s="5">
        <v>1210.2</v>
      </c>
    </row>
    <row r="694" spans="1:11" x14ac:dyDescent="0.25">
      <c r="A694" s="5">
        <f t="shared" si="40"/>
        <v>2024</v>
      </c>
      <c r="B694" s="5">
        <f t="shared" si="41"/>
        <v>12</v>
      </c>
      <c r="C694" s="6">
        <v>45636</v>
      </c>
      <c r="D694" s="5" t="s">
        <v>110</v>
      </c>
      <c r="E694" s="5" t="s">
        <v>902</v>
      </c>
      <c r="G694" s="5">
        <v>-50</v>
      </c>
      <c r="H694" s="5">
        <f t="shared" si="42"/>
        <v>50</v>
      </c>
      <c r="I694" s="5">
        <v>-50</v>
      </c>
      <c r="J694" s="5">
        <f t="shared" si="43"/>
        <v>50</v>
      </c>
      <c r="K694" s="5">
        <v>10874.75</v>
      </c>
    </row>
    <row r="695" spans="1:11" x14ac:dyDescent="0.25">
      <c r="A695" s="5">
        <f t="shared" si="40"/>
        <v>2024</v>
      </c>
      <c r="B695" s="5">
        <f t="shared" si="41"/>
        <v>12</v>
      </c>
      <c r="C695" s="6">
        <v>45650</v>
      </c>
      <c r="D695" s="5" t="s">
        <v>110</v>
      </c>
      <c r="E695" s="5" t="s">
        <v>902</v>
      </c>
      <c r="G695" s="5">
        <v>-50</v>
      </c>
      <c r="H695" s="5">
        <f t="shared" si="42"/>
        <v>50</v>
      </c>
      <c r="I695" s="5">
        <v>-50</v>
      </c>
      <c r="J695" s="5">
        <f t="shared" si="43"/>
        <v>50</v>
      </c>
      <c r="K695" s="5">
        <v>63555.11</v>
      </c>
    </row>
    <row r="696" spans="1:11" x14ac:dyDescent="0.25">
      <c r="A696" s="5">
        <f t="shared" si="40"/>
        <v>2025</v>
      </c>
      <c r="B696" s="5">
        <f t="shared" si="41"/>
        <v>1</v>
      </c>
      <c r="C696" s="6">
        <v>45664</v>
      </c>
      <c r="D696" s="5" t="s">
        <v>110</v>
      </c>
      <c r="E696" s="5" t="s">
        <v>902</v>
      </c>
      <c r="G696" s="5">
        <v>-50</v>
      </c>
      <c r="H696" s="5">
        <f t="shared" si="42"/>
        <v>50</v>
      </c>
      <c r="I696" s="5">
        <v>-50</v>
      </c>
      <c r="J696" s="5">
        <f t="shared" si="43"/>
        <v>50</v>
      </c>
      <c r="K696" s="5">
        <v>78720.19</v>
      </c>
    </row>
    <row r="697" spans="1:11" x14ac:dyDescent="0.25">
      <c r="A697" s="5">
        <f t="shared" si="40"/>
        <v>2025</v>
      </c>
      <c r="B697" s="5">
        <f t="shared" si="41"/>
        <v>1</v>
      </c>
      <c r="C697" s="6">
        <v>45679</v>
      </c>
      <c r="D697" s="5" t="s">
        <v>110</v>
      </c>
      <c r="E697" s="5" t="s">
        <v>902</v>
      </c>
      <c r="G697" s="5">
        <v>-50</v>
      </c>
      <c r="H697" s="5">
        <f t="shared" si="42"/>
        <v>50</v>
      </c>
      <c r="I697" s="5">
        <v>-50</v>
      </c>
      <c r="J697" s="5">
        <f t="shared" si="43"/>
        <v>50</v>
      </c>
      <c r="K697" s="5">
        <v>53980.19</v>
      </c>
    </row>
    <row r="698" spans="1:11" x14ac:dyDescent="0.25">
      <c r="A698" s="5">
        <f t="shared" si="40"/>
        <v>2025</v>
      </c>
      <c r="B698" s="5">
        <f t="shared" si="41"/>
        <v>2</v>
      </c>
      <c r="C698" s="6">
        <v>45692</v>
      </c>
      <c r="D698" s="5" t="s">
        <v>110</v>
      </c>
      <c r="E698" s="5" t="s">
        <v>902</v>
      </c>
      <c r="G698" s="5">
        <v>-50</v>
      </c>
      <c r="H698" s="5">
        <f t="shared" si="42"/>
        <v>50</v>
      </c>
      <c r="I698" s="5">
        <v>-50</v>
      </c>
      <c r="J698" s="5">
        <f t="shared" si="43"/>
        <v>50</v>
      </c>
      <c r="K698" s="5">
        <v>55613.56</v>
      </c>
    </row>
    <row r="699" spans="1:11" x14ac:dyDescent="0.25">
      <c r="A699" s="5">
        <f t="shared" si="40"/>
        <v>2025</v>
      </c>
      <c r="B699" s="5">
        <f t="shared" si="41"/>
        <v>2</v>
      </c>
      <c r="C699" s="6">
        <v>45706</v>
      </c>
      <c r="D699" s="5" t="s">
        <v>110</v>
      </c>
      <c r="E699" s="5" t="s">
        <v>902</v>
      </c>
      <c r="G699" s="5">
        <v>-50</v>
      </c>
      <c r="H699" s="5">
        <f t="shared" si="42"/>
        <v>50</v>
      </c>
      <c r="I699" s="5">
        <v>-50</v>
      </c>
      <c r="J699" s="5">
        <f t="shared" si="43"/>
        <v>50</v>
      </c>
      <c r="K699" s="5">
        <v>56788.98</v>
      </c>
    </row>
    <row r="700" spans="1:11" x14ac:dyDescent="0.25">
      <c r="A700" s="5">
        <f t="shared" si="40"/>
        <v>2025</v>
      </c>
      <c r="B700" s="5">
        <f t="shared" si="41"/>
        <v>3</v>
      </c>
      <c r="C700" s="6">
        <v>45720</v>
      </c>
      <c r="D700" s="5" t="s">
        <v>110</v>
      </c>
      <c r="E700" s="5" t="s">
        <v>902</v>
      </c>
      <c r="G700" s="5">
        <v>-50</v>
      </c>
      <c r="H700" s="5">
        <f t="shared" si="42"/>
        <v>50</v>
      </c>
      <c r="I700" s="5">
        <v>-50</v>
      </c>
      <c r="J700" s="5">
        <f t="shared" si="43"/>
        <v>50</v>
      </c>
      <c r="K700" s="5">
        <v>79275.490000000005</v>
      </c>
    </row>
    <row r="701" spans="1:11" x14ac:dyDescent="0.25">
      <c r="A701" s="5">
        <f t="shared" si="40"/>
        <v>2024</v>
      </c>
      <c r="B701" s="5">
        <f t="shared" si="41"/>
        <v>9</v>
      </c>
      <c r="C701" s="6">
        <v>45538</v>
      </c>
      <c r="D701" s="5" t="s">
        <v>550</v>
      </c>
      <c r="E701" s="5" t="s">
        <v>902</v>
      </c>
      <c r="G701" s="5">
        <v>-49.99</v>
      </c>
      <c r="H701" s="5">
        <f t="shared" si="42"/>
        <v>49.99</v>
      </c>
      <c r="I701" s="5">
        <v>-49.99</v>
      </c>
      <c r="J701" s="5">
        <f t="shared" si="43"/>
        <v>49.99</v>
      </c>
      <c r="K701" s="5">
        <v>76733.48</v>
      </c>
    </row>
    <row r="702" spans="1:11" x14ac:dyDescent="0.25">
      <c r="A702" s="5">
        <f t="shared" si="40"/>
        <v>2024</v>
      </c>
      <c r="B702" s="5">
        <f t="shared" si="41"/>
        <v>9</v>
      </c>
      <c r="C702" s="6">
        <v>45538</v>
      </c>
      <c r="D702" s="5" t="s">
        <v>554</v>
      </c>
      <c r="E702" s="5" t="s">
        <v>902</v>
      </c>
      <c r="G702" s="5">
        <v>-49.71</v>
      </c>
      <c r="H702" s="5">
        <f t="shared" si="42"/>
        <v>49.71</v>
      </c>
      <c r="I702" s="5">
        <v>-49.71</v>
      </c>
      <c r="J702" s="5">
        <f t="shared" si="43"/>
        <v>49.71</v>
      </c>
      <c r="K702" s="5">
        <v>76332.77</v>
      </c>
    </row>
    <row r="703" spans="1:11" x14ac:dyDescent="0.25">
      <c r="A703" s="5">
        <f t="shared" si="40"/>
        <v>2024</v>
      </c>
      <c r="B703" s="5">
        <f t="shared" si="41"/>
        <v>9</v>
      </c>
      <c r="C703" s="6">
        <v>45544</v>
      </c>
      <c r="D703" s="5" t="s">
        <v>579</v>
      </c>
      <c r="E703" s="5" t="s">
        <v>902</v>
      </c>
      <c r="G703" s="5">
        <v>-48.39</v>
      </c>
      <c r="H703" s="5">
        <f t="shared" si="42"/>
        <v>48.39</v>
      </c>
      <c r="I703" s="5">
        <v>-48.39</v>
      </c>
      <c r="J703" s="5">
        <f t="shared" si="43"/>
        <v>48.39</v>
      </c>
      <c r="K703" s="5">
        <v>67836.800000000003</v>
      </c>
    </row>
    <row r="704" spans="1:11" x14ac:dyDescent="0.25">
      <c r="A704" s="5">
        <f t="shared" si="40"/>
        <v>2024</v>
      </c>
      <c r="B704" s="5">
        <f t="shared" si="41"/>
        <v>10</v>
      </c>
      <c r="C704" s="6">
        <v>45576</v>
      </c>
      <c r="D704" s="5" t="s">
        <v>664</v>
      </c>
      <c r="E704" s="5" t="s">
        <v>902</v>
      </c>
      <c r="G704" s="5">
        <v>-47.35</v>
      </c>
      <c r="H704" s="5">
        <f t="shared" si="42"/>
        <v>47.35</v>
      </c>
      <c r="I704" s="5">
        <v>-47.35</v>
      </c>
      <c r="J704" s="5">
        <f t="shared" si="43"/>
        <v>47.35</v>
      </c>
      <c r="K704" s="5">
        <v>67919.710000000006</v>
      </c>
    </row>
    <row r="705" spans="1:11" x14ac:dyDescent="0.25">
      <c r="A705" s="5">
        <f t="shared" si="40"/>
        <v>2023</v>
      </c>
      <c r="B705" s="5">
        <f t="shared" si="41"/>
        <v>10</v>
      </c>
      <c r="C705" s="6">
        <v>45215</v>
      </c>
      <c r="D705" s="5" t="s">
        <v>49</v>
      </c>
      <c r="E705" s="5" t="s">
        <v>902</v>
      </c>
      <c r="G705" s="5">
        <v>-46.7</v>
      </c>
      <c r="H705" s="5">
        <f t="shared" si="42"/>
        <v>46.7</v>
      </c>
      <c r="I705" s="5">
        <v>-46.7</v>
      </c>
      <c r="J705" s="5">
        <f t="shared" si="43"/>
        <v>46.7</v>
      </c>
      <c r="K705" s="5">
        <v>13645.08</v>
      </c>
    </row>
    <row r="706" spans="1:11" x14ac:dyDescent="0.25">
      <c r="A706" s="5">
        <f t="shared" si="40"/>
        <v>2023</v>
      </c>
      <c r="B706" s="5">
        <f t="shared" si="41"/>
        <v>11</v>
      </c>
      <c r="C706" s="6">
        <v>45260</v>
      </c>
      <c r="D706" s="5" t="s">
        <v>82</v>
      </c>
      <c r="E706" s="5" t="s">
        <v>902</v>
      </c>
      <c r="G706" s="5">
        <v>-45</v>
      </c>
      <c r="H706" s="5">
        <f t="shared" si="42"/>
        <v>45</v>
      </c>
      <c r="I706" s="5">
        <v>-45</v>
      </c>
      <c r="J706" s="5">
        <f t="shared" si="43"/>
        <v>45</v>
      </c>
      <c r="K706" s="5">
        <v>33324.129999999997</v>
      </c>
    </row>
    <row r="707" spans="1:11" x14ac:dyDescent="0.25">
      <c r="A707" s="5">
        <f t="shared" ref="A707:A770" si="44">YEAR(C707)</f>
        <v>2024</v>
      </c>
      <c r="B707" s="5">
        <f t="shared" ref="B707:B770" si="45">MONTH(C707)</f>
        <v>4</v>
      </c>
      <c r="C707" s="6">
        <v>45400</v>
      </c>
      <c r="D707" s="5" t="s">
        <v>283</v>
      </c>
      <c r="E707" s="5" t="s">
        <v>902</v>
      </c>
      <c r="G707" s="5">
        <v>-44.68</v>
      </c>
      <c r="H707" s="5">
        <f t="shared" ref="H707:H770" si="46">(-1*G707)</f>
        <v>44.68</v>
      </c>
      <c r="I707" s="5">
        <v>-44.68</v>
      </c>
      <c r="J707" s="5">
        <f t="shared" ref="J707:J770" si="47">(F707+H707)</f>
        <v>44.68</v>
      </c>
      <c r="K707" s="5">
        <v>27128.080000000002</v>
      </c>
    </row>
    <row r="708" spans="1:11" x14ac:dyDescent="0.25">
      <c r="A708" s="5">
        <f t="shared" si="44"/>
        <v>2024</v>
      </c>
      <c r="B708" s="5">
        <f t="shared" si="45"/>
        <v>9</v>
      </c>
      <c r="C708" s="6">
        <v>45565</v>
      </c>
      <c r="D708" s="5" t="s">
        <v>624</v>
      </c>
      <c r="E708" s="5" t="s">
        <v>902</v>
      </c>
      <c r="G708" s="5">
        <v>-44.61</v>
      </c>
      <c r="H708" s="5">
        <f t="shared" si="46"/>
        <v>44.61</v>
      </c>
      <c r="I708" s="5">
        <v>-44.61</v>
      </c>
      <c r="J708" s="5">
        <f t="shared" si="47"/>
        <v>44.61</v>
      </c>
      <c r="K708" s="5">
        <v>96073.919999999998</v>
      </c>
    </row>
    <row r="709" spans="1:11" x14ac:dyDescent="0.25">
      <c r="A709" s="5">
        <f t="shared" si="44"/>
        <v>2024</v>
      </c>
      <c r="B709" s="5">
        <f t="shared" si="45"/>
        <v>11</v>
      </c>
      <c r="C709" s="6">
        <v>45615</v>
      </c>
      <c r="D709" s="5" t="s">
        <v>750</v>
      </c>
      <c r="E709" s="5" t="s">
        <v>902</v>
      </c>
      <c r="G709" s="5">
        <v>-44.58</v>
      </c>
      <c r="H709" s="5">
        <f t="shared" si="46"/>
        <v>44.58</v>
      </c>
      <c r="I709" s="5">
        <v>-44.58</v>
      </c>
      <c r="J709" s="5">
        <f t="shared" si="47"/>
        <v>44.58</v>
      </c>
      <c r="K709" s="5">
        <v>4571.09</v>
      </c>
    </row>
    <row r="710" spans="1:11" x14ac:dyDescent="0.25">
      <c r="A710" s="5">
        <f t="shared" si="44"/>
        <v>2024</v>
      </c>
      <c r="B710" s="5">
        <f t="shared" si="45"/>
        <v>6</v>
      </c>
      <c r="C710" s="6">
        <v>45453</v>
      </c>
      <c r="D710" s="5" t="s">
        <v>376</v>
      </c>
      <c r="E710" s="5" t="s">
        <v>902</v>
      </c>
      <c r="G710" s="5">
        <v>-44.17</v>
      </c>
      <c r="H710" s="5">
        <f t="shared" si="46"/>
        <v>44.17</v>
      </c>
      <c r="I710" s="5">
        <v>-44.17</v>
      </c>
      <c r="J710" s="5">
        <f t="shared" si="47"/>
        <v>44.17</v>
      </c>
      <c r="K710" s="5">
        <v>39665.81</v>
      </c>
    </row>
    <row r="711" spans="1:11" x14ac:dyDescent="0.25">
      <c r="A711" s="5">
        <f t="shared" si="44"/>
        <v>2024</v>
      </c>
      <c r="B711" s="5">
        <f t="shared" si="45"/>
        <v>11</v>
      </c>
      <c r="C711" s="6">
        <v>45609</v>
      </c>
      <c r="D711" s="5" t="s">
        <v>736</v>
      </c>
      <c r="E711" s="5" t="s">
        <v>902</v>
      </c>
      <c r="G711" s="5">
        <v>-42.5</v>
      </c>
      <c r="H711" s="5">
        <f t="shared" si="46"/>
        <v>42.5</v>
      </c>
      <c r="I711" s="5">
        <v>-42.5</v>
      </c>
      <c r="J711" s="5">
        <f t="shared" si="47"/>
        <v>42.5</v>
      </c>
      <c r="K711" s="5">
        <v>24039.31</v>
      </c>
    </row>
    <row r="712" spans="1:11" x14ac:dyDescent="0.25">
      <c r="A712" s="5">
        <f t="shared" si="44"/>
        <v>2023</v>
      </c>
      <c r="B712" s="5">
        <f t="shared" si="45"/>
        <v>11</v>
      </c>
      <c r="C712" s="6">
        <v>45233</v>
      </c>
      <c r="D712" s="5" t="s">
        <v>64</v>
      </c>
      <c r="E712" s="5" t="s">
        <v>902</v>
      </c>
      <c r="G712" s="5">
        <v>-42.49</v>
      </c>
      <c r="H712" s="5">
        <f t="shared" si="46"/>
        <v>42.49</v>
      </c>
      <c r="I712" s="5">
        <v>-42.49</v>
      </c>
      <c r="J712" s="5">
        <f t="shared" si="47"/>
        <v>42.49</v>
      </c>
      <c r="K712" s="5">
        <v>12448.75</v>
      </c>
    </row>
    <row r="713" spans="1:11" x14ac:dyDescent="0.25">
      <c r="A713" s="5">
        <f t="shared" si="44"/>
        <v>2024</v>
      </c>
      <c r="B713" s="5">
        <f t="shared" si="45"/>
        <v>10</v>
      </c>
      <c r="C713" s="6">
        <v>45596</v>
      </c>
      <c r="D713" s="5" t="s">
        <v>702</v>
      </c>
      <c r="E713" s="5" t="s">
        <v>902</v>
      </c>
      <c r="G713" s="5">
        <v>-42.49</v>
      </c>
      <c r="H713" s="5">
        <f t="shared" si="46"/>
        <v>42.49</v>
      </c>
      <c r="I713" s="5">
        <v>-42.49</v>
      </c>
      <c r="J713" s="5">
        <f t="shared" si="47"/>
        <v>42.49</v>
      </c>
      <c r="K713" s="5">
        <v>76355.520000000004</v>
      </c>
    </row>
    <row r="714" spans="1:11" x14ac:dyDescent="0.25">
      <c r="A714" s="5">
        <f t="shared" si="44"/>
        <v>2024</v>
      </c>
      <c r="B714" s="5">
        <f t="shared" si="45"/>
        <v>10</v>
      </c>
      <c r="C714" s="6">
        <v>45593</v>
      </c>
      <c r="D714" s="5" t="s">
        <v>694</v>
      </c>
      <c r="E714" s="5" t="s">
        <v>902</v>
      </c>
      <c r="G714" s="5">
        <v>-42.36</v>
      </c>
      <c r="H714" s="5">
        <f t="shared" si="46"/>
        <v>42.36</v>
      </c>
      <c r="I714" s="5">
        <v>-42.36</v>
      </c>
      <c r="J714" s="5">
        <f t="shared" si="47"/>
        <v>42.36</v>
      </c>
      <c r="K714" s="5">
        <v>74706.759999999995</v>
      </c>
    </row>
    <row r="715" spans="1:11" x14ac:dyDescent="0.25">
      <c r="A715" s="5">
        <f t="shared" si="44"/>
        <v>2024</v>
      </c>
      <c r="B715" s="5">
        <f t="shared" si="45"/>
        <v>8</v>
      </c>
      <c r="C715" s="6">
        <v>45512</v>
      </c>
      <c r="D715" s="5" t="s">
        <v>499</v>
      </c>
      <c r="E715" s="5" t="s">
        <v>902</v>
      </c>
      <c r="G715" s="5">
        <v>-42.05</v>
      </c>
      <c r="H715" s="5">
        <f t="shared" si="46"/>
        <v>42.05</v>
      </c>
      <c r="I715" s="5">
        <v>-42.05</v>
      </c>
      <c r="J715" s="5">
        <f t="shared" si="47"/>
        <v>42.05</v>
      </c>
      <c r="K715" s="5">
        <v>41246.01</v>
      </c>
    </row>
    <row r="716" spans="1:11" x14ac:dyDescent="0.25">
      <c r="A716" s="5">
        <f t="shared" si="44"/>
        <v>2024</v>
      </c>
      <c r="B716" s="5">
        <f t="shared" si="45"/>
        <v>9</v>
      </c>
      <c r="C716" s="6">
        <v>45544</v>
      </c>
      <c r="D716" s="5" t="s">
        <v>578</v>
      </c>
      <c r="E716" s="5" t="s">
        <v>902</v>
      </c>
      <c r="G716" s="5">
        <v>-42.05</v>
      </c>
      <c r="H716" s="5">
        <f t="shared" si="46"/>
        <v>42.05</v>
      </c>
      <c r="I716" s="5">
        <v>-42.05</v>
      </c>
      <c r="J716" s="5">
        <f t="shared" si="47"/>
        <v>42.05</v>
      </c>
      <c r="K716" s="5">
        <v>67885.19</v>
      </c>
    </row>
    <row r="717" spans="1:11" x14ac:dyDescent="0.25">
      <c r="A717" s="5">
        <f t="shared" si="44"/>
        <v>2024</v>
      </c>
      <c r="B717" s="5">
        <f t="shared" si="45"/>
        <v>10</v>
      </c>
      <c r="C717" s="6">
        <v>45573</v>
      </c>
      <c r="D717" s="5" t="s">
        <v>655</v>
      </c>
      <c r="E717" s="5" t="s">
        <v>902</v>
      </c>
      <c r="G717" s="5">
        <v>-42.05</v>
      </c>
      <c r="H717" s="5">
        <f t="shared" si="46"/>
        <v>42.05</v>
      </c>
      <c r="I717" s="5">
        <v>-42.05</v>
      </c>
      <c r="J717" s="5">
        <f t="shared" si="47"/>
        <v>42.05</v>
      </c>
      <c r="K717" s="5">
        <v>69701.600000000006</v>
      </c>
    </row>
    <row r="718" spans="1:11" x14ac:dyDescent="0.25">
      <c r="A718" s="5">
        <f t="shared" si="44"/>
        <v>2024</v>
      </c>
      <c r="B718" s="5">
        <f t="shared" si="45"/>
        <v>11</v>
      </c>
      <c r="C718" s="6">
        <v>45604</v>
      </c>
      <c r="D718" s="5" t="s">
        <v>726</v>
      </c>
      <c r="E718" s="5" t="s">
        <v>902</v>
      </c>
      <c r="G718" s="5">
        <v>-42.05</v>
      </c>
      <c r="H718" s="5">
        <f t="shared" si="46"/>
        <v>42.05</v>
      </c>
      <c r="I718" s="5">
        <v>-42.05</v>
      </c>
      <c r="J718" s="5">
        <f t="shared" si="47"/>
        <v>42.05</v>
      </c>
      <c r="K718" s="5">
        <v>40500.559999999998</v>
      </c>
    </row>
    <row r="719" spans="1:11" x14ac:dyDescent="0.25">
      <c r="A719" s="5">
        <f t="shared" si="44"/>
        <v>2023</v>
      </c>
      <c r="B719" s="5">
        <f t="shared" si="45"/>
        <v>9</v>
      </c>
      <c r="C719" s="6">
        <v>45183</v>
      </c>
      <c r="D719" s="5" t="s">
        <v>14</v>
      </c>
      <c r="E719" s="5" t="s">
        <v>902</v>
      </c>
      <c r="G719" s="5">
        <v>-40.659999999999997</v>
      </c>
      <c r="H719" s="5">
        <f t="shared" si="46"/>
        <v>40.659999999999997</v>
      </c>
      <c r="I719" s="5">
        <v>-40.659999999999997</v>
      </c>
      <c r="J719" s="5">
        <f t="shared" si="47"/>
        <v>40.659999999999997</v>
      </c>
      <c r="K719" s="5">
        <v>8496.17</v>
      </c>
    </row>
    <row r="720" spans="1:11" x14ac:dyDescent="0.25">
      <c r="A720" s="5">
        <f t="shared" si="44"/>
        <v>2023</v>
      </c>
      <c r="B720" s="5">
        <f t="shared" si="45"/>
        <v>12</v>
      </c>
      <c r="C720" s="6">
        <v>45268</v>
      </c>
      <c r="D720" s="5" t="s">
        <v>93</v>
      </c>
      <c r="E720" s="5" t="s">
        <v>902</v>
      </c>
      <c r="G720" s="5">
        <v>-39.76</v>
      </c>
      <c r="H720" s="5">
        <f t="shared" si="46"/>
        <v>39.76</v>
      </c>
      <c r="I720" s="5">
        <v>-39.76</v>
      </c>
      <c r="J720" s="5">
        <f t="shared" si="47"/>
        <v>39.76</v>
      </c>
      <c r="K720" s="5">
        <v>18700.54</v>
      </c>
    </row>
    <row r="721" spans="1:11" x14ac:dyDescent="0.25">
      <c r="A721" s="5">
        <f t="shared" si="44"/>
        <v>2024</v>
      </c>
      <c r="B721" s="5">
        <f t="shared" si="45"/>
        <v>9</v>
      </c>
      <c r="C721" s="6">
        <v>45558</v>
      </c>
      <c r="D721" s="5" t="s">
        <v>609</v>
      </c>
      <c r="E721" s="5" t="s">
        <v>902</v>
      </c>
      <c r="G721" s="5">
        <v>-37.18</v>
      </c>
      <c r="H721" s="5">
        <f t="shared" si="46"/>
        <v>37.18</v>
      </c>
      <c r="I721" s="5">
        <v>-37.18</v>
      </c>
      <c r="J721" s="5">
        <f t="shared" si="47"/>
        <v>37.18</v>
      </c>
      <c r="K721" s="5">
        <v>66711.039999999994</v>
      </c>
    </row>
    <row r="722" spans="1:11" x14ac:dyDescent="0.25">
      <c r="A722" s="5">
        <f t="shared" si="44"/>
        <v>2024</v>
      </c>
      <c r="B722" s="5">
        <f t="shared" si="45"/>
        <v>3</v>
      </c>
      <c r="C722" s="6">
        <v>45378</v>
      </c>
      <c r="D722" s="5" t="s">
        <v>246</v>
      </c>
      <c r="E722" s="5" t="s">
        <v>902</v>
      </c>
      <c r="G722" s="5">
        <v>-37.17</v>
      </c>
      <c r="H722" s="5">
        <f t="shared" si="46"/>
        <v>37.17</v>
      </c>
      <c r="I722" s="5">
        <v>-37.17</v>
      </c>
      <c r="J722" s="5">
        <f t="shared" si="47"/>
        <v>37.17</v>
      </c>
      <c r="K722" s="5">
        <v>7517.49</v>
      </c>
    </row>
    <row r="723" spans="1:11" x14ac:dyDescent="0.25">
      <c r="A723" s="5">
        <f t="shared" si="44"/>
        <v>2023</v>
      </c>
      <c r="B723" s="5">
        <f t="shared" si="45"/>
        <v>9</v>
      </c>
      <c r="C723" s="6">
        <v>45196</v>
      </c>
      <c r="D723" s="5" t="s">
        <v>29</v>
      </c>
      <c r="E723" s="5" t="s">
        <v>902</v>
      </c>
      <c r="G723" s="5">
        <v>-36.979999999999997</v>
      </c>
      <c r="H723" s="5">
        <f t="shared" si="46"/>
        <v>36.979999999999997</v>
      </c>
      <c r="I723" s="5">
        <v>-36.979999999999997</v>
      </c>
      <c r="J723" s="5">
        <f t="shared" si="47"/>
        <v>36.979999999999997</v>
      </c>
      <c r="K723" s="5">
        <v>23438.959999999999</v>
      </c>
    </row>
    <row r="724" spans="1:11" x14ac:dyDescent="0.25">
      <c r="A724" s="5">
        <f t="shared" si="44"/>
        <v>2025</v>
      </c>
      <c r="B724" s="5">
        <f t="shared" si="45"/>
        <v>1</v>
      </c>
      <c r="C724" s="6">
        <v>45686</v>
      </c>
      <c r="D724" s="5" t="s">
        <v>851</v>
      </c>
      <c r="E724" s="5" t="s">
        <v>902</v>
      </c>
      <c r="G724" s="5">
        <v>-36.159999999999997</v>
      </c>
      <c r="H724" s="5">
        <f t="shared" si="46"/>
        <v>36.159999999999997</v>
      </c>
      <c r="I724" s="5">
        <v>-36.159999999999997</v>
      </c>
      <c r="J724" s="5">
        <f t="shared" si="47"/>
        <v>36.159999999999997</v>
      </c>
      <c r="K724" s="5">
        <v>40788.19</v>
      </c>
    </row>
    <row r="725" spans="1:11" x14ac:dyDescent="0.25">
      <c r="A725" s="5">
        <f t="shared" si="44"/>
        <v>2024</v>
      </c>
      <c r="B725" s="5">
        <f t="shared" si="45"/>
        <v>5</v>
      </c>
      <c r="C725" s="6">
        <v>45414</v>
      </c>
      <c r="D725" s="5" t="s">
        <v>314</v>
      </c>
      <c r="E725" s="5" t="s">
        <v>902</v>
      </c>
      <c r="G725" s="5">
        <v>-35.9</v>
      </c>
      <c r="H725" s="5">
        <f t="shared" si="46"/>
        <v>35.9</v>
      </c>
      <c r="I725" s="5">
        <v>-35.9</v>
      </c>
      <c r="J725" s="5">
        <f t="shared" si="47"/>
        <v>35.9</v>
      </c>
      <c r="K725" s="5">
        <v>27235.360000000001</v>
      </c>
    </row>
    <row r="726" spans="1:11" x14ac:dyDescent="0.25">
      <c r="A726" s="5">
        <f t="shared" si="44"/>
        <v>2024</v>
      </c>
      <c r="B726" s="5">
        <f t="shared" si="45"/>
        <v>2</v>
      </c>
      <c r="C726" s="6">
        <v>45324</v>
      </c>
      <c r="D726" s="5" t="s">
        <v>171</v>
      </c>
      <c r="E726" s="5" t="s">
        <v>902</v>
      </c>
      <c r="G726" s="5">
        <v>-35.700000000000003</v>
      </c>
      <c r="H726" s="5">
        <f t="shared" si="46"/>
        <v>35.700000000000003</v>
      </c>
      <c r="I726" s="5">
        <v>-35.700000000000003</v>
      </c>
      <c r="J726" s="5">
        <f t="shared" si="47"/>
        <v>35.700000000000003</v>
      </c>
      <c r="K726" s="5">
        <v>36504.9</v>
      </c>
    </row>
    <row r="727" spans="1:11" x14ac:dyDescent="0.25">
      <c r="A727" s="5">
        <f t="shared" si="44"/>
        <v>2024</v>
      </c>
      <c r="B727" s="5">
        <f t="shared" si="45"/>
        <v>1</v>
      </c>
      <c r="C727" s="6">
        <v>45293</v>
      </c>
      <c r="D727" s="5" t="s">
        <v>116</v>
      </c>
      <c r="E727" s="5" t="s">
        <v>902</v>
      </c>
      <c r="G727" s="5">
        <v>-35.67</v>
      </c>
      <c r="H727" s="5">
        <f t="shared" si="46"/>
        <v>35.67</v>
      </c>
      <c r="I727" s="5">
        <v>-35.67</v>
      </c>
      <c r="J727" s="5">
        <f t="shared" si="47"/>
        <v>35.67</v>
      </c>
      <c r="K727" s="5">
        <v>33622.230000000003</v>
      </c>
    </row>
    <row r="728" spans="1:11" x14ac:dyDescent="0.25">
      <c r="A728" s="5">
        <f t="shared" si="44"/>
        <v>2024</v>
      </c>
      <c r="B728" s="5">
        <f t="shared" si="45"/>
        <v>10</v>
      </c>
      <c r="C728" s="6">
        <v>45595</v>
      </c>
      <c r="D728" s="5" t="s">
        <v>696</v>
      </c>
      <c r="E728" s="5" t="s">
        <v>902</v>
      </c>
      <c r="G728" s="5">
        <v>-35.659999999999997</v>
      </c>
      <c r="H728" s="5">
        <f t="shared" si="46"/>
        <v>35.659999999999997</v>
      </c>
      <c r="I728" s="5">
        <v>-35.659999999999997</v>
      </c>
      <c r="J728" s="5">
        <f t="shared" si="47"/>
        <v>35.659999999999997</v>
      </c>
      <c r="K728" s="5">
        <v>77596.27</v>
      </c>
    </row>
    <row r="729" spans="1:11" x14ac:dyDescent="0.25">
      <c r="A729" s="5">
        <f t="shared" si="44"/>
        <v>2024</v>
      </c>
      <c r="B729" s="5">
        <f t="shared" si="45"/>
        <v>4</v>
      </c>
      <c r="C729" s="6">
        <v>45384</v>
      </c>
      <c r="D729" s="5" t="s">
        <v>264</v>
      </c>
      <c r="E729" s="5" t="s">
        <v>902</v>
      </c>
      <c r="G729" s="5">
        <v>-35.65</v>
      </c>
      <c r="H729" s="5">
        <f t="shared" si="46"/>
        <v>35.65</v>
      </c>
      <c r="I729" s="5">
        <v>-35.65</v>
      </c>
      <c r="J729" s="5">
        <f t="shared" si="47"/>
        <v>35.65</v>
      </c>
      <c r="K729" s="5">
        <v>34721.160000000003</v>
      </c>
    </row>
    <row r="730" spans="1:11" x14ac:dyDescent="0.25">
      <c r="A730" s="5">
        <f t="shared" si="44"/>
        <v>2024</v>
      </c>
      <c r="B730" s="5">
        <f t="shared" si="45"/>
        <v>3</v>
      </c>
      <c r="C730" s="6">
        <v>45355</v>
      </c>
      <c r="D730" s="5" t="s">
        <v>210</v>
      </c>
      <c r="E730" s="5" t="s">
        <v>902</v>
      </c>
      <c r="G730" s="5">
        <v>-35.6</v>
      </c>
      <c r="H730" s="5">
        <f t="shared" si="46"/>
        <v>35.6</v>
      </c>
      <c r="I730" s="5">
        <v>-35.6</v>
      </c>
      <c r="J730" s="5">
        <f t="shared" si="47"/>
        <v>35.6</v>
      </c>
      <c r="K730" s="5">
        <v>27872.720000000001</v>
      </c>
    </row>
    <row r="731" spans="1:11" x14ac:dyDescent="0.25">
      <c r="A731" s="5">
        <f t="shared" si="44"/>
        <v>2024</v>
      </c>
      <c r="B731" s="5">
        <f t="shared" si="45"/>
        <v>9</v>
      </c>
      <c r="C731" s="6">
        <v>45541</v>
      </c>
      <c r="D731" s="5" t="s">
        <v>566</v>
      </c>
      <c r="E731" s="5" t="s">
        <v>902</v>
      </c>
      <c r="G731" s="5">
        <v>-35.46</v>
      </c>
      <c r="H731" s="5">
        <f t="shared" si="46"/>
        <v>35.46</v>
      </c>
      <c r="I731" s="5">
        <v>-35.46</v>
      </c>
      <c r="J731" s="5">
        <f t="shared" si="47"/>
        <v>35.46</v>
      </c>
      <c r="K731" s="5">
        <v>80242.649999999994</v>
      </c>
    </row>
    <row r="732" spans="1:11" x14ac:dyDescent="0.25">
      <c r="A732" s="5">
        <f t="shared" si="44"/>
        <v>2024</v>
      </c>
      <c r="B732" s="5">
        <f t="shared" si="45"/>
        <v>9</v>
      </c>
      <c r="C732" s="6">
        <v>45548</v>
      </c>
      <c r="D732" s="5" t="s">
        <v>583</v>
      </c>
      <c r="E732" s="5" t="s">
        <v>902</v>
      </c>
      <c r="G732" s="5">
        <v>-35.29</v>
      </c>
      <c r="H732" s="5">
        <f t="shared" si="46"/>
        <v>35.29</v>
      </c>
      <c r="I732" s="5">
        <v>-35.29</v>
      </c>
      <c r="J732" s="5">
        <f t="shared" si="47"/>
        <v>35.29</v>
      </c>
      <c r="K732" s="5">
        <v>74819.03</v>
      </c>
    </row>
    <row r="733" spans="1:11" x14ac:dyDescent="0.25">
      <c r="A733" s="5">
        <f t="shared" si="44"/>
        <v>2024</v>
      </c>
      <c r="B733" s="5">
        <f t="shared" si="45"/>
        <v>9</v>
      </c>
      <c r="C733" s="6">
        <v>45538</v>
      </c>
      <c r="D733" s="5" t="s">
        <v>549</v>
      </c>
      <c r="E733" s="5" t="s">
        <v>902</v>
      </c>
      <c r="G733" s="5">
        <v>-35.07</v>
      </c>
      <c r="H733" s="5">
        <f t="shared" si="46"/>
        <v>35.07</v>
      </c>
      <c r="I733" s="5">
        <v>-35.07</v>
      </c>
      <c r="J733" s="5">
        <f t="shared" si="47"/>
        <v>35.07</v>
      </c>
      <c r="K733" s="5">
        <v>76783.47</v>
      </c>
    </row>
    <row r="734" spans="1:11" x14ac:dyDescent="0.25">
      <c r="A734" s="5">
        <f t="shared" si="44"/>
        <v>2024</v>
      </c>
      <c r="B734" s="5">
        <f t="shared" si="45"/>
        <v>7</v>
      </c>
      <c r="C734" s="6">
        <v>45499</v>
      </c>
      <c r="D734" s="5" t="s">
        <v>463</v>
      </c>
      <c r="E734" s="5" t="s">
        <v>902</v>
      </c>
      <c r="G734" s="5">
        <v>-35</v>
      </c>
      <c r="H734" s="5">
        <f t="shared" si="46"/>
        <v>35</v>
      </c>
      <c r="I734" s="5">
        <v>-35</v>
      </c>
      <c r="J734" s="5">
        <f t="shared" si="47"/>
        <v>35</v>
      </c>
      <c r="K734" s="5">
        <v>21637.59</v>
      </c>
    </row>
    <row r="735" spans="1:11" x14ac:dyDescent="0.25">
      <c r="A735" s="5">
        <f t="shared" si="44"/>
        <v>2024</v>
      </c>
      <c r="B735" s="5">
        <f t="shared" si="45"/>
        <v>10</v>
      </c>
      <c r="C735" s="6">
        <v>45568</v>
      </c>
      <c r="D735" s="5" t="s">
        <v>642</v>
      </c>
      <c r="E735" s="5" t="s">
        <v>902</v>
      </c>
      <c r="G735" s="5">
        <v>-35</v>
      </c>
      <c r="H735" s="5">
        <f t="shared" si="46"/>
        <v>35</v>
      </c>
      <c r="I735" s="5">
        <v>-35</v>
      </c>
      <c r="J735" s="5">
        <f t="shared" si="47"/>
        <v>35</v>
      </c>
      <c r="K735" s="5">
        <v>89078.04</v>
      </c>
    </row>
    <row r="736" spans="1:11" x14ac:dyDescent="0.25">
      <c r="A736" s="5">
        <f t="shared" si="44"/>
        <v>2024</v>
      </c>
      <c r="B736" s="5">
        <f t="shared" si="45"/>
        <v>9</v>
      </c>
      <c r="C736" s="6">
        <v>45538</v>
      </c>
      <c r="D736" s="5" t="s">
        <v>552</v>
      </c>
      <c r="E736" s="5" t="s">
        <v>902</v>
      </c>
      <c r="G736" s="5">
        <v>-34.950000000000003</v>
      </c>
      <c r="H736" s="5">
        <f t="shared" si="46"/>
        <v>34.950000000000003</v>
      </c>
      <c r="I736" s="5">
        <v>-34.950000000000003</v>
      </c>
      <c r="J736" s="5">
        <f t="shared" si="47"/>
        <v>34.950000000000003</v>
      </c>
      <c r="K736" s="5">
        <v>76516.42</v>
      </c>
    </row>
    <row r="737" spans="1:11" x14ac:dyDescent="0.25">
      <c r="A737" s="5">
        <f t="shared" si="44"/>
        <v>2023</v>
      </c>
      <c r="B737" s="5">
        <f t="shared" si="45"/>
        <v>11</v>
      </c>
      <c r="C737" s="6">
        <v>45232</v>
      </c>
      <c r="D737" s="5" t="s">
        <v>62</v>
      </c>
      <c r="E737" s="5" t="s">
        <v>902</v>
      </c>
      <c r="G737" s="5">
        <v>-34.799999999999997</v>
      </c>
      <c r="H737" s="5">
        <f t="shared" si="46"/>
        <v>34.799999999999997</v>
      </c>
      <c r="I737" s="5">
        <v>-34.799999999999997</v>
      </c>
      <c r="J737" s="5">
        <f t="shared" si="47"/>
        <v>34.799999999999997</v>
      </c>
      <c r="K737" s="5">
        <v>12492.24</v>
      </c>
    </row>
    <row r="738" spans="1:11" x14ac:dyDescent="0.25">
      <c r="A738" s="5">
        <f t="shared" si="44"/>
        <v>2024</v>
      </c>
      <c r="B738" s="5">
        <f t="shared" si="45"/>
        <v>6</v>
      </c>
      <c r="C738" s="6">
        <v>45447</v>
      </c>
      <c r="D738" s="5" t="s">
        <v>370</v>
      </c>
      <c r="E738" s="5" t="s">
        <v>902</v>
      </c>
      <c r="G738" s="5">
        <v>-34.65</v>
      </c>
      <c r="H738" s="5">
        <f t="shared" si="46"/>
        <v>34.65</v>
      </c>
      <c r="I738" s="5">
        <v>-34.65</v>
      </c>
      <c r="J738" s="5">
        <f t="shared" si="47"/>
        <v>34.65</v>
      </c>
      <c r="K738" s="5">
        <v>25342.76</v>
      </c>
    </row>
    <row r="739" spans="1:11" x14ac:dyDescent="0.25">
      <c r="A739" s="5">
        <f t="shared" si="44"/>
        <v>2024</v>
      </c>
      <c r="B739" s="5">
        <f t="shared" si="45"/>
        <v>1</v>
      </c>
      <c r="C739" s="6">
        <v>45293</v>
      </c>
      <c r="D739" s="5" t="s">
        <v>120</v>
      </c>
      <c r="E739" s="5" t="s">
        <v>902</v>
      </c>
      <c r="G739" s="5">
        <v>-34.6</v>
      </c>
      <c r="H739" s="5">
        <f t="shared" si="46"/>
        <v>34.6</v>
      </c>
      <c r="I739" s="5">
        <v>-34.6</v>
      </c>
      <c r="J739" s="5">
        <f t="shared" si="47"/>
        <v>34.6</v>
      </c>
      <c r="K739" s="5">
        <v>28653.33</v>
      </c>
    </row>
    <row r="740" spans="1:11" x14ac:dyDescent="0.25">
      <c r="A740" s="5">
        <f t="shared" si="44"/>
        <v>2024</v>
      </c>
      <c r="B740" s="5">
        <f t="shared" si="45"/>
        <v>10</v>
      </c>
      <c r="C740" s="6">
        <v>45569</v>
      </c>
      <c r="D740" s="5" t="s">
        <v>644</v>
      </c>
      <c r="E740" s="5" t="s">
        <v>902</v>
      </c>
      <c r="G740" s="5">
        <v>-34.25</v>
      </c>
      <c r="H740" s="5">
        <f t="shared" si="46"/>
        <v>34.25</v>
      </c>
      <c r="I740" s="5">
        <v>-34.25</v>
      </c>
      <c r="J740" s="5">
        <f t="shared" si="47"/>
        <v>34.25</v>
      </c>
      <c r="K740" s="5">
        <v>88181.57</v>
      </c>
    </row>
    <row r="741" spans="1:11" x14ac:dyDescent="0.25">
      <c r="A741" s="5">
        <f t="shared" si="44"/>
        <v>2024</v>
      </c>
      <c r="B741" s="5">
        <f t="shared" si="45"/>
        <v>1</v>
      </c>
      <c r="C741" s="6">
        <v>45296</v>
      </c>
      <c r="D741" s="5" t="s">
        <v>127</v>
      </c>
      <c r="E741" s="5" t="s">
        <v>902</v>
      </c>
      <c r="G741" s="5">
        <v>-34</v>
      </c>
      <c r="H741" s="5">
        <f t="shared" si="46"/>
        <v>34</v>
      </c>
      <c r="I741" s="5">
        <v>-34</v>
      </c>
      <c r="J741" s="5">
        <f t="shared" si="47"/>
        <v>34</v>
      </c>
      <c r="K741" s="5">
        <v>50903</v>
      </c>
    </row>
    <row r="742" spans="1:11" x14ac:dyDescent="0.25">
      <c r="A742" s="5">
        <f t="shared" si="44"/>
        <v>2025</v>
      </c>
      <c r="B742" s="5">
        <f t="shared" si="45"/>
        <v>1</v>
      </c>
      <c r="C742" s="6">
        <v>45685</v>
      </c>
      <c r="D742" s="5" t="s">
        <v>849</v>
      </c>
      <c r="E742" s="5" t="s">
        <v>902</v>
      </c>
      <c r="G742" s="5">
        <v>-33.86</v>
      </c>
      <c r="H742" s="5">
        <f t="shared" si="46"/>
        <v>33.86</v>
      </c>
      <c r="I742" s="5">
        <v>-33.86</v>
      </c>
      <c r="J742" s="5">
        <f t="shared" si="47"/>
        <v>33.86</v>
      </c>
      <c r="K742" s="5">
        <v>54684.25</v>
      </c>
    </row>
    <row r="743" spans="1:11" x14ac:dyDescent="0.25">
      <c r="A743" s="5">
        <f t="shared" si="44"/>
        <v>2023</v>
      </c>
      <c r="B743" s="5">
        <f t="shared" si="45"/>
        <v>12</v>
      </c>
      <c r="C743" s="6">
        <v>45264</v>
      </c>
      <c r="D743" s="5" t="s">
        <v>88</v>
      </c>
      <c r="E743" s="5" t="s">
        <v>902</v>
      </c>
      <c r="G743" s="5">
        <v>-33.85</v>
      </c>
      <c r="H743" s="5">
        <f t="shared" si="46"/>
        <v>33.85</v>
      </c>
      <c r="I743" s="5">
        <v>-33.85</v>
      </c>
      <c r="J743" s="5">
        <f t="shared" si="47"/>
        <v>33.85</v>
      </c>
      <c r="K743" s="5">
        <v>19177.990000000002</v>
      </c>
    </row>
    <row r="744" spans="1:11" x14ac:dyDescent="0.25">
      <c r="A744" s="5">
        <f t="shared" si="44"/>
        <v>2024</v>
      </c>
      <c r="B744" s="5">
        <f t="shared" si="45"/>
        <v>7</v>
      </c>
      <c r="C744" s="6">
        <v>45475</v>
      </c>
      <c r="D744" s="5" t="s">
        <v>424</v>
      </c>
      <c r="E744" s="5" t="s">
        <v>902</v>
      </c>
      <c r="G744" s="5">
        <v>-33.299999999999997</v>
      </c>
      <c r="H744" s="5">
        <f t="shared" si="46"/>
        <v>33.299999999999997</v>
      </c>
      <c r="I744" s="5">
        <v>-33.299999999999997</v>
      </c>
      <c r="J744" s="5">
        <f t="shared" si="47"/>
        <v>33.299999999999997</v>
      </c>
      <c r="K744" s="5">
        <v>71922.960000000006</v>
      </c>
    </row>
    <row r="745" spans="1:11" x14ac:dyDescent="0.25">
      <c r="A745" s="5">
        <f t="shared" si="44"/>
        <v>2023</v>
      </c>
      <c r="B745" s="5">
        <f t="shared" si="45"/>
        <v>9</v>
      </c>
      <c r="C745" s="6">
        <v>45184</v>
      </c>
      <c r="D745" s="5" t="s">
        <v>15</v>
      </c>
      <c r="E745" s="5" t="s">
        <v>902</v>
      </c>
      <c r="G745" s="5">
        <v>-33.29</v>
      </c>
      <c r="H745" s="5">
        <f t="shared" si="46"/>
        <v>33.29</v>
      </c>
      <c r="I745" s="5">
        <v>-33.29</v>
      </c>
      <c r="J745" s="5">
        <f t="shared" si="47"/>
        <v>33.29</v>
      </c>
      <c r="K745" s="5">
        <v>8462.8799999999992</v>
      </c>
    </row>
    <row r="746" spans="1:11" x14ac:dyDescent="0.25">
      <c r="A746" s="5">
        <f t="shared" si="44"/>
        <v>2024</v>
      </c>
      <c r="B746" s="5">
        <f t="shared" si="45"/>
        <v>2</v>
      </c>
      <c r="C746" s="6">
        <v>45349</v>
      </c>
      <c r="D746" s="5" t="s">
        <v>200</v>
      </c>
      <c r="E746" s="5" t="s">
        <v>902</v>
      </c>
      <c r="G746" s="5">
        <v>-33</v>
      </c>
      <c r="H746" s="5">
        <f t="shared" si="46"/>
        <v>33</v>
      </c>
      <c r="I746" s="5">
        <v>-33</v>
      </c>
      <c r="J746" s="5">
        <f t="shared" si="47"/>
        <v>33</v>
      </c>
      <c r="K746" s="5">
        <v>22729.4</v>
      </c>
    </row>
    <row r="747" spans="1:11" x14ac:dyDescent="0.25">
      <c r="A747" s="5">
        <f t="shared" si="44"/>
        <v>2024</v>
      </c>
      <c r="B747" s="5">
        <f t="shared" si="45"/>
        <v>3</v>
      </c>
      <c r="C747" s="6">
        <v>45379</v>
      </c>
      <c r="D747" s="5" t="s">
        <v>255</v>
      </c>
      <c r="E747" s="5" t="s">
        <v>902</v>
      </c>
      <c r="G747" s="5">
        <v>-33</v>
      </c>
      <c r="H747" s="5">
        <f t="shared" si="46"/>
        <v>33</v>
      </c>
      <c r="I747" s="5">
        <v>-33</v>
      </c>
      <c r="J747" s="5">
        <f t="shared" si="47"/>
        <v>33</v>
      </c>
      <c r="K747" s="5">
        <v>21476.560000000001</v>
      </c>
    </row>
    <row r="748" spans="1:11" x14ac:dyDescent="0.25">
      <c r="A748" s="5">
        <f t="shared" si="44"/>
        <v>2024</v>
      </c>
      <c r="B748" s="5">
        <f t="shared" si="45"/>
        <v>8</v>
      </c>
      <c r="C748" s="6">
        <v>45506</v>
      </c>
      <c r="D748" s="5" t="s">
        <v>488</v>
      </c>
      <c r="E748" s="5" t="s">
        <v>902</v>
      </c>
      <c r="G748" s="5">
        <v>-33</v>
      </c>
      <c r="H748" s="5">
        <f t="shared" si="46"/>
        <v>33</v>
      </c>
      <c r="I748" s="5">
        <v>-33</v>
      </c>
      <c r="J748" s="5">
        <f t="shared" si="47"/>
        <v>33</v>
      </c>
      <c r="K748" s="5">
        <v>44055.15</v>
      </c>
    </row>
    <row r="749" spans="1:11" x14ac:dyDescent="0.25">
      <c r="A749" s="5">
        <f t="shared" si="44"/>
        <v>2024</v>
      </c>
      <c r="B749" s="5">
        <f t="shared" si="45"/>
        <v>9</v>
      </c>
      <c r="C749" s="6">
        <v>45538</v>
      </c>
      <c r="D749" s="5" t="s">
        <v>558</v>
      </c>
      <c r="E749" s="5" t="s">
        <v>902</v>
      </c>
      <c r="G749" s="5">
        <v>-33</v>
      </c>
      <c r="H749" s="5">
        <f t="shared" si="46"/>
        <v>33</v>
      </c>
      <c r="I749" s="5">
        <v>-33</v>
      </c>
      <c r="J749" s="5">
        <f t="shared" si="47"/>
        <v>33</v>
      </c>
      <c r="K749" s="5">
        <v>70200.820000000007</v>
      </c>
    </row>
    <row r="750" spans="1:11" x14ac:dyDescent="0.25">
      <c r="A750" s="5">
        <f t="shared" si="44"/>
        <v>2024</v>
      </c>
      <c r="B750" s="5">
        <f t="shared" si="45"/>
        <v>10</v>
      </c>
      <c r="C750" s="6">
        <v>45567</v>
      </c>
      <c r="D750" s="5" t="s">
        <v>637</v>
      </c>
      <c r="E750" s="5" t="s">
        <v>902</v>
      </c>
      <c r="G750" s="5">
        <v>-33</v>
      </c>
      <c r="H750" s="5">
        <f t="shared" si="46"/>
        <v>33</v>
      </c>
      <c r="I750" s="5">
        <v>-33</v>
      </c>
      <c r="J750" s="5">
        <f t="shared" si="47"/>
        <v>33</v>
      </c>
      <c r="K750" s="5">
        <v>77547.679999999993</v>
      </c>
    </row>
    <row r="751" spans="1:11" x14ac:dyDescent="0.25">
      <c r="A751" s="5">
        <f t="shared" si="44"/>
        <v>2024</v>
      </c>
      <c r="B751" s="5">
        <f t="shared" si="45"/>
        <v>11</v>
      </c>
      <c r="C751" s="6">
        <v>45600</v>
      </c>
      <c r="D751" s="5" t="s">
        <v>721</v>
      </c>
      <c r="E751" s="5" t="s">
        <v>902</v>
      </c>
      <c r="G751" s="5">
        <v>-33</v>
      </c>
      <c r="H751" s="5">
        <f t="shared" si="46"/>
        <v>33</v>
      </c>
      <c r="I751" s="5">
        <v>-33</v>
      </c>
      <c r="J751" s="5">
        <f t="shared" si="47"/>
        <v>33</v>
      </c>
      <c r="K751" s="5">
        <v>40759.26</v>
      </c>
    </row>
    <row r="752" spans="1:11" x14ac:dyDescent="0.25">
      <c r="A752" s="5">
        <f t="shared" si="44"/>
        <v>2024</v>
      </c>
      <c r="B752" s="5">
        <f t="shared" si="45"/>
        <v>12</v>
      </c>
      <c r="C752" s="6">
        <v>45629</v>
      </c>
      <c r="D752" s="5" t="s">
        <v>774</v>
      </c>
      <c r="E752" s="5" t="s">
        <v>902</v>
      </c>
      <c r="G752" s="5">
        <v>-33</v>
      </c>
      <c r="H752" s="5">
        <f t="shared" si="46"/>
        <v>33</v>
      </c>
      <c r="I752" s="5">
        <v>-33</v>
      </c>
      <c r="J752" s="5">
        <f t="shared" si="47"/>
        <v>33</v>
      </c>
      <c r="K752" s="5">
        <v>3172.27</v>
      </c>
    </row>
    <row r="753" spans="1:11" x14ac:dyDescent="0.25">
      <c r="A753" s="5">
        <f t="shared" si="44"/>
        <v>2024</v>
      </c>
      <c r="B753" s="5">
        <f t="shared" si="45"/>
        <v>4</v>
      </c>
      <c r="C753" s="6">
        <v>45404</v>
      </c>
      <c r="D753" s="5" t="s">
        <v>294</v>
      </c>
      <c r="E753" s="5" t="s">
        <v>902</v>
      </c>
      <c r="G753" s="5">
        <v>-32.68</v>
      </c>
      <c r="H753" s="5">
        <f t="shared" si="46"/>
        <v>32.68</v>
      </c>
      <c r="I753" s="5">
        <v>-32.68</v>
      </c>
      <c r="J753" s="5">
        <f t="shared" si="47"/>
        <v>32.68</v>
      </c>
      <c r="K753" s="5">
        <v>13525.9</v>
      </c>
    </row>
    <row r="754" spans="1:11" x14ac:dyDescent="0.25">
      <c r="A754" s="5">
        <f t="shared" si="44"/>
        <v>2024</v>
      </c>
      <c r="B754" s="5">
        <f t="shared" si="45"/>
        <v>2</v>
      </c>
      <c r="C754" s="6">
        <v>45330</v>
      </c>
      <c r="D754" s="5" t="s">
        <v>177</v>
      </c>
      <c r="E754" s="5" t="s">
        <v>902</v>
      </c>
      <c r="G754" s="5">
        <v>-32.06</v>
      </c>
      <c r="H754" s="5">
        <f t="shared" si="46"/>
        <v>32.06</v>
      </c>
      <c r="I754" s="5">
        <v>-32.06</v>
      </c>
      <c r="J754" s="5">
        <f t="shared" si="47"/>
        <v>32.06</v>
      </c>
      <c r="K754" s="5">
        <v>34488.03</v>
      </c>
    </row>
    <row r="755" spans="1:11" x14ac:dyDescent="0.25">
      <c r="A755" s="5">
        <f t="shared" si="44"/>
        <v>2024</v>
      </c>
      <c r="B755" s="5">
        <f t="shared" si="45"/>
        <v>8</v>
      </c>
      <c r="C755" s="6">
        <v>45509</v>
      </c>
      <c r="D755" s="5" t="s">
        <v>491</v>
      </c>
      <c r="E755" s="5" t="s">
        <v>902</v>
      </c>
      <c r="G755" s="5">
        <v>-31.86</v>
      </c>
      <c r="H755" s="5">
        <f t="shared" si="46"/>
        <v>31.86</v>
      </c>
      <c r="I755" s="5">
        <v>-31.86</v>
      </c>
      <c r="J755" s="5">
        <f t="shared" si="47"/>
        <v>31.86</v>
      </c>
      <c r="K755" s="5">
        <v>49237.29</v>
      </c>
    </row>
    <row r="756" spans="1:11" x14ac:dyDescent="0.25">
      <c r="A756" s="5">
        <f t="shared" si="44"/>
        <v>2025</v>
      </c>
      <c r="B756" s="5">
        <f t="shared" si="45"/>
        <v>1</v>
      </c>
      <c r="C756" s="6">
        <v>45659</v>
      </c>
      <c r="D756" s="5" t="s">
        <v>811</v>
      </c>
      <c r="E756" s="5" t="s">
        <v>902</v>
      </c>
      <c r="G756" s="5">
        <v>-31.86</v>
      </c>
      <c r="H756" s="5">
        <f t="shared" si="46"/>
        <v>31.86</v>
      </c>
      <c r="I756" s="5">
        <v>-31.86</v>
      </c>
      <c r="J756" s="5">
        <f t="shared" si="47"/>
        <v>31.86</v>
      </c>
      <c r="K756" s="5">
        <v>150580.88</v>
      </c>
    </row>
    <row r="757" spans="1:11" x14ac:dyDescent="0.25">
      <c r="A757" s="5">
        <f t="shared" si="44"/>
        <v>2024</v>
      </c>
      <c r="B757" s="5">
        <f t="shared" si="45"/>
        <v>4</v>
      </c>
      <c r="C757" s="6">
        <v>45412</v>
      </c>
      <c r="D757" s="5" t="s">
        <v>306</v>
      </c>
      <c r="E757" s="5" t="s">
        <v>902</v>
      </c>
      <c r="G757" s="5">
        <v>-31.8</v>
      </c>
      <c r="H757" s="5">
        <f t="shared" si="46"/>
        <v>31.8</v>
      </c>
      <c r="I757" s="5">
        <v>-31.8</v>
      </c>
      <c r="J757" s="5">
        <f t="shared" si="47"/>
        <v>31.8</v>
      </c>
      <c r="K757" s="5">
        <v>20592.310000000001</v>
      </c>
    </row>
    <row r="758" spans="1:11" x14ac:dyDescent="0.25">
      <c r="A758" s="5">
        <f t="shared" si="44"/>
        <v>2024</v>
      </c>
      <c r="B758" s="5">
        <f t="shared" si="45"/>
        <v>9</v>
      </c>
      <c r="C758" s="6">
        <v>45560</v>
      </c>
      <c r="D758" s="5" t="s">
        <v>612</v>
      </c>
      <c r="E758" s="5" t="s">
        <v>902</v>
      </c>
      <c r="G758" s="5">
        <v>-31.2</v>
      </c>
      <c r="H758" s="5">
        <f t="shared" si="46"/>
        <v>31.2</v>
      </c>
      <c r="I758" s="5">
        <v>-31.2</v>
      </c>
      <c r="J758" s="5">
        <f t="shared" si="47"/>
        <v>31.2</v>
      </c>
      <c r="K758" s="5">
        <v>66353.279999999999</v>
      </c>
    </row>
    <row r="759" spans="1:11" x14ac:dyDescent="0.25">
      <c r="A759" s="5">
        <f t="shared" si="44"/>
        <v>2025</v>
      </c>
      <c r="B759" s="5">
        <f t="shared" si="45"/>
        <v>2</v>
      </c>
      <c r="C759" s="6">
        <v>45707</v>
      </c>
      <c r="D759" s="5" t="s">
        <v>875</v>
      </c>
      <c r="E759" s="5" t="s">
        <v>902</v>
      </c>
      <c r="G759" s="5">
        <v>-31.2</v>
      </c>
      <c r="H759" s="5">
        <f t="shared" si="46"/>
        <v>31.2</v>
      </c>
      <c r="I759" s="5">
        <v>-31.2</v>
      </c>
      <c r="J759" s="5">
        <f t="shared" si="47"/>
        <v>31.2</v>
      </c>
      <c r="K759" s="5">
        <v>51539.86</v>
      </c>
    </row>
    <row r="760" spans="1:11" x14ac:dyDescent="0.25">
      <c r="A760" s="5">
        <f t="shared" si="44"/>
        <v>2024</v>
      </c>
      <c r="B760" s="5">
        <f t="shared" si="45"/>
        <v>7</v>
      </c>
      <c r="C760" s="6">
        <v>45474</v>
      </c>
      <c r="D760" s="5" t="s">
        <v>415</v>
      </c>
      <c r="E760" s="5" t="s">
        <v>902</v>
      </c>
      <c r="G760" s="5">
        <v>-31.19</v>
      </c>
      <c r="H760" s="5">
        <f t="shared" si="46"/>
        <v>31.19</v>
      </c>
      <c r="I760" s="5">
        <v>-31.19</v>
      </c>
      <c r="J760" s="5">
        <f t="shared" si="47"/>
        <v>31.19</v>
      </c>
      <c r="K760" s="5">
        <v>67624.55</v>
      </c>
    </row>
    <row r="761" spans="1:11" x14ac:dyDescent="0.25">
      <c r="A761" s="5">
        <f t="shared" si="44"/>
        <v>2024</v>
      </c>
      <c r="B761" s="5">
        <f t="shared" si="45"/>
        <v>10</v>
      </c>
      <c r="C761" s="6">
        <v>45586</v>
      </c>
      <c r="D761" s="5" t="s">
        <v>687</v>
      </c>
      <c r="E761" s="5" t="s">
        <v>902</v>
      </c>
      <c r="G761" s="5">
        <v>-31.16</v>
      </c>
      <c r="H761" s="5">
        <f t="shared" si="46"/>
        <v>31.16</v>
      </c>
      <c r="I761" s="5">
        <v>-31.16</v>
      </c>
      <c r="J761" s="5">
        <f t="shared" si="47"/>
        <v>31.16</v>
      </c>
      <c r="K761" s="5">
        <v>72430.73</v>
      </c>
    </row>
    <row r="762" spans="1:11" x14ac:dyDescent="0.25">
      <c r="A762" s="5">
        <f t="shared" si="44"/>
        <v>2024</v>
      </c>
      <c r="B762" s="5">
        <f t="shared" si="45"/>
        <v>8</v>
      </c>
      <c r="C762" s="6">
        <v>45532</v>
      </c>
      <c r="D762" s="5" t="s">
        <v>541</v>
      </c>
      <c r="E762" s="5" t="s">
        <v>902</v>
      </c>
      <c r="G762" s="5">
        <v>-30.45</v>
      </c>
      <c r="H762" s="5">
        <f t="shared" si="46"/>
        <v>30.45</v>
      </c>
      <c r="I762" s="5">
        <v>-30.45</v>
      </c>
      <c r="J762" s="5">
        <f t="shared" si="47"/>
        <v>30.45</v>
      </c>
      <c r="K762" s="5">
        <v>33276.11</v>
      </c>
    </row>
    <row r="763" spans="1:11" x14ac:dyDescent="0.25">
      <c r="A763" s="5">
        <f t="shared" si="44"/>
        <v>2023</v>
      </c>
      <c r="B763" s="5">
        <f t="shared" si="45"/>
        <v>10</v>
      </c>
      <c r="C763" s="6">
        <v>45203</v>
      </c>
      <c r="D763" s="5" t="s">
        <v>33</v>
      </c>
      <c r="E763" s="5" t="s">
        <v>902</v>
      </c>
      <c r="G763" s="5">
        <v>-30</v>
      </c>
      <c r="H763" s="5">
        <f t="shared" si="46"/>
        <v>30</v>
      </c>
      <c r="I763" s="5">
        <v>-30</v>
      </c>
      <c r="J763" s="5">
        <f t="shared" si="47"/>
        <v>30</v>
      </c>
      <c r="K763" s="5">
        <v>13424.9</v>
      </c>
    </row>
    <row r="764" spans="1:11" x14ac:dyDescent="0.25">
      <c r="A764" s="5">
        <f t="shared" si="44"/>
        <v>2023</v>
      </c>
      <c r="B764" s="5">
        <f t="shared" si="45"/>
        <v>12</v>
      </c>
      <c r="C764" s="6">
        <v>45288</v>
      </c>
      <c r="D764" s="5" t="s">
        <v>33</v>
      </c>
      <c r="E764" s="5" t="s">
        <v>902</v>
      </c>
      <c r="G764" s="5">
        <v>-30</v>
      </c>
      <c r="H764" s="5">
        <f t="shared" si="46"/>
        <v>30</v>
      </c>
      <c r="I764" s="5">
        <v>-30</v>
      </c>
      <c r="J764" s="5">
        <f t="shared" si="47"/>
        <v>30</v>
      </c>
      <c r="K764" s="5">
        <v>33657.9</v>
      </c>
    </row>
    <row r="765" spans="1:11" x14ac:dyDescent="0.25">
      <c r="A765" s="5">
        <f t="shared" si="44"/>
        <v>2024</v>
      </c>
      <c r="B765" s="5">
        <f t="shared" si="45"/>
        <v>1</v>
      </c>
      <c r="C765" s="6">
        <v>45301</v>
      </c>
      <c r="D765" s="5" t="s">
        <v>33</v>
      </c>
      <c r="E765" s="5" t="s">
        <v>902</v>
      </c>
      <c r="G765" s="5">
        <v>-30</v>
      </c>
      <c r="H765" s="5">
        <f t="shared" si="46"/>
        <v>30</v>
      </c>
      <c r="I765" s="5">
        <v>-30</v>
      </c>
      <c r="J765" s="5">
        <f t="shared" si="47"/>
        <v>30</v>
      </c>
      <c r="K765" s="5">
        <v>31933.94</v>
      </c>
    </row>
    <row r="766" spans="1:11" x14ac:dyDescent="0.25">
      <c r="A766" s="5">
        <f t="shared" si="44"/>
        <v>2024</v>
      </c>
      <c r="B766" s="5">
        <f t="shared" si="45"/>
        <v>1</v>
      </c>
      <c r="C766" s="6">
        <v>45307</v>
      </c>
      <c r="D766" s="5" t="s">
        <v>142</v>
      </c>
      <c r="E766" s="5" t="s">
        <v>902</v>
      </c>
      <c r="G766" s="5">
        <v>-29.99</v>
      </c>
      <c r="H766" s="5">
        <f t="shared" si="46"/>
        <v>29.99</v>
      </c>
      <c r="I766" s="5">
        <v>-29.99</v>
      </c>
      <c r="J766" s="5">
        <f t="shared" si="47"/>
        <v>29.99</v>
      </c>
      <c r="K766" s="5">
        <v>20380.88</v>
      </c>
    </row>
    <row r="767" spans="1:11" x14ac:dyDescent="0.25">
      <c r="A767" s="5">
        <f t="shared" si="44"/>
        <v>2024</v>
      </c>
      <c r="B767" s="5">
        <f t="shared" si="45"/>
        <v>3</v>
      </c>
      <c r="C767" s="6">
        <v>45369</v>
      </c>
      <c r="D767" s="5" t="s">
        <v>234</v>
      </c>
      <c r="E767" s="5" t="s">
        <v>902</v>
      </c>
      <c r="G767" s="5">
        <v>-28.26</v>
      </c>
      <c r="H767" s="5">
        <f t="shared" si="46"/>
        <v>28.26</v>
      </c>
      <c r="I767" s="5">
        <v>-28.26</v>
      </c>
      <c r="J767" s="5">
        <f t="shared" si="47"/>
        <v>28.26</v>
      </c>
      <c r="K767" s="5">
        <v>28774.54</v>
      </c>
    </row>
    <row r="768" spans="1:11" x14ac:dyDescent="0.25">
      <c r="A768" s="5">
        <f t="shared" si="44"/>
        <v>2024</v>
      </c>
      <c r="B768" s="5">
        <f t="shared" si="45"/>
        <v>9</v>
      </c>
      <c r="C768" s="6">
        <v>45565</v>
      </c>
      <c r="D768" s="5" t="s">
        <v>629</v>
      </c>
      <c r="E768" s="5" t="s">
        <v>902</v>
      </c>
      <c r="G768" s="5">
        <v>-28.19</v>
      </c>
      <c r="H768" s="5">
        <f t="shared" si="46"/>
        <v>28.19</v>
      </c>
      <c r="I768" s="5">
        <v>-28.19</v>
      </c>
      <c r="J768" s="5">
        <f t="shared" si="47"/>
        <v>28.19</v>
      </c>
      <c r="K768" s="5">
        <v>94108.76</v>
      </c>
    </row>
    <row r="769" spans="1:11" x14ac:dyDescent="0.25">
      <c r="A769" s="5">
        <f t="shared" si="44"/>
        <v>2024</v>
      </c>
      <c r="B769" s="5">
        <f t="shared" si="45"/>
        <v>9</v>
      </c>
      <c r="C769" s="6">
        <v>45539</v>
      </c>
      <c r="D769" s="5" t="s">
        <v>560</v>
      </c>
      <c r="E769" s="5" t="s">
        <v>902</v>
      </c>
      <c r="G769" s="5">
        <v>-27.55</v>
      </c>
      <c r="H769" s="5">
        <f t="shared" si="46"/>
        <v>27.55</v>
      </c>
      <c r="I769" s="5">
        <v>-27.55</v>
      </c>
      <c r="J769" s="5">
        <f t="shared" si="47"/>
        <v>27.55</v>
      </c>
      <c r="K769" s="5">
        <v>70680.27</v>
      </c>
    </row>
    <row r="770" spans="1:11" x14ac:dyDescent="0.25">
      <c r="A770" s="5">
        <f t="shared" si="44"/>
        <v>2025</v>
      </c>
      <c r="B770" s="5">
        <f t="shared" si="45"/>
        <v>3</v>
      </c>
      <c r="C770" s="6">
        <v>45722</v>
      </c>
      <c r="D770" s="5" t="s">
        <v>895</v>
      </c>
      <c r="E770" s="5" t="s">
        <v>902</v>
      </c>
      <c r="G770" s="5">
        <v>-27.53</v>
      </c>
      <c r="H770" s="5">
        <f t="shared" si="46"/>
        <v>27.53</v>
      </c>
      <c r="I770" s="5">
        <v>-27.53</v>
      </c>
      <c r="J770" s="5">
        <f t="shared" si="47"/>
        <v>27.53</v>
      </c>
      <c r="K770" s="5">
        <v>79552.56</v>
      </c>
    </row>
    <row r="771" spans="1:11" x14ac:dyDescent="0.25">
      <c r="A771" s="5">
        <f t="shared" ref="A771:A834" si="48">YEAR(C771)</f>
        <v>2024</v>
      </c>
      <c r="B771" s="5">
        <f t="shared" ref="B771:B834" si="49">MONTH(C771)</f>
        <v>6</v>
      </c>
      <c r="C771" s="6">
        <v>45456</v>
      </c>
      <c r="D771" s="5" t="s">
        <v>377</v>
      </c>
      <c r="E771" s="5" t="s">
        <v>902</v>
      </c>
      <c r="G771" s="5">
        <v>-27.08</v>
      </c>
      <c r="H771" s="5">
        <f t="shared" ref="H771:H834" si="50">(-1*G771)</f>
        <v>27.08</v>
      </c>
      <c r="I771" s="5">
        <v>-27.08</v>
      </c>
      <c r="J771" s="5">
        <f t="shared" ref="J771:J834" si="51">(F771+H771)</f>
        <v>27.08</v>
      </c>
      <c r="K771" s="5">
        <v>47602.3</v>
      </c>
    </row>
    <row r="772" spans="1:11" x14ac:dyDescent="0.25">
      <c r="A772" s="5">
        <f t="shared" si="48"/>
        <v>2025</v>
      </c>
      <c r="B772" s="5">
        <f t="shared" si="49"/>
        <v>2</v>
      </c>
      <c r="C772" s="6">
        <v>45698</v>
      </c>
      <c r="D772" s="5" t="s">
        <v>864</v>
      </c>
      <c r="E772" s="5" t="s">
        <v>902</v>
      </c>
      <c r="G772" s="5">
        <v>-27</v>
      </c>
      <c r="H772" s="5">
        <f t="shared" si="50"/>
        <v>27</v>
      </c>
      <c r="I772" s="5">
        <v>-27</v>
      </c>
      <c r="J772" s="5">
        <f t="shared" si="51"/>
        <v>27</v>
      </c>
      <c r="K772" s="5">
        <v>61075.45</v>
      </c>
    </row>
    <row r="773" spans="1:11" x14ac:dyDescent="0.25">
      <c r="A773" s="5">
        <f t="shared" si="48"/>
        <v>2025</v>
      </c>
      <c r="B773" s="5">
        <f t="shared" si="49"/>
        <v>2</v>
      </c>
      <c r="C773" s="6">
        <v>45712</v>
      </c>
      <c r="D773" s="5" t="s">
        <v>885</v>
      </c>
      <c r="E773" s="5" t="s">
        <v>902</v>
      </c>
      <c r="G773" s="5">
        <v>-27</v>
      </c>
      <c r="H773" s="5">
        <f t="shared" si="50"/>
        <v>27</v>
      </c>
      <c r="I773" s="5">
        <v>-27</v>
      </c>
      <c r="J773" s="5">
        <f t="shared" si="51"/>
        <v>27</v>
      </c>
      <c r="K773" s="5">
        <v>61357.49</v>
      </c>
    </row>
    <row r="774" spans="1:11" x14ac:dyDescent="0.25">
      <c r="A774" s="5">
        <f t="shared" si="48"/>
        <v>2024</v>
      </c>
      <c r="B774" s="5">
        <f t="shared" si="49"/>
        <v>6</v>
      </c>
      <c r="C774" s="6">
        <v>45446</v>
      </c>
      <c r="D774" s="5" t="s">
        <v>308</v>
      </c>
      <c r="E774" s="5" t="s">
        <v>902</v>
      </c>
      <c r="G774" s="5">
        <v>-26.61</v>
      </c>
      <c r="H774" s="5">
        <f t="shared" si="50"/>
        <v>26.61</v>
      </c>
      <c r="I774" s="5">
        <v>-26.61</v>
      </c>
      <c r="J774" s="5">
        <f t="shared" si="51"/>
        <v>26.61</v>
      </c>
      <c r="K774" s="5">
        <v>5932.54</v>
      </c>
    </row>
    <row r="775" spans="1:11" x14ac:dyDescent="0.25">
      <c r="A775" s="5">
        <f t="shared" si="48"/>
        <v>2024</v>
      </c>
      <c r="B775" s="5">
        <f t="shared" si="49"/>
        <v>10</v>
      </c>
      <c r="C775" s="6">
        <v>45574</v>
      </c>
      <c r="D775" s="5" t="s">
        <v>662</v>
      </c>
      <c r="E775" s="5" t="s">
        <v>902</v>
      </c>
      <c r="G775" s="5">
        <v>-26.55</v>
      </c>
      <c r="H775" s="5">
        <f t="shared" si="50"/>
        <v>26.55</v>
      </c>
      <c r="I775" s="5">
        <v>-26.55</v>
      </c>
      <c r="J775" s="5">
        <f t="shared" si="51"/>
        <v>26.55</v>
      </c>
      <c r="K775" s="5">
        <v>66670.09</v>
      </c>
    </row>
    <row r="776" spans="1:11" x14ac:dyDescent="0.25">
      <c r="A776" s="5">
        <f t="shared" si="48"/>
        <v>2023</v>
      </c>
      <c r="B776" s="5">
        <f t="shared" si="49"/>
        <v>9</v>
      </c>
      <c r="C776" s="6">
        <v>45184</v>
      </c>
      <c r="D776" s="5" t="s">
        <v>16</v>
      </c>
      <c r="E776" s="5" t="s">
        <v>902</v>
      </c>
      <c r="G776" s="5">
        <v>-26.34</v>
      </c>
      <c r="H776" s="5">
        <f t="shared" si="50"/>
        <v>26.34</v>
      </c>
      <c r="I776" s="5">
        <v>-26.34</v>
      </c>
      <c r="J776" s="5">
        <f t="shared" si="51"/>
        <v>26.34</v>
      </c>
      <c r="K776" s="5">
        <v>8436.5400000000009</v>
      </c>
    </row>
    <row r="777" spans="1:11" x14ac:dyDescent="0.25">
      <c r="A777" s="5">
        <f t="shared" si="48"/>
        <v>2024</v>
      </c>
      <c r="B777" s="5">
        <f t="shared" si="49"/>
        <v>5</v>
      </c>
      <c r="C777" s="6">
        <v>45429</v>
      </c>
      <c r="D777" s="5" t="s">
        <v>337</v>
      </c>
      <c r="E777" s="5" t="s">
        <v>902</v>
      </c>
      <c r="G777" s="5">
        <v>-26.1</v>
      </c>
      <c r="H777" s="5">
        <f t="shared" si="50"/>
        <v>26.1</v>
      </c>
      <c r="I777" s="5">
        <v>-26.1</v>
      </c>
      <c r="J777" s="5">
        <f t="shared" si="51"/>
        <v>26.1</v>
      </c>
      <c r="K777" s="5">
        <v>30420.54</v>
      </c>
    </row>
    <row r="778" spans="1:11" x14ac:dyDescent="0.25">
      <c r="A778" s="5">
        <f t="shared" si="48"/>
        <v>2024</v>
      </c>
      <c r="B778" s="5">
        <f t="shared" si="49"/>
        <v>5</v>
      </c>
      <c r="C778" s="6">
        <v>45432</v>
      </c>
      <c r="D778" s="5" t="s">
        <v>344</v>
      </c>
      <c r="E778" s="5" t="s">
        <v>902</v>
      </c>
      <c r="G778" s="5">
        <v>-26</v>
      </c>
      <c r="H778" s="5">
        <f t="shared" si="50"/>
        <v>26</v>
      </c>
      <c r="I778" s="5">
        <v>-26</v>
      </c>
      <c r="J778" s="5">
        <f t="shared" si="51"/>
        <v>26</v>
      </c>
      <c r="K778" s="5">
        <v>17954.13</v>
      </c>
    </row>
    <row r="779" spans="1:11" x14ac:dyDescent="0.25">
      <c r="A779" s="5">
        <f t="shared" si="48"/>
        <v>2024</v>
      </c>
      <c r="B779" s="5">
        <f t="shared" si="49"/>
        <v>12</v>
      </c>
      <c r="C779" s="6">
        <v>45643</v>
      </c>
      <c r="D779" s="5" t="s">
        <v>794</v>
      </c>
      <c r="E779" s="5" t="s">
        <v>902</v>
      </c>
      <c r="G779" s="5">
        <v>-25</v>
      </c>
      <c r="H779" s="5">
        <f t="shared" si="50"/>
        <v>25</v>
      </c>
      <c r="I779" s="5">
        <v>-25</v>
      </c>
      <c r="J779" s="5">
        <f t="shared" si="51"/>
        <v>25</v>
      </c>
      <c r="K779" s="5">
        <v>39767.919999999998</v>
      </c>
    </row>
    <row r="780" spans="1:11" x14ac:dyDescent="0.25">
      <c r="A780" s="5">
        <f t="shared" si="48"/>
        <v>2025</v>
      </c>
      <c r="B780" s="5">
        <f t="shared" si="49"/>
        <v>1</v>
      </c>
      <c r="C780" s="6">
        <v>45684</v>
      </c>
      <c r="D780" s="5" t="s">
        <v>848</v>
      </c>
      <c r="E780" s="5" t="s">
        <v>902</v>
      </c>
      <c r="G780" s="5">
        <v>-25</v>
      </c>
      <c r="H780" s="5">
        <f t="shared" si="50"/>
        <v>25</v>
      </c>
      <c r="I780" s="5">
        <v>-25</v>
      </c>
      <c r="J780" s="5">
        <f t="shared" si="51"/>
        <v>25</v>
      </c>
      <c r="K780" s="5">
        <v>54718.11</v>
      </c>
    </row>
    <row r="781" spans="1:11" x14ac:dyDescent="0.25">
      <c r="A781" s="5">
        <f t="shared" si="48"/>
        <v>2024</v>
      </c>
      <c r="B781" s="5">
        <f t="shared" si="49"/>
        <v>1</v>
      </c>
      <c r="C781" s="6">
        <v>45315</v>
      </c>
      <c r="D781" s="5" t="s">
        <v>152</v>
      </c>
      <c r="E781" s="5" t="s">
        <v>902</v>
      </c>
      <c r="G781" s="5">
        <v>-24.43</v>
      </c>
      <c r="H781" s="5">
        <f t="shared" si="50"/>
        <v>24.43</v>
      </c>
      <c r="I781" s="5">
        <v>-24.43</v>
      </c>
      <c r="J781" s="5">
        <f t="shared" si="51"/>
        <v>24.43</v>
      </c>
      <c r="K781" s="5">
        <v>42904.44</v>
      </c>
    </row>
    <row r="782" spans="1:11" x14ac:dyDescent="0.25">
      <c r="A782" s="5">
        <f t="shared" si="48"/>
        <v>2024</v>
      </c>
      <c r="B782" s="5">
        <f t="shared" si="49"/>
        <v>3</v>
      </c>
      <c r="C782" s="6">
        <v>45359</v>
      </c>
      <c r="D782" s="5" t="s">
        <v>217</v>
      </c>
      <c r="E782" s="5" t="s">
        <v>902</v>
      </c>
      <c r="G782" s="5">
        <v>-24.14</v>
      </c>
      <c r="H782" s="5">
        <f t="shared" si="50"/>
        <v>24.14</v>
      </c>
      <c r="I782" s="5">
        <v>-24.14</v>
      </c>
      <c r="J782" s="5">
        <f t="shared" si="51"/>
        <v>24.14</v>
      </c>
      <c r="K782" s="5">
        <v>21545.61</v>
      </c>
    </row>
    <row r="783" spans="1:11" x14ac:dyDescent="0.25">
      <c r="A783" s="5">
        <f t="shared" si="48"/>
        <v>2024</v>
      </c>
      <c r="B783" s="5">
        <f t="shared" si="49"/>
        <v>1</v>
      </c>
      <c r="C783" s="6">
        <v>45313</v>
      </c>
      <c r="D783" s="5" t="s">
        <v>127</v>
      </c>
      <c r="E783" s="5" t="s">
        <v>902</v>
      </c>
      <c r="G783" s="5">
        <v>-24</v>
      </c>
      <c r="H783" s="5">
        <f t="shared" si="50"/>
        <v>24</v>
      </c>
      <c r="I783" s="5">
        <v>-24</v>
      </c>
      <c r="J783" s="5">
        <f t="shared" si="51"/>
        <v>24</v>
      </c>
      <c r="K783" s="5">
        <v>17978.87</v>
      </c>
    </row>
    <row r="784" spans="1:11" x14ac:dyDescent="0.25">
      <c r="A784" s="5">
        <f t="shared" si="48"/>
        <v>2024</v>
      </c>
      <c r="B784" s="5">
        <f t="shared" si="49"/>
        <v>10</v>
      </c>
      <c r="C784" s="6">
        <v>45586</v>
      </c>
      <c r="D784" s="5" t="s">
        <v>686</v>
      </c>
      <c r="E784" s="5" t="s">
        <v>902</v>
      </c>
      <c r="G784" s="5">
        <v>-23.15</v>
      </c>
      <c r="H784" s="5">
        <f t="shared" si="50"/>
        <v>23.15</v>
      </c>
      <c r="I784" s="5">
        <v>-23.15</v>
      </c>
      <c r="J784" s="5">
        <f t="shared" si="51"/>
        <v>23.15</v>
      </c>
      <c r="K784" s="5">
        <v>72461.89</v>
      </c>
    </row>
    <row r="785" spans="1:11" x14ac:dyDescent="0.25">
      <c r="A785" s="5">
        <f t="shared" si="48"/>
        <v>2024</v>
      </c>
      <c r="B785" s="5">
        <f t="shared" si="49"/>
        <v>5</v>
      </c>
      <c r="C785" s="6">
        <v>45414</v>
      </c>
      <c r="D785" s="5" t="s">
        <v>313</v>
      </c>
      <c r="E785" s="5" t="s">
        <v>902</v>
      </c>
      <c r="G785" s="5">
        <v>-22.95</v>
      </c>
      <c r="H785" s="5">
        <f t="shared" si="50"/>
        <v>22.95</v>
      </c>
      <c r="I785" s="5">
        <v>-22.95</v>
      </c>
      <c r="J785" s="5">
        <f t="shared" si="51"/>
        <v>22.95</v>
      </c>
      <c r="K785" s="5">
        <v>27271.26</v>
      </c>
    </row>
    <row r="786" spans="1:11" x14ac:dyDescent="0.25">
      <c r="A786" s="5">
        <f t="shared" si="48"/>
        <v>2024</v>
      </c>
      <c r="B786" s="5">
        <f t="shared" si="49"/>
        <v>6</v>
      </c>
      <c r="C786" s="6">
        <v>45446</v>
      </c>
      <c r="D786" s="5" t="s">
        <v>363</v>
      </c>
      <c r="E786" s="5" t="s">
        <v>902</v>
      </c>
      <c r="G786" s="5">
        <v>-22.95</v>
      </c>
      <c r="H786" s="5">
        <f t="shared" si="50"/>
        <v>22.95</v>
      </c>
      <c r="I786" s="5">
        <v>-22.95</v>
      </c>
      <c r="J786" s="5">
        <f t="shared" si="51"/>
        <v>22.95</v>
      </c>
      <c r="K786" s="5">
        <v>10894.98</v>
      </c>
    </row>
    <row r="787" spans="1:11" x14ac:dyDescent="0.25">
      <c r="A787" s="5">
        <f t="shared" si="48"/>
        <v>2024</v>
      </c>
      <c r="B787" s="5">
        <f t="shared" si="49"/>
        <v>7</v>
      </c>
      <c r="C787" s="6">
        <v>45475</v>
      </c>
      <c r="D787" s="5" t="s">
        <v>421</v>
      </c>
      <c r="E787" s="5" t="s">
        <v>902</v>
      </c>
      <c r="G787" s="5">
        <v>-22.95</v>
      </c>
      <c r="H787" s="5">
        <f t="shared" si="50"/>
        <v>22.95</v>
      </c>
      <c r="I787" s="5">
        <v>-22.95</v>
      </c>
      <c r="J787" s="5">
        <f t="shared" si="51"/>
        <v>22.95</v>
      </c>
      <c r="K787" s="5">
        <v>72574.06</v>
      </c>
    </row>
    <row r="788" spans="1:11" x14ac:dyDescent="0.25">
      <c r="A788" s="5">
        <f t="shared" si="48"/>
        <v>2024</v>
      </c>
      <c r="B788" s="5">
        <f t="shared" si="49"/>
        <v>8</v>
      </c>
      <c r="C788" s="6">
        <v>45506</v>
      </c>
      <c r="D788" s="5" t="s">
        <v>484</v>
      </c>
      <c r="E788" s="5" t="s">
        <v>902</v>
      </c>
      <c r="G788" s="5">
        <v>-22.95</v>
      </c>
      <c r="H788" s="5">
        <f t="shared" si="50"/>
        <v>22.95</v>
      </c>
      <c r="I788" s="5">
        <v>-22.95</v>
      </c>
      <c r="J788" s="5">
        <f t="shared" si="51"/>
        <v>22.95</v>
      </c>
      <c r="K788" s="5">
        <v>45906.76</v>
      </c>
    </row>
    <row r="789" spans="1:11" x14ac:dyDescent="0.25">
      <c r="A789" s="5">
        <f t="shared" si="48"/>
        <v>2024</v>
      </c>
      <c r="B789" s="5">
        <f t="shared" si="49"/>
        <v>10</v>
      </c>
      <c r="C789" s="6">
        <v>45567</v>
      </c>
      <c r="D789" s="5" t="s">
        <v>632</v>
      </c>
      <c r="E789" s="5" t="s">
        <v>902</v>
      </c>
      <c r="G789" s="5">
        <v>-22.95</v>
      </c>
      <c r="H789" s="5">
        <f t="shared" si="50"/>
        <v>22.95</v>
      </c>
      <c r="I789" s="5">
        <v>-22.95</v>
      </c>
      <c r="J789" s="5">
        <f t="shared" si="51"/>
        <v>22.95</v>
      </c>
      <c r="K789" s="5">
        <v>87679.43</v>
      </c>
    </row>
    <row r="790" spans="1:11" x14ac:dyDescent="0.25">
      <c r="A790" s="5">
        <f t="shared" si="48"/>
        <v>2024</v>
      </c>
      <c r="B790" s="5">
        <f t="shared" si="49"/>
        <v>11</v>
      </c>
      <c r="C790" s="6">
        <v>45600</v>
      </c>
      <c r="D790" s="5" t="s">
        <v>716</v>
      </c>
      <c r="E790" s="5" t="s">
        <v>902</v>
      </c>
      <c r="G790" s="5">
        <v>-22.95</v>
      </c>
      <c r="H790" s="5">
        <f t="shared" si="50"/>
        <v>22.95</v>
      </c>
      <c r="I790" s="5">
        <v>-22.95</v>
      </c>
      <c r="J790" s="5">
        <f t="shared" si="51"/>
        <v>22.95</v>
      </c>
      <c r="K790" s="5">
        <v>42020.17</v>
      </c>
    </row>
    <row r="791" spans="1:11" x14ac:dyDescent="0.25">
      <c r="A791" s="5">
        <f t="shared" si="48"/>
        <v>2024</v>
      </c>
      <c r="B791" s="5">
        <f t="shared" si="49"/>
        <v>12</v>
      </c>
      <c r="C791" s="6">
        <v>45628</v>
      </c>
      <c r="D791" s="5" t="s">
        <v>769</v>
      </c>
      <c r="E791" s="5" t="s">
        <v>902</v>
      </c>
      <c r="G791" s="5">
        <v>-22.95</v>
      </c>
      <c r="H791" s="5">
        <f t="shared" si="50"/>
        <v>22.95</v>
      </c>
      <c r="I791" s="5">
        <v>-22.95</v>
      </c>
      <c r="J791" s="5">
        <f t="shared" si="51"/>
        <v>22.95</v>
      </c>
      <c r="K791" s="5">
        <v>4221.88</v>
      </c>
    </row>
    <row r="792" spans="1:11" x14ac:dyDescent="0.25">
      <c r="A792" s="5">
        <f t="shared" si="48"/>
        <v>2024</v>
      </c>
      <c r="B792" s="5">
        <f t="shared" si="49"/>
        <v>1</v>
      </c>
      <c r="C792" s="6">
        <v>45299</v>
      </c>
      <c r="D792" s="5" t="s">
        <v>128</v>
      </c>
      <c r="E792" s="5" t="s">
        <v>902</v>
      </c>
      <c r="G792" s="5">
        <v>-21.72</v>
      </c>
      <c r="H792" s="5">
        <f t="shared" si="50"/>
        <v>21.72</v>
      </c>
      <c r="I792" s="5">
        <v>-21.72</v>
      </c>
      <c r="J792" s="5">
        <f t="shared" si="51"/>
        <v>21.72</v>
      </c>
      <c r="K792" s="5">
        <v>50527.28</v>
      </c>
    </row>
    <row r="793" spans="1:11" x14ac:dyDescent="0.25">
      <c r="A793" s="5">
        <f t="shared" si="48"/>
        <v>2024</v>
      </c>
      <c r="B793" s="5">
        <f t="shared" si="49"/>
        <v>5</v>
      </c>
      <c r="C793" s="6">
        <v>45440</v>
      </c>
      <c r="D793" s="5" t="s">
        <v>350</v>
      </c>
      <c r="E793" s="5" t="s">
        <v>902</v>
      </c>
      <c r="G793" s="5">
        <v>-21.4</v>
      </c>
      <c r="H793" s="5">
        <f t="shared" si="50"/>
        <v>21.4</v>
      </c>
      <c r="I793" s="5">
        <v>-21.4</v>
      </c>
      <c r="J793" s="5">
        <f t="shared" si="51"/>
        <v>21.4</v>
      </c>
      <c r="K793" s="5">
        <v>27794.39</v>
      </c>
    </row>
    <row r="794" spans="1:11" x14ac:dyDescent="0.25">
      <c r="A794" s="5">
        <f t="shared" si="48"/>
        <v>2024</v>
      </c>
      <c r="B794" s="5">
        <f t="shared" si="49"/>
        <v>8</v>
      </c>
      <c r="C794" s="6">
        <v>45523</v>
      </c>
      <c r="D794" s="5" t="s">
        <v>517</v>
      </c>
      <c r="E794" s="5" t="s">
        <v>902</v>
      </c>
      <c r="G794" s="5">
        <v>-21.26</v>
      </c>
      <c r="H794" s="5">
        <f t="shared" si="50"/>
        <v>21.26</v>
      </c>
      <c r="I794" s="5">
        <v>-21.26</v>
      </c>
      <c r="J794" s="5">
        <f t="shared" si="51"/>
        <v>21.26</v>
      </c>
      <c r="K794" s="5">
        <v>71614.13</v>
      </c>
    </row>
    <row r="795" spans="1:11" x14ac:dyDescent="0.25">
      <c r="A795" s="5">
        <f t="shared" si="48"/>
        <v>2024</v>
      </c>
      <c r="B795" s="5">
        <f t="shared" si="49"/>
        <v>10</v>
      </c>
      <c r="C795" s="6">
        <v>45580</v>
      </c>
      <c r="D795" s="5" t="s">
        <v>673</v>
      </c>
      <c r="E795" s="5" t="s">
        <v>902</v>
      </c>
      <c r="G795" s="5">
        <v>-21.26</v>
      </c>
      <c r="H795" s="5">
        <f t="shared" si="50"/>
        <v>21.26</v>
      </c>
      <c r="I795" s="5">
        <v>-21.26</v>
      </c>
      <c r="J795" s="5">
        <f t="shared" si="51"/>
        <v>21.26</v>
      </c>
      <c r="K795" s="5">
        <v>98227.5</v>
      </c>
    </row>
    <row r="796" spans="1:11" x14ac:dyDescent="0.25">
      <c r="A796" s="5">
        <f t="shared" si="48"/>
        <v>2024</v>
      </c>
      <c r="B796" s="5">
        <f t="shared" si="49"/>
        <v>3</v>
      </c>
      <c r="C796" s="6">
        <v>45359</v>
      </c>
      <c r="D796" s="5" t="s">
        <v>221</v>
      </c>
      <c r="E796" s="5" t="s">
        <v>902</v>
      </c>
      <c r="G796" s="5">
        <v>-21</v>
      </c>
      <c r="H796" s="5">
        <f t="shared" si="50"/>
        <v>21</v>
      </c>
      <c r="I796" s="5">
        <v>-21</v>
      </c>
      <c r="J796" s="5">
        <f t="shared" si="51"/>
        <v>21</v>
      </c>
      <c r="K796" s="5">
        <v>20218.96</v>
      </c>
    </row>
    <row r="797" spans="1:11" x14ac:dyDescent="0.25">
      <c r="A797" s="5">
        <f t="shared" si="48"/>
        <v>2024</v>
      </c>
      <c r="B797" s="5">
        <f t="shared" si="49"/>
        <v>9</v>
      </c>
      <c r="C797" s="6">
        <v>45565</v>
      </c>
      <c r="D797" s="5" t="s">
        <v>625</v>
      </c>
      <c r="E797" s="5" t="s">
        <v>902</v>
      </c>
      <c r="G797" s="5">
        <v>-20.53</v>
      </c>
      <c r="H797" s="5">
        <f t="shared" si="50"/>
        <v>20.53</v>
      </c>
      <c r="I797" s="5">
        <v>-20.53</v>
      </c>
      <c r="J797" s="5">
        <f t="shared" si="51"/>
        <v>20.53</v>
      </c>
      <c r="K797" s="5">
        <v>96053.39</v>
      </c>
    </row>
    <row r="798" spans="1:11" x14ac:dyDescent="0.25">
      <c r="A798" s="5">
        <f t="shared" si="48"/>
        <v>2024</v>
      </c>
      <c r="B798" s="5">
        <f t="shared" si="49"/>
        <v>11</v>
      </c>
      <c r="C798" s="6">
        <v>45608</v>
      </c>
      <c r="D798" s="5" t="s">
        <v>731</v>
      </c>
      <c r="E798" s="5" t="s">
        <v>902</v>
      </c>
      <c r="G798" s="5">
        <v>-20.37</v>
      </c>
      <c r="H798" s="5">
        <f t="shared" si="50"/>
        <v>20.37</v>
      </c>
      <c r="I798" s="5">
        <v>-20.37</v>
      </c>
      <c r="J798" s="5">
        <f t="shared" si="51"/>
        <v>20.37</v>
      </c>
      <c r="K798" s="5">
        <v>50220.18</v>
      </c>
    </row>
    <row r="799" spans="1:11" x14ac:dyDescent="0.25">
      <c r="A799" s="5">
        <f t="shared" si="48"/>
        <v>2024</v>
      </c>
      <c r="B799" s="5">
        <f t="shared" si="49"/>
        <v>4</v>
      </c>
      <c r="C799" s="6">
        <v>45384</v>
      </c>
      <c r="D799" s="5" t="s">
        <v>262</v>
      </c>
      <c r="E799" s="5" t="s">
        <v>902</v>
      </c>
      <c r="G799" s="5">
        <v>-20.23</v>
      </c>
      <c r="H799" s="5">
        <f t="shared" si="50"/>
        <v>20.23</v>
      </c>
      <c r="I799" s="5">
        <v>-20.23</v>
      </c>
      <c r="J799" s="5">
        <f t="shared" si="51"/>
        <v>20.23</v>
      </c>
      <c r="K799" s="5">
        <v>34874.86</v>
      </c>
    </row>
    <row r="800" spans="1:11" x14ac:dyDescent="0.25">
      <c r="A800" s="5">
        <f t="shared" si="48"/>
        <v>2024</v>
      </c>
      <c r="B800" s="5">
        <f t="shared" si="49"/>
        <v>8</v>
      </c>
      <c r="C800" s="6">
        <v>45532</v>
      </c>
      <c r="D800" s="5" t="s">
        <v>540</v>
      </c>
      <c r="E800" s="5" t="s">
        <v>902</v>
      </c>
      <c r="G800" s="5">
        <v>-20.16</v>
      </c>
      <c r="H800" s="5">
        <f t="shared" si="50"/>
        <v>20.16</v>
      </c>
      <c r="I800" s="5">
        <v>-20.16</v>
      </c>
      <c r="J800" s="5">
        <f t="shared" si="51"/>
        <v>20.16</v>
      </c>
      <c r="K800" s="5">
        <v>33306.559999999998</v>
      </c>
    </row>
    <row r="801" spans="1:11" x14ac:dyDescent="0.25">
      <c r="A801" s="5">
        <f t="shared" si="48"/>
        <v>2024</v>
      </c>
      <c r="B801" s="5">
        <f t="shared" si="49"/>
        <v>7</v>
      </c>
      <c r="C801" s="6">
        <v>45488</v>
      </c>
      <c r="D801" s="5" t="s">
        <v>441</v>
      </c>
      <c r="E801" s="5" t="s">
        <v>902</v>
      </c>
      <c r="G801" s="5">
        <v>-20</v>
      </c>
      <c r="H801" s="5">
        <f t="shared" si="50"/>
        <v>20</v>
      </c>
      <c r="I801" s="5">
        <v>-20</v>
      </c>
      <c r="J801" s="5">
        <f t="shared" si="51"/>
        <v>20</v>
      </c>
      <c r="K801" s="5">
        <v>63533.69</v>
      </c>
    </row>
    <row r="802" spans="1:11" x14ac:dyDescent="0.25">
      <c r="A802" s="5">
        <f t="shared" si="48"/>
        <v>2024</v>
      </c>
      <c r="B802" s="5">
        <f t="shared" si="49"/>
        <v>8</v>
      </c>
      <c r="C802" s="6">
        <v>45513</v>
      </c>
      <c r="D802" s="5" t="s">
        <v>505</v>
      </c>
      <c r="E802" s="5" t="s">
        <v>902</v>
      </c>
      <c r="G802" s="5">
        <v>-20</v>
      </c>
      <c r="H802" s="5">
        <f t="shared" si="50"/>
        <v>20</v>
      </c>
      <c r="I802" s="5">
        <v>-20</v>
      </c>
      <c r="J802" s="5">
        <f t="shared" si="51"/>
        <v>20</v>
      </c>
      <c r="K802" s="5">
        <v>16532.16</v>
      </c>
    </row>
    <row r="803" spans="1:11" x14ac:dyDescent="0.25">
      <c r="A803" s="5">
        <f t="shared" si="48"/>
        <v>2024</v>
      </c>
      <c r="B803" s="5">
        <f t="shared" si="49"/>
        <v>8</v>
      </c>
      <c r="C803" s="6">
        <v>45530</v>
      </c>
      <c r="D803" s="5" t="s">
        <v>532</v>
      </c>
      <c r="E803" s="5" t="s">
        <v>902</v>
      </c>
      <c r="G803" s="5">
        <v>-20</v>
      </c>
      <c r="H803" s="5">
        <f t="shared" si="50"/>
        <v>20</v>
      </c>
      <c r="I803" s="5">
        <v>-20</v>
      </c>
      <c r="J803" s="5">
        <f t="shared" si="51"/>
        <v>20</v>
      </c>
      <c r="K803" s="5">
        <v>36730.33</v>
      </c>
    </row>
    <row r="804" spans="1:11" x14ac:dyDescent="0.25">
      <c r="A804" s="5">
        <f t="shared" si="48"/>
        <v>2025</v>
      </c>
      <c r="B804" s="5">
        <f t="shared" si="49"/>
        <v>1</v>
      </c>
      <c r="C804" s="6">
        <v>45670</v>
      </c>
      <c r="D804" s="5" t="s">
        <v>836</v>
      </c>
      <c r="E804" s="5" t="s">
        <v>902</v>
      </c>
      <c r="G804" s="5">
        <v>-20</v>
      </c>
      <c r="H804" s="5">
        <f t="shared" si="50"/>
        <v>20</v>
      </c>
      <c r="I804" s="5">
        <v>-20</v>
      </c>
      <c r="J804" s="5">
        <f t="shared" si="51"/>
        <v>20</v>
      </c>
      <c r="K804" s="5">
        <v>55151.81</v>
      </c>
    </row>
    <row r="805" spans="1:11" x14ac:dyDescent="0.25">
      <c r="A805" s="5">
        <f t="shared" si="48"/>
        <v>2023</v>
      </c>
      <c r="B805" s="5">
        <f t="shared" si="49"/>
        <v>12</v>
      </c>
      <c r="C805" s="6">
        <v>45271</v>
      </c>
      <c r="D805" s="5" t="s">
        <v>95</v>
      </c>
      <c r="E805" s="5" t="s">
        <v>902</v>
      </c>
      <c r="G805" s="5">
        <v>-19.64</v>
      </c>
      <c r="H805" s="5">
        <f t="shared" si="50"/>
        <v>19.64</v>
      </c>
      <c r="I805" s="5">
        <v>-19.64</v>
      </c>
      <c r="J805" s="5">
        <f t="shared" si="51"/>
        <v>19.64</v>
      </c>
      <c r="K805" s="5">
        <v>18361.23</v>
      </c>
    </row>
    <row r="806" spans="1:11" x14ac:dyDescent="0.25">
      <c r="A806" s="5">
        <f t="shared" si="48"/>
        <v>2023</v>
      </c>
      <c r="B806" s="5">
        <f t="shared" si="49"/>
        <v>10</v>
      </c>
      <c r="C806" s="6">
        <v>45205</v>
      </c>
      <c r="D806" s="5" t="s">
        <v>42</v>
      </c>
      <c r="E806" s="5" t="s">
        <v>902</v>
      </c>
      <c r="G806" s="5">
        <v>-19.13</v>
      </c>
      <c r="H806" s="5">
        <f t="shared" si="50"/>
        <v>19.13</v>
      </c>
      <c r="I806" s="5">
        <v>-19.13</v>
      </c>
      <c r="J806" s="5">
        <f t="shared" si="51"/>
        <v>19.13</v>
      </c>
      <c r="K806" s="5">
        <v>5300.76</v>
      </c>
    </row>
    <row r="807" spans="1:11" x14ac:dyDescent="0.25">
      <c r="A807" s="5">
        <f t="shared" si="48"/>
        <v>2023</v>
      </c>
      <c r="B807" s="5">
        <f t="shared" si="49"/>
        <v>11</v>
      </c>
      <c r="C807" s="6">
        <v>45232</v>
      </c>
      <c r="D807" s="5" t="s">
        <v>59</v>
      </c>
      <c r="E807" s="5" t="s">
        <v>902</v>
      </c>
      <c r="G807" s="5">
        <v>-19.13</v>
      </c>
      <c r="H807" s="5">
        <f t="shared" si="50"/>
        <v>19.13</v>
      </c>
      <c r="I807" s="5">
        <v>-19.13</v>
      </c>
      <c r="J807" s="5">
        <f t="shared" si="51"/>
        <v>19.13</v>
      </c>
      <c r="K807" s="5">
        <v>24545.41</v>
      </c>
    </row>
    <row r="808" spans="1:11" x14ac:dyDescent="0.25">
      <c r="A808" s="5">
        <f t="shared" si="48"/>
        <v>2023</v>
      </c>
      <c r="B808" s="5">
        <f t="shared" si="49"/>
        <v>12</v>
      </c>
      <c r="C808" s="6">
        <v>45264</v>
      </c>
      <c r="D808" s="5" t="s">
        <v>86</v>
      </c>
      <c r="E808" s="5" t="s">
        <v>902</v>
      </c>
      <c r="G808" s="5">
        <v>-19.13</v>
      </c>
      <c r="H808" s="5">
        <f t="shared" si="50"/>
        <v>19.13</v>
      </c>
      <c r="I808" s="5">
        <v>-19.13</v>
      </c>
      <c r="J808" s="5">
        <f t="shared" si="51"/>
        <v>19.13</v>
      </c>
      <c r="K808" s="5">
        <v>19459.599999999999</v>
      </c>
    </row>
    <row r="809" spans="1:11" x14ac:dyDescent="0.25">
      <c r="A809" s="5">
        <f t="shared" si="48"/>
        <v>2024</v>
      </c>
      <c r="B809" s="5">
        <f t="shared" si="49"/>
        <v>1</v>
      </c>
      <c r="C809" s="6">
        <v>45293</v>
      </c>
      <c r="D809" s="5" t="s">
        <v>118</v>
      </c>
      <c r="E809" s="5" t="s">
        <v>902</v>
      </c>
      <c r="G809" s="5">
        <v>-19.13</v>
      </c>
      <c r="H809" s="5">
        <f t="shared" si="50"/>
        <v>19.13</v>
      </c>
      <c r="I809" s="5">
        <v>-19.13</v>
      </c>
      <c r="J809" s="5">
        <f t="shared" si="51"/>
        <v>19.13</v>
      </c>
      <c r="K809" s="5">
        <v>33488.93</v>
      </c>
    </row>
    <row r="810" spans="1:11" x14ac:dyDescent="0.25">
      <c r="A810" s="5">
        <f t="shared" si="48"/>
        <v>2024</v>
      </c>
      <c r="B810" s="5">
        <f t="shared" si="49"/>
        <v>2</v>
      </c>
      <c r="C810" s="6">
        <v>45324</v>
      </c>
      <c r="D810" s="5" t="s">
        <v>169</v>
      </c>
      <c r="E810" s="5" t="s">
        <v>902</v>
      </c>
      <c r="G810" s="5">
        <v>-19.13</v>
      </c>
      <c r="H810" s="5">
        <f t="shared" si="50"/>
        <v>19.13</v>
      </c>
      <c r="I810" s="5">
        <v>-19.13</v>
      </c>
      <c r="J810" s="5">
        <f t="shared" si="51"/>
        <v>19.13</v>
      </c>
      <c r="K810" s="5">
        <v>36556.160000000003</v>
      </c>
    </row>
    <row r="811" spans="1:11" x14ac:dyDescent="0.25">
      <c r="A811" s="5">
        <f t="shared" si="48"/>
        <v>2024</v>
      </c>
      <c r="B811" s="5">
        <f t="shared" si="49"/>
        <v>3</v>
      </c>
      <c r="C811" s="6">
        <v>45355</v>
      </c>
      <c r="D811" s="5" t="s">
        <v>207</v>
      </c>
      <c r="E811" s="5" t="s">
        <v>902</v>
      </c>
      <c r="G811" s="5">
        <v>-19.13</v>
      </c>
      <c r="H811" s="5">
        <f t="shared" si="50"/>
        <v>19.13</v>
      </c>
      <c r="I811" s="5">
        <v>-19.13</v>
      </c>
      <c r="J811" s="5">
        <f t="shared" si="51"/>
        <v>19.13</v>
      </c>
      <c r="K811" s="5">
        <v>28356.92</v>
      </c>
    </row>
    <row r="812" spans="1:11" x14ac:dyDescent="0.25">
      <c r="A812" s="5">
        <f t="shared" si="48"/>
        <v>2024</v>
      </c>
      <c r="B812" s="5">
        <f t="shared" si="49"/>
        <v>6</v>
      </c>
      <c r="C812" s="6">
        <v>45470</v>
      </c>
      <c r="D812" s="5" t="s">
        <v>406</v>
      </c>
      <c r="E812" s="5" t="s">
        <v>902</v>
      </c>
      <c r="G812" s="5">
        <v>-19</v>
      </c>
      <c r="H812" s="5">
        <f t="shared" si="50"/>
        <v>19</v>
      </c>
      <c r="I812" s="5">
        <v>-19</v>
      </c>
      <c r="J812" s="5">
        <f t="shared" si="51"/>
        <v>19</v>
      </c>
      <c r="K812" s="5">
        <v>56560.21</v>
      </c>
    </row>
    <row r="813" spans="1:11" x14ac:dyDescent="0.25">
      <c r="A813" s="5">
        <f t="shared" si="48"/>
        <v>2024</v>
      </c>
      <c r="B813" s="5">
        <f t="shared" si="49"/>
        <v>7</v>
      </c>
      <c r="C813" s="6">
        <v>45499</v>
      </c>
      <c r="D813" s="5" t="s">
        <v>468</v>
      </c>
      <c r="E813" s="5" t="s">
        <v>902</v>
      </c>
      <c r="G813" s="5">
        <v>-19</v>
      </c>
      <c r="H813" s="5">
        <f t="shared" si="50"/>
        <v>19</v>
      </c>
      <c r="I813" s="5">
        <v>-19</v>
      </c>
      <c r="J813" s="5">
        <f t="shared" si="51"/>
        <v>19</v>
      </c>
      <c r="K813" s="5">
        <v>19345.05</v>
      </c>
    </row>
    <row r="814" spans="1:11" x14ac:dyDescent="0.25">
      <c r="A814" s="5">
        <f t="shared" si="48"/>
        <v>2024</v>
      </c>
      <c r="B814" s="5">
        <f t="shared" si="49"/>
        <v>7</v>
      </c>
      <c r="C814" s="6">
        <v>45502</v>
      </c>
      <c r="D814" s="5" t="s">
        <v>473</v>
      </c>
      <c r="E814" s="5" t="s">
        <v>902</v>
      </c>
      <c r="G814" s="5">
        <v>-18.05</v>
      </c>
      <c r="H814" s="5">
        <f t="shared" si="50"/>
        <v>18.05</v>
      </c>
      <c r="I814" s="5">
        <v>-18.05</v>
      </c>
      <c r="J814" s="5">
        <f t="shared" si="51"/>
        <v>18.05</v>
      </c>
      <c r="K814" s="5">
        <v>30526.639999999999</v>
      </c>
    </row>
    <row r="815" spans="1:11" x14ac:dyDescent="0.25">
      <c r="A815" s="5">
        <f t="shared" si="48"/>
        <v>2024</v>
      </c>
      <c r="B815" s="5">
        <f t="shared" si="49"/>
        <v>9</v>
      </c>
      <c r="C815" s="6">
        <v>45555</v>
      </c>
      <c r="D815" s="5" t="s">
        <v>607</v>
      </c>
      <c r="E815" s="5" t="s">
        <v>902</v>
      </c>
      <c r="G815" s="5">
        <v>-18</v>
      </c>
      <c r="H815" s="5">
        <f t="shared" si="50"/>
        <v>18</v>
      </c>
      <c r="I815" s="5">
        <v>-18</v>
      </c>
      <c r="J815" s="5">
        <f t="shared" si="51"/>
        <v>18</v>
      </c>
      <c r="K815" s="5">
        <v>56494.22</v>
      </c>
    </row>
    <row r="816" spans="1:11" x14ac:dyDescent="0.25">
      <c r="A816" s="5">
        <f t="shared" si="48"/>
        <v>2024</v>
      </c>
      <c r="B816" s="5">
        <f t="shared" si="49"/>
        <v>10</v>
      </c>
      <c r="C816" s="6">
        <v>45569</v>
      </c>
      <c r="D816" s="5" t="s">
        <v>651</v>
      </c>
      <c r="E816" s="5" t="s">
        <v>902</v>
      </c>
      <c r="G816" s="5">
        <v>-18</v>
      </c>
      <c r="H816" s="5">
        <f t="shared" si="50"/>
        <v>18</v>
      </c>
      <c r="I816" s="5">
        <v>-18</v>
      </c>
      <c r="J816" s="5">
        <f t="shared" si="51"/>
        <v>18</v>
      </c>
      <c r="K816" s="5">
        <v>41953.77</v>
      </c>
    </row>
    <row r="817" spans="1:11" x14ac:dyDescent="0.25">
      <c r="A817" s="5">
        <f t="shared" si="48"/>
        <v>2024</v>
      </c>
      <c r="B817" s="5">
        <f t="shared" si="49"/>
        <v>10</v>
      </c>
      <c r="C817" s="6">
        <v>45586</v>
      </c>
      <c r="D817" s="5" t="s">
        <v>688</v>
      </c>
      <c r="E817" s="5" t="s">
        <v>902</v>
      </c>
      <c r="G817" s="5">
        <v>-18</v>
      </c>
      <c r="H817" s="5">
        <f t="shared" si="50"/>
        <v>18</v>
      </c>
      <c r="I817" s="5">
        <v>-18</v>
      </c>
      <c r="J817" s="5">
        <f t="shared" si="51"/>
        <v>18</v>
      </c>
      <c r="K817" s="5">
        <v>72412.73</v>
      </c>
    </row>
    <row r="818" spans="1:11" x14ac:dyDescent="0.25">
      <c r="A818" s="5">
        <f t="shared" si="48"/>
        <v>2024</v>
      </c>
      <c r="B818" s="5">
        <f t="shared" si="49"/>
        <v>11</v>
      </c>
      <c r="C818" s="6">
        <v>45600</v>
      </c>
      <c r="D818" s="5" t="s">
        <v>722</v>
      </c>
      <c r="E818" s="5" t="s">
        <v>902</v>
      </c>
      <c r="G818" s="5">
        <v>-18</v>
      </c>
      <c r="H818" s="5">
        <f t="shared" si="50"/>
        <v>18</v>
      </c>
      <c r="I818" s="5">
        <v>-18</v>
      </c>
      <c r="J818" s="5">
        <f t="shared" si="51"/>
        <v>18</v>
      </c>
      <c r="K818" s="5">
        <v>40741.26</v>
      </c>
    </row>
    <row r="819" spans="1:11" x14ac:dyDescent="0.25">
      <c r="A819" s="5">
        <f t="shared" si="48"/>
        <v>2024</v>
      </c>
      <c r="B819" s="5">
        <f t="shared" si="49"/>
        <v>11</v>
      </c>
      <c r="C819" s="6">
        <v>45614</v>
      </c>
      <c r="D819" s="5" t="s">
        <v>749</v>
      </c>
      <c r="E819" s="5" t="s">
        <v>902</v>
      </c>
      <c r="G819" s="5">
        <v>-18</v>
      </c>
      <c r="H819" s="5">
        <f t="shared" si="50"/>
        <v>18</v>
      </c>
      <c r="I819" s="5">
        <v>-18</v>
      </c>
      <c r="J819" s="5">
        <f t="shared" si="51"/>
        <v>18</v>
      </c>
      <c r="K819" s="5">
        <v>4615.67</v>
      </c>
    </row>
    <row r="820" spans="1:11" x14ac:dyDescent="0.25">
      <c r="A820" s="5">
        <f t="shared" si="48"/>
        <v>2024</v>
      </c>
      <c r="B820" s="5">
        <f t="shared" si="49"/>
        <v>3</v>
      </c>
      <c r="C820" s="6">
        <v>45380</v>
      </c>
      <c r="D820" s="5" t="s">
        <v>256</v>
      </c>
      <c r="E820" s="5" t="s">
        <v>902</v>
      </c>
      <c r="G820" s="5">
        <v>-17.010000000000002</v>
      </c>
      <c r="H820" s="5">
        <f t="shared" si="50"/>
        <v>17.010000000000002</v>
      </c>
      <c r="I820" s="5">
        <v>-17.010000000000002</v>
      </c>
      <c r="J820" s="5">
        <f t="shared" si="51"/>
        <v>17.010000000000002</v>
      </c>
      <c r="K820" s="5">
        <v>21459.55</v>
      </c>
    </row>
    <row r="821" spans="1:11" x14ac:dyDescent="0.25">
      <c r="A821" s="5">
        <f t="shared" si="48"/>
        <v>2024</v>
      </c>
      <c r="B821" s="5">
        <f t="shared" si="49"/>
        <v>7</v>
      </c>
      <c r="C821" s="6">
        <v>45504</v>
      </c>
      <c r="D821" s="5" t="s">
        <v>478</v>
      </c>
      <c r="E821" s="5" t="s">
        <v>902</v>
      </c>
      <c r="G821" s="5">
        <v>-16.12</v>
      </c>
      <c r="H821" s="5">
        <f t="shared" si="50"/>
        <v>16.12</v>
      </c>
      <c r="I821" s="5">
        <v>-16.12</v>
      </c>
      <c r="J821" s="5">
        <f t="shared" si="51"/>
        <v>16.12</v>
      </c>
      <c r="K821" s="5">
        <v>31476.95</v>
      </c>
    </row>
    <row r="822" spans="1:11" x14ac:dyDescent="0.25">
      <c r="A822" s="5">
        <f t="shared" si="48"/>
        <v>2024</v>
      </c>
      <c r="B822" s="5">
        <f t="shared" si="49"/>
        <v>3</v>
      </c>
      <c r="C822" s="6">
        <v>45376</v>
      </c>
      <c r="D822" s="5" t="s">
        <v>244</v>
      </c>
      <c r="E822" s="5" t="s">
        <v>902</v>
      </c>
      <c r="G822" s="5">
        <v>-16</v>
      </c>
      <c r="H822" s="5">
        <f t="shared" si="50"/>
        <v>16</v>
      </c>
      <c r="I822" s="5">
        <v>-16</v>
      </c>
      <c r="J822" s="5">
        <f t="shared" si="51"/>
        <v>16</v>
      </c>
      <c r="K822" s="5">
        <v>7569.65</v>
      </c>
    </row>
    <row r="823" spans="1:11" x14ac:dyDescent="0.25">
      <c r="A823" s="5">
        <f t="shared" si="48"/>
        <v>2024</v>
      </c>
      <c r="B823" s="5">
        <f t="shared" si="49"/>
        <v>9</v>
      </c>
      <c r="C823" s="6">
        <v>45541</v>
      </c>
      <c r="D823" s="5" t="s">
        <v>573</v>
      </c>
      <c r="E823" s="5" t="s">
        <v>902</v>
      </c>
      <c r="G823" s="5">
        <v>-16</v>
      </c>
      <c r="H823" s="5">
        <f t="shared" si="50"/>
        <v>16</v>
      </c>
      <c r="I823" s="5">
        <v>-16</v>
      </c>
      <c r="J823" s="5">
        <f t="shared" si="51"/>
        <v>16</v>
      </c>
      <c r="K823" s="5">
        <v>48686.81</v>
      </c>
    </row>
    <row r="824" spans="1:11" x14ac:dyDescent="0.25">
      <c r="A824" s="5">
        <f t="shared" si="48"/>
        <v>2024</v>
      </c>
      <c r="B824" s="5">
        <f t="shared" si="49"/>
        <v>12</v>
      </c>
      <c r="C824" s="6">
        <v>45629</v>
      </c>
      <c r="D824" s="5" t="s">
        <v>775</v>
      </c>
      <c r="E824" s="5" t="s">
        <v>902</v>
      </c>
      <c r="G824" s="5">
        <v>-16</v>
      </c>
      <c r="H824" s="5">
        <f t="shared" si="50"/>
        <v>16</v>
      </c>
      <c r="I824" s="5">
        <v>-16</v>
      </c>
      <c r="J824" s="5">
        <f t="shared" si="51"/>
        <v>16</v>
      </c>
      <c r="K824" s="5">
        <v>3156.27</v>
      </c>
    </row>
    <row r="825" spans="1:11" x14ac:dyDescent="0.25">
      <c r="A825" s="5">
        <f t="shared" si="48"/>
        <v>2024</v>
      </c>
      <c r="B825" s="5">
        <f t="shared" si="49"/>
        <v>12</v>
      </c>
      <c r="C825" s="6">
        <v>45656</v>
      </c>
      <c r="D825" s="5" t="s">
        <v>804</v>
      </c>
      <c r="E825" s="5" t="s">
        <v>902</v>
      </c>
      <c r="G825" s="5">
        <v>-16</v>
      </c>
      <c r="H825" s="5">
        <f t="shared" si="50"/>
        <v>16</v>
      </c>
      <c r="I825" s="5">
        <v>-16</v>
      </c>
      <c r="J825" s="5">
        <f t="shared" si="51"/>
        <v>16</v>
      </c>
      <c r="K825" s="5">
        <v>144366.10999999999</v>
      </c>
    </row>
    <row r="826" spans="1:11" x14ac:dyDescent="0.25">
      <c r="A826" s="5">
        <f t="shared" si="48"/>
        <v>2024</v>
      </c>
      <c r="B826" s="5">
        <f t="shared" si="49"/>
        <v>2</v>
      </c>
      <c r="C826" s="6">
        <v>45324</v>
      </c>
      <c r="D826" s="5" t="s">
        <v>170</v>
      </c>
      <c r="E826" s="5" t="s">
        <v>902</v>
      </c>
      <c r="G826" s="5">
        <v>-15.56</v>
      </c>
      <c r="H826" s="5">
        <f t="shared" si="50"/>
        <v>15.56</v>
      </c>
      <c r="I826" s="5">
        <v>-15.56</v>
      </c>
      <c r="J826" s="5">
        <f t="shared" si="51"/>
        <v>15.56</v>
      </c>
      <c r="K826" s="5">
        <v>36540.6</v>
      </c>
    </row>
    <row r="827" spans="1:11" x14ac:dyDescent="0.25">
      <c r="A827" s="5">
        <f t="shared" si="48"/>
        <v>2024</v>
      </c>
      <c r="B827" s="5">
        <f t="shared" si="49"/>
        <v>4</v>
      </c>
      <c r="C827" s="6">
        <v>45400</v>
      </c>
      <c r="D827" s="5" t="s">
        <v>284</v>
      </c>
      <c r="E827" s="5" t="s">
        <v>902</v>
      </c>
      <c r="G827" s="5">
        <v>-15.37</v>
      </c>
      <c r="H827" s="5">
        <f t="shared" si="50"/>
        <v>15.37</v>
      </c>
      <c r="I827" s="5">
        <v>-15.37</v>
      </c>
      <c r="J827" s="5">
        <f t="shared" si="51"/>
        <v>15.37</v>
      </c>
      <c r="K827" s="5">
        <v>27112.71</v>
      </c>
    </row>
    <row r="828" spans="1:11" x14ac:dyDescent="0.25">
      <c r="A828" s="5">
        <f t="shared" si="48"/>
        <v>2024</v>
      </c>
      <c r="B828" s="5">
        <f t="shared" si="49"/>
        <v>10</v>
      </c>
      <c r="C828" s="6">
        <v>45573</v>
      </c>
      <c r="D828" s="5" t="s">
        <v>654</v>
      </c>
      <c r="E828" s="5" t="s">
        <v>902</v>
      </c>
      <c r="G828" s="5">
        <v>-15.03</v>
      </c>
      <c r="H828" s="5">
        <f t="shared" si="50"/>
        <v>15.03</v>
      </c>
      <c r="I828" s="5">
        <v>-15.03</v>
      </c>
      <c r="J828" s="5">
        <f t="shared" si="51"/>
        <v>15.03</v>
      </c>
      <c r="K828" s="5">
        <v>69743.649999999994</v>
      </c>
    </row>
    <row r="829" spans="1:11" x14ac:dyDescent="0.25">
      <c r="A829" s="5">
        <f t="shared" si="48"/>
        <v>2023</v>
      </c>
      <c r="B829" s="5">
        <f t="shared" si="49"/>
        <v>10</v>
      </c>
      <c r="C829" s="6">
        <v>45209</v>
      </c>
      <c r="D829" s="5" t="s">
        <v>33</v>
      </c>
      <c r="E829" s="5" t="s">
        <v>902</v>
      </c>
      <c r="G829" s="5">
        <v>-15</v>
      </c>
      <c r="H829" s="5">
        <f t="shared" si="50"/>
        <v>15</v>
      </c>
      <c r="I829" s="5">
        <v>-15</v>
      </c>
      <c r="J829" s="5">
        <f t="shared" si="51"/>
        <v>15</v>
      </c>
      <c r="K829" s="5">
        <v>4859.7299999999996</v>
      </c>
    </row>
    <row r="830" spans="1:11" x14ac:dyDescent="0.25">
      <c r="A830" s="5">
        <f t="shared" si="48"/>
        <v>2024</v>
      </c>
      <c r="B830" s="5">
        <f t="shared" si="49"/>
        <v>1</v>
      </c>
      <c r="C830" s="6">
        <v>45320</v>
      </c>
      <c r="D830" s="5" t="s">
        <v>160</v>
      </c>
      <c r="E830" s="5" t="s">
        <v>902</v>
      </c>
      <c r="G830" s="5">
        <v>-14.99</v>
      </c>
      <c r="H830" s="5">
        <f t="shared" si="50"/>
        <v>14.99</v>
      </c>
      <c r="I830" s="5">
        <v>-14.99</v>
      </c>
      <c r="J830" s="5">
        <f t="shared" si="51"/>
        <v>14.99</v>
      </c>
      <c r="K830" s="5">
        <v>26577.42</v>
      </c>
    </row>
    <row r="831" spans="1:11" x14ac:dyDescent="0.25">
      <c r="A831" s="5">
        <f t="shared" si="48"/>
        <v>2024</v>
      </c>
      <c r="B831" s="5">
        <f t="shared" si="49"/>
        <v>2</v>
      </c>
      <c r="C831" s="6">
        <v>45349</v>
      </c>
      <c r="D831" s="5" t="s">
        <v>198</v>
      </c>
      <c r="E831" s="5" t="s">
        <v>902</v>
      </c>
      <c r="G831" s="5">
        <v>-14.99</v>
      </c>
      <c r="H831" s="5">
        <f t="shared" si="50"/>
        <v>14.99</v>
      </c>
      <c r="I831" s="5">
        <v>-14.99</v>
      </c>
      <c r="J831" s="5">
        <f t="shared" si="51"/>
        <v>14.99</v>
      </c>
      <c r="K831" s="5">
        <v>24151.16</v>
      </c>
    </row>
    <row r="832" spans="1:11" x14ac:dyDescent="0.25">
      <c r="A832" s="5">
        <f t="shared" si="48"/>
        <v>2024</v>
      </c>
      <c r="B832" s="5">
        <f t="shared" si="49"/>
        <v>3</v>
      </c>
      <c r="C832" s="6">
        <v>45378</v>
      </c>
      <c r="D832" s="5" t="s">
        <v>245</v>
      </c>
      <c r="E832" s="5" t="s">
        <v>902</v>
      </c>
      <c r="G832" s="5">
        <v>-14.99</v>
      </c>
      <c r="H832" s="5">
        <f t="shared" si="50"/>
        <v>14.99</v>
      </c>
      <c r="I832" s="5">
        <v>-14.99</v>
      </c>
      <c r="J832" s="5">
        <f t="shared" si="51"/>
        <v>14.99</v>
      </c>
      <c r="K832" s="5">
        <v>7554.66</v>
      </c>
    </row>
    <row r="833" spans="1:11" x14ac:dyDescent="0.25">
      <c r="A833" s="5">
        <f t="shared" si="48"/>
        <v>2024</v>
      </c>
      <c r="B833" s="5">
        <f t="shared" si="49"/>
        <v>4</v>
      </c>
      <c r="C833" s="6">
        <v>45411</v>
      </c>
      <c r="D833" s="5" t="s">
        <v>304</v>
      </c>
      <c r="E833" s="5" t="s">
        <v>902</v>
      </c>
      <c r="G833" s="5">
        <v>-14.99</v>
      </c>
      <c r="H833" s="5">
        <f t="shared" si="50"/>
        <v>14.99</v>
      </c>
      <c r="I833" s="5">
        <v>-14.99</v>
      </c>
      <c r="J833" s="5">
        <f t="shared" si="51"/>
        <v>14.99</v>
      </c>
      <c r="K833" s="5">
        <v>21872.23</v>
      </c>
    </row>
    <row r="834" spans="1:11" x14ac:dyDescent="0.25">
      <c r="A834" s="5">
        <f t="shared" si="48"/>
        <v>2024</v>
      </c>
      <c r="B834" s="5">
        <f t="shared" si="49"/>
        <v>5</v>
      </c>
      <c r="C834" s="6">
        <v>45440</v>
      </c>
      <c r="D834" s="5" t="s">
        <v>355</v>
      </c>
      <c r="E834" s="5" t="s">
        <v>902</v>
      </c>
      <c r="G834" s="5">
        <v>-14.99</v>
      </c>
      <c r="H834" s="5">
        <f t="shared" si="50"/>
        <v>14.99</v>
      </c>
      <c r="I834" s="5">
        <v>-14.99</v>
      </c>
      <c r="J834" s="5">
        <f t="shared" si="51"/>
        <v>14.99</v>
      </c>
      <c r="K834" s="5">
        <v>26195.54</v>
      </c>
    </row>
    <row r="835" spans="1:11" x14ac:dyDescent="0.25">
      <c r="A835" s="5">
        <f t="shared" ref="A835:A898" si="52">YEAR(C835)</f>
        <v>2024</v>
      </c>
      <c r="B835" s="5">
        <f t="shared" ref="B835:B898" si="53">MONTH(C835)</f>
        <v>6</v>
      </c>
      <c r="C835" s="6">
        <v>45470</v>
      </c>
      <c r="D835" s="5" t="s">
        <v>403</v>
      </c>
      <c r="E835" s="5" t="s">
        <v>902</v>
      </c>
      <c r="G835" s="5">
        <v>-14.99</v>
      </c>
      <c r="H835" s="5">
        <f t="shared" ref="H835:H885" si="54">(-1*G835)</f>
        <v>14.99</v>
      </c>
      <c r="I835" s="5">
        <v>-14.99</v>
      </c>
      <c r="J835" s="5">
        <f t="shared" ref="J835:J898" si="55">(F835+H835)</f>
        <v>14.99</v>
      </c>
      <c r="K835" s="5">
        <v>78408.36</v>
      </c>
    </row>
    <row r="836" spans="1:11" x14ac:dyDescent="0.25">
      <c r="A836" s="5">
        <f t="shared" si="52"/>
        <v>2024</v>
      </c>
      <c r="B836" s="5">
        <f t="shared" si="53"/>
        <v>7</v>
      </c>
      <c r="C836" s="6">
        <v>45502</v>
      </c>
      <c r="D836" s="5" t="s">
        <v>471</v>
      </c>
      <c r="E836" s="5" t="s">
        <v>902</v>
      </c>
      <c r="G836" s="5">
        <v>-14.99</v>
      </c>
      <c r="H836" s="5">
        <f t="shared" si="54"/>
        <v>14.99</v>
      </c>
      <c r="I836" s="5">
        <v>-14.99</v>
      </c>
      <c r="J836" s="5">
        <f t="shared" si="55"/>
        <v>14.99</v>
      </c>
      <c r="K836" s="5">
        <v>30623.37</v>
      </c>
    </row>
    <row r="837" spans="1:11" x14ac:dyDescent="0.25">
      <c r="A837" s="5">
        <f t="shared" si="52"/>
        <v>2024</v>
      </c>
      <c r="B837" s="5">
        <f t="shared" si="53"/>
        <v>8</v>
      </c>
      <c r="C837" s="6">
        <v>45531</v>
      </c>
      <c r="D837" s="5" t="s">
        <v>537</v>
      </c>
      <c r="E837" s="5" t="s">
        <v>902</v>
      </c>
      <c r="G837" s="5">
        <v>-14.99</v>
      </c>
      <c r="H837" s="5">
        <f t="shared" si="54"/>
        <v>14.99</v>
      </c>
      <c r="I837" s="5">
        <v>-14.99</v>
      </c>
      <c r="J837" s="5">
        <f t="shared" si="55"/>
        <v>14.99</v>
      </c>
      <c r="K837" s="5">
        <v>35250.080000000002</v>
      </c>
    </row>
    <row r="838" spans="1:11" x14ac:dyDescent="0.25">
      <c r="A838" s="5">
        <f t="shared" si="52"/>
        <v>2024</v>
      </c>
      <c r="B838" s="5">
        <f t="shared" si="53"/>
        <v>9</v>
      </c>
      <c r="C838" s="6">
        <v>45562</v>
      </c>
      <c r="D838" s="5" t="s">
        <v>619</v>
      </c>
      <c r="E838" s="5" t="s">
        <v>902</v>
      </c>
      <c r="G838" s="5">
        <v>-14.99</v>
      </c>
      <c r="H838" s="5">
        <f t="shared" si="54"/>
        <v>14.99</v>
      </c>
      <c r="I838" s="5">
        <v>-14.99</v>
      </c>
      <c r="J838" s="5">
        <f t="shared" si="55"/>
        <v>14.99</v>
      </c>
      <c r="K838" s="5">
        <v>77649.759999999995</v>
      </c>
    </row>
    <row r="839" spans="1:11" x14ac:dyDescent="0.25">
      <c r="A839" s="5">
        <f t="shared" si="52"/>
        <v>2024</v>
      </c>
      <c r="B839" s="5">
        <f t="shared" si="53"/>
        <v>10</v>
      </c>
      <c r="C839" s="6">
        <v>45593</v>
      </c>
      <c r="D839" s="5" t="s">
        <v>693</v>
      </c>
      <c r="E839" s="5" t="s">
        <v>902</v>
      </c>
      <c r="G839" s="5">
        <v>-14.99</v>
      </c>
      <c r="H839" s="5">
        <f t="shared" si="54"/>
        <v>14.99</v>
      </c>
      <c r="I839" s="5">
        <v>-14.99</v>
      </c>
      <c r="J839" s="5">
        <f t="shared" si="55"/>
        <v>14.99</v>
      </c>
      <c r="K839" s="5">
        <v>74749.119999999995</v>
      </c>
    </row>
    <row r="840" spans="1:11" x14ac:dyDescent="0.25">
      <c r="A840" s="5">
        <f t="shared" si="52"/>
        <v>2024</v>
      </c>
      <c r="B840" s="5">
        <f t="shared" si="53"/>
        <v>11</v>
      </c>
      <c r="C840" s="6">
        <v>45623</v>
      </c>
      <c r="D840" s="5" t="s">
        <v>760</v>
      </c>
      <c r="E840" s="5" t="s">
        <v>902</v>
      </c>
      <c r="G840" s="5">
        <v>-14.99</v>
      </c>
      <c r="H840" s="5">
        <f t="shared" si="54"/>
        <v>14.99</v>
      </c>
      <c r="I840" s="5">
        <v>-14.99</v>
      </c>
      <c r="J840" s="5">
        <f t="shared" si="55"/>
        <v>14.99</v>
      </c>
      <c r="K840" s="5">
        <v>19846.669999999998</v>
      </c>
    </row>
    <row r="841" spans="1:11" x14ac:dyDescent="0.25">
      <c r="A841" s="5">
        <f t="shared" si="52"/>
        <v>2023</v>
      </c>
      <c r="B841" s="5">
        <f t="shared" si="53"/>
        <v>10</v>
      </c>
      <c r="C841" s="6">
        <v>45217</v>
      </c>
      <c r="D841" s="5" t="s">
        <v>51</v>
      </c>
      <c r="E841" s="5" t="s">
        <v>902</v>
      </c>
      <c r="G841" s="5">
        <v>-14.5</v>
      </c>
      <c r="H841" s="5">
        <f t="shared" si="54"/>
        <v>14.5</v>
      </c>
      <c r="I841" s="5">
        <v>-14.5</v>
      </c>
      <c r="J841" s="5">
        <f t="shared" si="55"/>
        <v>14.5</v>
      </c>
      <c r="K841" s="5">
        <v>13364.86</v>
      </c>
    </row>
    <row r="842" spans="1:11" x14ac:dyDescent="0.25">
      <c r="A842" s="5">
        <f t="shared" si="52"/>
        <v>2024</v>
      </c>
      <c r="B842" s="5">
        <f t="shared" si="53"/>
        <v>10</v>
      </c>
      <c r="C842" s="6">
        <v>45583</v>
      </c>
      <c r="D842" s="5" t="s">
        <v>679</v>
      </c>
      <c r="E842" s="5" t="s">
        <v>902</v>
      </c>
      <c r="G842" s="5">
        <v>-14.19</v>
      </c>
      <c r="H842" s="5">
        <f t="shared" si="54"/>
        <v>14.19</v>
      </c>
      <c r="I842" s="5">
        <v>-14.19</v>
      </c>
      <c r="J842" s="5">
        <f t="shared" si="55"/>
        <v>14.19</v>
      </c>
      <c r="K842" s="5">
        <v>96433.64</v>
      </c>
    </row>
    <row r="843" spans="1:11" x14ac:dyDescent="0.25">
      <c r="A843" s="5">
        <f t="shared" si="52"/>
        <v>2024</v>
      </c>
      <c r="B843" s="5">
        <f t="shared" si="53"/>
        <v>4</v>
      </c>
      <c r="C843" s="6">
        <v>45387</v>
      </c>
      <c r="D843" s="5" t="s">
        <v>271</v>
      </c>
      <c r="E843" s="5" t="s">
        <v>902</v>
      </c>
      <c r="G843" s="5">
        <v>-14</v>
      </c>
      <c r="H843" s="5">
        <f t="shared" si="54"/>
        <v>14</v>
      </c>
      <c r="I843" s="5">
        <v>-14</v>
      </c>
      <c r="J843" s="5">
        <f t="shared" si="55"/>
        <v>14</v>
      </c>
      <c r="K843" s="5">
        <v>12070.34</v>
      </c>
    </row>
    <row r="844" spans="1:11" x14ac:dyDescent="0.25">
      <c r="A844" s="5">
        <f t="shared" si="52"/>
        <v>2024</v>
      </c>
      <c r="B844" s="5">
        <f t="shared" si="53"/>
        <v>4</v>
      </c>
      <c r="C844" s="6">
        <v>45405</v>
      </c>
      <c r="D844" s="5" t="s">
        <v>296</v>
      </c>
      <c r="E844" s="5" t="s">
        <v>902</v>
      </c>
      <c r="G844" s="5">
        <v>-14</v>
      </c>
      <c r="H844" s="5">
        <f t="shared" si="54"/>
        <v>14</v>
      </c>
      <c r="I844" s="5">
        <v>-14</v>
      </c>
      <c r="J844" s="5">
        <f t="shared" si="55"/>
        <v>14</v>
      </c>
      <c r="K844" s="5">
        <v>12193.91</v>
      </c>
    </row>
    <row r="845" spans="1:11" x14ac:dyDescent="0.25">
      <c r="A845" s="5">
        <f t="shared" si="52"/>
        <v>2024</v>
      </c>
      <c r="B845" s="5">
        <f t="shared" si="53"/>
        <v>5</v>
      </c>
      <c r="C845" s="6">
        <v>45419</v>
      </c>
      <c r="D845" s="5" t="s">
        <v>326</v>
      </c>
      <c r="E845" s="5" t="s">
        <v>902</v>
      </c>
      <c r="G845" s="5">
        <v>-14</v>
      </c>
      <c r="H845" s="5">
        <f t="shared" si="54"/>
        <v>14</v>
      </c>
      <c r="I845" s="5">
        <v>-14</v>
      </c>
      <c r="J845" s="5">
        <f t="shared" si="55"/>
        <v>14</v>
      </c>
      <c r="K845" s="5">
        <v>7413.48</v>
      </c>
    </row>
    <row r="846" spans="1:11" x14ac:dyDescent="0.25">
      <c r="A846" s="5">
        <f t="shared" si="52"/>
        <v>2024</v>
      </c>
      <c r="B846" s="5">
        <f t="shared" si="53"/>
        <v>6</v>
      </c>
      <c r="C846" s="6">
        <v>45446</v>
      </c>
      <c r="D846" s="5" t="s">
        <v>366</v>
      </c>
      <c r="E846" s="5" t="s">
        <v>902</v>
      </c>
      <c r="G846" s="5">
        <v>-14</v>
      </c>
      <c r="H846" s="5">
        <f t="shared" si="54"/>
        <v>14</v>
      </c>
      <c r="I846" s="5">
        <v>-14</v>
      </c>
      <c r="J846" s="5">
        <f t="shared" si="55"/>
        <v>14</v>
      </c>
      <c r="K846" s="5">
        <v>5918.54</v>
      </c>
    </row>
    <row r="847" spans="1:11" x14ac:dyDescent="0.25">
      <c r="A847" s="5">
        <f t="shared" si="52"/>
        <v>2024</v>
      </c>
      <c r="B847" s="5">
        <f t="shared" si="53"/>
        <v>6</v>
      </c>
      <c r="C847" s="6">
        <v>45457</v>
      </c>
      <c r="D847" s="5" t="s">
        <v>385</v>
      </c>
      <c r="E847" s="5" t="s">
        <v>902</v>
      </c>
      <c r="G847" s="5">
        <v>-14</v>
      </c>
      <c r="H847" s="5">
        <f t="shared" si="54"/>
        <v>14</v>
      </c>
      <c r="I847" s="5">
        <v>-14</v>
      </c>
      <c r="J847" s="5">
        <f t="shared" si="55"/>
        <v>14</v>
      </c>
      <c r="K847" s="5">
        <v>19841.55</v>
      </c>
    </row>
    <row r="848" spans="1:11" x14ac:dyDescent="0.25">
      <c r="A848" s="5">
        <f t="shared" si="52"/>
        <v>2024</v>
      </c>
      <c r="B848" s="5">
        <f t="shared" si="53"/>
        <v>4</v>
      </c>
      <c r="C848" s="6">
        <v>45393</v>
      </c>
      <c r="D848" s="5" t="s">
        <v>277</v>
      </c>
      <c r="E848" s="5" t="s">
        <v>902</v>
      </c>
      <c r="G848" s="5">
        <v>-13.13</v>
      </c>
      <c r="H848" s="5">
        <f t="shared" si="54"/>
        <v>13.13</v>
      </c>
      <c r="I848" s="5">
        <v>-13.13</v>
      </c>
      <c r="J848" s="5">
        <f t="shared" si="55"/>
        <v>13.13</v>
      </c>
      <c r="K848" s="5">
        <v>36707.279999999999</v>
      </c>
    </row>
    <row r="849" spans="1:11" x14ac:dyDescent="0.25">
      <c r="A849" s="5">
        <f t="shared" si="52"/>
        <v>2024</v>
      </c>
      <c r="B849" s="5">
        <f t="shared" si="53"/>
        <v>9</v>
      </c>
      <c r="C849" s="6">
        <v>45544</v>
      </c>
      <c r="D849" s="5" t="s">
        <v>576</v>
      </c>
      <c r="E849" s="5" t="s">
        <v>902</v>
      </c>
      <c r="G849" s="5">
        <v>-12.57</v>
      </c>
      <c r="H849" s="5">
        <f t="shared" si="54"/>
        <v>12.57</v>
      </c>
      <c r="I849" s="5">
        <v>-12.57</v>
      </c>
      <c r="J849" s="5">
        <f t="shared" si="55"/>
        <v>12.57</v>
      </c>
      <c r="K849" s="5">
        <v>68006.240000000005</v>
      </c>
    </row>
    <row r="850" spans="1:11" x14ac:dyDescent="0.25">
      <c r="A850" s="5">
        <f t="shared" si="52"/>
        <v>2024</v>
      </c>
      <c r="B850" s="5">
        <f t="shared" si="53"/>
        <v>1</v>
      </c>
      <c r="C850" s="6">
        <v>45307</v>
      </c>
      <c r="D850" s="5" t="s">
        <v>144</v>
      </c>
      <c r="E850" s="5" t="s">
        <v>902</v>
      </c>
      <c r="G850" s="5">
        <v>-12.55</v>
      </c>
      <c r="H850" s="5">
        <f t="shared" si="54"/>
        <v>12.55</v>
      </c>
      <c r="I850" s="5">
        <v>-12.55</v>
      </c>
      <c r="J850" s="5">
        <f t="shared" si="55"/>
        <v>12.55</v>
      </c>
      <c r="K850" s="5">
        <v>20298.009999999998</v>
      </c>
    </row>
    <row r="851" spans="1:11" x14ac:dyDescent="0.25">
      <c r="A851" s="5">
        <f t="shared" si="52"/>
        <v>2024</v>
      </c>
      <c r="B851" s="5">
        <f t="shared" si="53"/>
        <v>2</v>
      </c>
      <c r="C851" s="6">
        <v>45345</v>
      </c>
      <c r="D851" s="5" t="s">
        <v>194</v>
      </c>
      <c r="E851" s="5" t="s">
        <v>902</v>
      </c>
      <c r="G851" s="5">
        <v>-11.68</v>
      </c>
      <c r="H851" s="5">
        <f t="shared" si="54"/>
        <v>11.68</v>
      </c>
      <c r="I851" s="5">
        <v>-11.68</v>
      </c>
      <c r="J851" s="5">
        <f t="shared" si="55"/>
        <v>11.68</v>
      </c>
      <c r="K851" s="5">
        <v>17875.099999999999</v>
      </c>
    </row>
    <row r="852" spans="1:11" x14ac:dyDescent="0.25">
      <c r="A852" s="5">
        <f t="shared" si="52"/>
        <v>2024</v>
      </c>
      <c r="B852" s="5">
        <f t="shared" si="53"/>
        <v>7</v>
      </c>
      <c r="C852" s="6">
        <v>45474</v>
      </c>
      <c r="D852" s="5" t="s">
        <v>418</v>
      </c>
      <c r="E852" s="5" t="s">
        <v>902</v>
      </c>
      <c r="G852" s="5">
        <v>-11.02</v>
      </c>
      <c r="H852" s="5">
        <f t="shared" si="54"/>
        <v>11.02</v>
      </c>
      <c r="I852" s="5">
        <v>-11.02</v>
      </c>
      <c r="J852" s="5">
        <f t="shared" si="55"/>
        <v>11.02</v>
      </c>
      <c r="K852" s="5">
        <v>60978.12</v>
      </c>
    </row>
    <row r="853" spans="1:11" x14ac:dyDescent="0.25">
      <c r="A853" s="5">
        <f t="shared" si="52"/>
        <v>2024</v>
      </c>
      <c r="B853" s="5">
        <f t="shared" si="53"/>
        <v>3</v>
      </c>
      <c r="C853" s="6">
        <v>45379</v>
      </c>
      <c r="D853" s="5" t="s">
        <v>252</v>
      </c>
      <c r="E853" s="5" t="s">
        <v>902</v>
      </c>
      <c r="G853" s="5">
        <v>-10.06</v>
      </c>
      <c r="H853" s="5">
        <f t="shared" si="54"/>
        <v>10.06</v>
      </c>
      <c r="I853" s="5">
        <v>-10.06</v>
      </c>
      <c r="J853" s="5">
        <f t="shared" si="55"/>
        <v>10.06</v>
      </c>
      <c r="K853" s="5">
        <v>22469.8</v>
      </c>
    </row>
    <row r="854" spans="1:11" x14ac:dyDescent="0.25">
      <c r="A854" s="5">
        <f t="shared" si="52"/>
        <v>2024</v>
      </c>
      <c r="B854" s="5">
        <f t="shared" si="53"/>
        <v>1</v>
      </c>
      <c r="C854" s="6">
        <v>45320</v>
      </c>
      <c r="D854" s="5" t="s">
        <v>162</v>
      </c>
      <c r="E854" s="5" t="s">
        <v>902</v>
      </c>
      <c r="G854" s="5">
        <v>-10</v>
      </c>
      <c r="H854" s="5">
        <f t="shared" si="54"/>
        <v>10</v>
      </c>
      <c r="I854" s="5">
        <v>-10</v>
      </c>
      <c r="J854" s="5">
        <f t="shared" si="55"/>
        <v>10</v>
      </c>
      <c r="K854" s="5">
        <v>26473.96</v>
      </c>
    </row>
    <row r="855" spans="1:11" x14ac:dyDescent="0.25">
      <c r="A855" s="5">
        <f t="shared" si="52"/>
        <v>2024</v>
      </c>
      <c r="B855" s="5">
        <f t="shared" si="53"/>
        <v>9</v>
      </c>
      <c r="C855" s="6">
        <v>45538</v>
      </c>
      <c r="D855" s="5" t="s">
        <v>559</v>
      </c>
      <c r="E855" s="5" t="s">
        <v>902</v>
      </c>
      <c r="G855" s="5">
        <v>-10</v>
      </c>
      <c r="H855" s="5">
        <f t="shared" si="54"/>
        <v>10</v>
      </c>
      <c r="I855" s="5">
        <v>-10</v>
      </c>
      <c r="J855" s="5">
        <f t="shared" si="55"/>
        <v>10</v>
      </c>
      <c r="K855" s="5">
        <v>70190.820000000007</v>
      </c>
    </row>
    <row r="856" spans="1:11" x14ac:dyDescent="0.25">
      <c r="A856" s="5">
        <f t="shared" si="52"/>
        <v>2025</v>
      </c>
      <c r="B856" s="5">
        <f t="shared" si="53"/>
        <v>1</v>
      </c>
      <c r="C856" s="6">
        <v>45659</v>
      </c>
      <c r="D856" s="5" t="s">
        <v>816</v>
      </c>
      <c r="E856" s="5" t="s">
        <v>902</v>
      </c>
      <c r="G856" s="5">
        <v>-9.1</v>
      </c>
      <c r="H856" s="5">
        <f t="shared" si="54"/>
        <v>9.1</v>
      </c>
      <c r="I856" s="5">
        <v>-9.1</v>
      </c>
      <c r="J856" s="5">
        <f t="shared" si="55"/>
        <v>9.1</v>
      </c>
      <c r="K856" s="5">
        <v>150205.51</v>
      </c>
    </row>
    <row r="857" spans="1:11" x14ac:dyDescent="0.25">
      <c r="A857" s="5">
        <f t="shared" si="52"/>
        <v>2024</v>
      </c>
      <c r="B857" s="5">
        <f t="shared" si="53"/>
        <v>12</v>
      </c>
      <c r="C857" s="6">
        <v>45628</v>
      </c>
      <c r="D857" s="5" t="s">
        <v>767</v>
      </c>
      <c r="E857" s="5" t="s">
        <v>902</v>
      </c>
      <c r="G857" s="5">
        <v>-8.51</v>
      </c>
      <c r="H857" s="5">
        <f t="shared" si="54"/>
        <v>8.51</v>
      </c>
      <c r="I857" s="5">
        <v>-8.51</v>
      </c>
      <c r="J857" s="5">
        <f t="shared" si="55"/>
        <v>8.51</v>
      </c>
      <c r="K857" s="5">
        <v>4390.6899999999996</v>
      </c>
    </row>
    <row r="858" spans="1:11" x14ac:dyDescent="0.25">
      <c r="A858" s="5">
        <f t="shared" si="52"/>
        <v>2024</v>
      </c>
      <c r="B858" s="5">
        <f t="shared" si="53"/>
        <v>3</v>
      </c>
      <c r="C858" s="6">
        <v>45379</v>
      </c>
      <c r="D858" s="5" t="s">
        <v>250</v>
      </c>
      <c r="E858" s="5" t="s">
        <v>902</v>
      </c>
      <c r="G858" s="5">
        <v>-8.5</v>
      </c>
      <c r="H858" s="5">
        <f t="shared" si="54"/>
        <v>8.5</v>
      </c>
      <c r="I858" s="5">
        <v>-8.5</v>
      </c>
      <c r="J858" s="5">
        <f t="shared" si="55"/>
        <v>8.5</v>
      </c>
      <c r="K858" s="5">
        <v>22566.78</v>
      </c>
    </row>
    <row r="859" spans="1:11" x14ac:dyDescent="0.25">
      <c r="A859" s="5">
        <f t="shared" si="52"/>
        <v>2025</v>
      </c>
      <c r="B859" s="5">
        <f t="shared" si="53"/>
        <v>1</v>
      </c>
      <c r="C859" s="6">
        <v>45659</v>
      </c>
      <c r="D859" s="5" t="s">
        <v>814</v>
      </c>
      <c r="E859" s="5" t="s">
        <v>902</v>
      </c>
      <c r="G859" s="5">
        <v>-8.4700000000000006</v>
      </c>
      <c r="H859" s="5">
        <f t="shared" si="54"/>
        <v>8.4700000000000006</v>
      </c>
      <c r="I859" s="5">
        <v>-8.4700000000000006</v>
      </c>
      <c r="J859" s="5">
        <f t="shared" si="55"/>
        <v>8.4700000000000006</v>
      </c>
      <c r="K859" s="5">
        <v>150394.32</v>
      </c>
    </row>
    <row r="860" spans="1:11" x14ac:dyDescent="0.25">
      <c r="A860" s="5">
        <f t="shared" si="52"/>
        <v>2025</v>
      </c>
      <c r="B860" s="5">
        <f t="shared" si="53"/>
        <v>1</v>
      </c>
      <c r="C860" s="6">
        <v>45659</v>
      </c>
      <c r="D860" s="5" t="s">
        <v>812</v>
      </c>
      <c r="E860" s="5" t="s">
        <v>902</v>
      </c>
      <c r="G860" s="5">
        <v>-8.26</v>
      </c>
      <c r="H860" s="5">
        <f t="shared" si="54"/>
        <v>8.26</v>
      </c>
      <c r="I860" s="5">
        <v>-8.26</v>
      </c>
      <c r="J860" s="5">
        <f t="shared" si="55"/>
        <v>8.26</v>
      </c>
      <c r="K860" s="5">
        <v>150572.62</v>
      </c>
    </row>
    <row r="861" spans="1:11" x14ac:dyDescent="0.25">
      <c r="A861" s="5">
        <f t="shared" si="52"/>
        <v>2024</v>
      </c>
      <c r="B861" s="5">
        <f t="shared" si="53"/>
        <v>12</v>
      </c>
      <c r="C861" s="6">
        <v>45631</v>
      </c>
      <c r="D861" s="5" t="s">
        <v>778</v>
      </c>
      <c r="E861" s="5" t="s">
        <v>902</v>
      </c>
      <c r="G861" s="5">
        <v>-7.53</v>
      </c>
      <c r="H861" s="5">
        <f t="shared" si="54"/>
        <v>7.53</v>
      </c>
      <c r="I861" s="5">
        <v>-7.53</v>
      </c>
      <c r="J861" s="5">
        <f t="shared" si="55"/>
        <v>7.53</v>
      </c>
      <c r="K861" s="5">
        <v>2049.19</v>
      </c>
    </row>
    <row r="862" spans="1:11" x14ac:dyDescent="0.25">
      <c r="A862" s="5">
        <f t="shared" si="52"/>
        <v>2024</v>
      </c>
      <c r="B862" s="5">
        <f t="shared" si="53"/>
        <v>7</v>
      </c>
      <c r="C862" s="6">
        <v>45502</v>
      </c>
      <c r="D862" s="5" t="s">
        <v>475</v>
      </c>
      <c r="E862" s="5" t="s">
        <v>902</v>
      </c>
      <c r="G862" s="5">
        <v>-7.28</v>
      </c>
      <c r="H862" s="5">
        <f t="shared" si="54"/>
        <v>7.28</v>
      </c>
      <c r="I862" s="5">
        <v>-7.28</v>
      </c>
      <c r="J862" s="5">
        <f t="shared" si="55"/>
        <v>7.28</v>
      </c>
      <c r="K862" s="5">
        <v>30466.26</v>
      </c>
    </row>
    <row r="863" spans="1:11" x14ac:dyDescent="0.25">
      <c r="A863" s="5">
        <f t="shared" si="52"/>
        <v>2024</v>
      </c>
      <c r="B863" s="5">
        <f t="shared" si="53"/>
        <v>3</v>
      </c>
      <c r="C863" s="6">
        <v>45357</v>
      </c>
      <c r="D863" s="5" t="s">
        <v>212</v>
      </c>
      <c r="E863" s="5" t="s">
        <v>902</v>
      </c>
      <c r="G863" s="5">
        <v>-6.36</v>
      </c>
      <c r="H863" s="5">
        <f t="shared" si="54"/>
        <v>6.36</v>
      </c>
      <c r="I863" s="5">
        <v>-6.36</v>
      </c>
      <c r="J863" s="5">
        <f t="shared" si="55"/>
        <v>6.36</v>
      </c>
      <c r="K863" s="5">
        <v>45815.360000000001</v>
      </c>
    </row>
    <row r="864" spans="1:11" x14ac:dyDescent="0.25">
      <c r="A864" s="5">
        <f t="shared" si="52"/>
        <v>2024</v>
      </c>
      <c r="B864" s="5">
        <f t="shared" si="53"/>
        <v>5</v>
      </c>
      <c r="C864" s="6">
        <v>45418</v>
      </c>
      <c r="D864" s="5" t="s">
        <v>321</v>
      </c>
      <c r="E864" s="5" t="s">
        <v>902</v>
      </c>
      <c r="G864" s="5">
        <v>-6.36</v>
      </c>
      <c r="H864" s="5">
        <f t="shared" si="54"/>
        <v>6.36</v>
      </c>
      <c r="I864" s="5">
        <v>-6.36</v>
      </c>
      <c r="J864" s="5">
        <f t="shared" si="55"/>
        <v>6.36</v>
      </c>
      <c r="K864" s="5">
        <v>10121.01</v>
      </c>
    </row>
    <row r="865" spans="1:11" x14ac:dyDescent="0.25">
      <c r="A865" s="5">
        <f t="shared" si="52"/>
        <v>2024</v>
      </c>
      <c r="B865" s="5">
        <f t="shared" si="53"/>
        <v>6</v>
      </c>
      <c r="C865" s="6">
        <v>45449</v>
      </c>
      <c r="D865" s="5" t="s">
        <v>372</v>
      </c>
      <c r="E865" s="5" t="s">
        <v>902</v>
      </c>
      <c r="G865" s="5">
        <v>-6.36</v>
      </c>
      <c r="H865" s="5">
        <f t="shared" si="54"/>
        <v>6.36</v>
      </c>
      <c r="I865" s="5">
        <v>-6.36</v>
      </c>
      <c r="J865" s="5">
        <f t="shared" si="55"/>
        <v>6.36</v>
      </c>
      <c r="K865" s="5">
        <v>25335.4</v>
      </c>
    </row>
    <row r="866" spans="1:11" x14ac:dyDescent="0.25">
      <c r="A866" s="5">
        <f t="shared" si="52"/>
        <v>2024</v>
      </c>
      <c r="B866" s="5">
        <f t="shared" si="53"/>
        <v>7</v>
      </c>
      <c r="C866" s="6">
        <v>45478</v>
      </c>
      <c r="D866" s="5" t="s">
        <v>427</v>
      </c>
      <c r="E866" s="5" t="s">
        <v>902</v>
      </c>
      <c r="G866" s="5">
        <v>-6.36</v>
      </c>
      <c r="H866" s="5">
        <f t="shared" si="54"/>
        <v>6.36</v>
      </c>
      <c r="I866" s="5">
        <v>-6.36</v>
      </c>
      <c r="J866" s="5">
        <f t="shared" si="55"/>
        <v>6.36</v>
      </c>
      <c r="K866" s="5">
        <v>71665</v>
      </c>
    </row>
    <row r="867" spans="1:11" x14ac:dyDescent="0.25">
      <c r="A867" s="5">
        <f t="shared" si="52"/>
        <v>2024</v>
      </c>
      <c r="B867" s="5">
        <f t="shared" si="53"/>
        <v>8</v>
      </c>
      <c r="C867" s="6">
        <v>45509</v>
      </c>
      <c r="D867" s="5" t="s">
        <v>494</v>
      </c>
      <c r="E867" s="5" t="s">
        <v>902</v>
      </c>
      <c r="G867" s="5">
        <v>-6.36</v>
      </c>
      <c r="H867" s="5">
        <f t="shared" si="54"/>
        <v>6.36</v>
      </c>
      <c r="I867" s="5">
        <v>-6.36</v>
      </c>
      <c r="J867" s="5">
        <f t="shared" si="55"/>
        <v>6.36</v>
      </c>
      <c r="K867" s="5">
        <v>42052.24</v>
      </c>
    </row>
    <row r="868" spans="1:11" x14ac:dyDescent="0.25">
      <c r="A868" s="5">
        <f t="shared" si="52"/>
        <v>2024</v>
      </c>
      <c r="B868" s="5">
        <f t="shared" si="53"/>
        <v>10</v>
      </c>
      <c r="C868" s="6">
        <v>45594</v>
      </c>
      <c r="D868" s="5" t="s">
        <v>695</v>
      </c>
      <c r="E868" s="5" t="s">
        <v>902</v>
      </c>
      <c r="G868" s="5">
        <v>-5.83</v>
      </c>
      <c r="H868" s="5">
        <f t="shared" si="54"/>
        <v>5.83</v>
      </c>
      <c r="I868" s="5">
        <v>-5.83</v>
      </c>
      <c r="J868" s="5">
        <f t="shared" si="55"/>
        <v>5.83</v>
      </c>
      <c r="K868" s="5">
        <v>74831.929999999993</v>
      </c>
    </row>
    <row r="869" spans="1:11" x14ac:dyDescent="0.25">
      <c r="A869" s="5">
        <f t="shared" si="52"/>
        <v>2024</v>
      </c>
      <c r="B869" s="5">
        <f t="shared" si="53"/>
        <v>1</v>
      </c>
      <c r="C869" s="6">
        <v>45317</v>
      </c>
      <c r="D869" s="5" t="s">
        <v>158</v>
      </c>
      <c r="E869" s="5" t="s">
        <v>902</v>
      </c>
      <c r="G869" s="5">
        <v>-5.79</v>
      </c>
      <c r="H869" s="5">
        <f t="shared" si="54"/>
        <v>5.79</v>
      </c>
      <c r="I869" s="5">
        <v>-5.79</v>
      </c>
      <c r="J869" s="5">
        <f t="shared" si="55"/>
        <v>5.79</v>
      </c>
      <c r="K869" s="5">
        <v>27159.94</v>
      </c>
    </row>
    <row r="870" spans="1:11" x14ac:dyDescent="0.25">
      <c r="A870" s="5">
        <f t="shared" si="52"/>
        <v>2023</v>
      </c>
      <c r="B870" s="5">
        <f t="shared" si="53"/>
        <v>11</v>
      </c>
      <c r="C870" s="6">
        <v>45232</v>
      </c>
      <c r="D870" s="5" t="s">
        <v>63</v>
      </c>
      <c r="E870" s="5" t="s">
        <v>902</v>
      </c>
      <c r="G870" s="5">
        <v>-1</v>
      </c>
      <c r="H870" s="5">
        <f t="shared" si="54"/>
        <v>1</v>
      </c>
      <c r="I870" s="5">
        <v>-1</v>
      </c>
      <c r="J870" s="5">
        <f t="shared" si="55"/>
        <v>1</v>
      </c>
      <c r="K870" s="5">
        <v>12491.24</v>
      </c>
    </row>
    <row r="871" spans="1:11" x14ac:dyDescent="0.25">
      <c r="A871" s="5">
        <f t="shared" si="52"/>
        <v>2023</v>
      </c>
      <c r="B871" s="5">
        <f t="shared" si="53"/>
        <v>11</v>
      </c>
      <c r="C871" s="6">
        <v>45259</v>
      </c>
      <c r="D871" s="5" t="s">
        <v>80</v>
      </c>
      <c r="E871" s="5" t="s">
        <v>902</v>
      </c>
      <c r="G871" s="5">
        <v>-1</v>
      </c>
      <c r="H871" s="5">
        <f t="shared" si="54"/>
        <v>1</v>
      </c>
      <c r="I871" s="5">
        <v>-1</v>
      </c>
      <c r="J871" s="5">
        <f t="shared" si="55"/>
        <v>1</v>
      </c>
      <c r="K871" s="5">
        <v>33454.879999999997</v>
      </c>
    </row>
    <row r="872" spans="1:11" x14ac:dyDescent="0.25">
      <c r="A872" s="5">
        <f t="shared" si="52"/>
        <v>2023</v>
      </c>
      <c r="B872" s="5">
        <f t="shared" si="53"/>
        <v>12</v>
      </c>
      <c r="C872" s="6">
        <v>45264</v>
      </c>
      <c r="D872" s="5" t="s">
        <v>89</v>
      </c>
      <c r="E872" s="5" t="s">
        <v>902</v>
      </c>
      <c r="G872" s="5">
        <v>-1</v>
      </c>
      <c r="H872" s="5">
        <f t="shared" si="54"/>
        <v>1</v>
      </c>
      <c r="I872" s="5">
        <v>-1</v>
      </c>
      <c r="J872" s="5">
        <f t="shared" si="55"/>
        <v>1</v>
      </c>
      <c r="K872" s="5">
        <v>19176.990000000002</v>
      </c>
    </row>
    <row r="873" spans="1:11" x14ac:dyDescent="0.25">
      <c r="A873" s="5">
        <f t="shared" si="52"/>
        <v>2024</v>
      </c>
      <c r="B873" s="5">
        <f t="shared" si="53"/>
        <v>1</v>
      </c>
      <c r="C873" s="6">
        <v>45294</v>
      </c>
      <c r="D873" s="5" t="s">
        <v>122</v>
      </c>
      <c r="E873" s="5" t="s">
        <v>902</v>
      </c>
      <c r="G873" s="5">
        <v>-1</v>
      </c>
      <c r="H873" s="5">
        <f t="shared" si="54"/>
        <v>1</v>
      </c>
      <c r="I873" s="5">
        <v>-1</v>
      </c>
      <c r="J873" s="5">
        <f t="shared" si="55"/>
        <v>1</v>
      </c>
      <c r="K873" s="5">
        <v>28348.5</v>
      </c>
    </row>
    <row r="874" spans="1:11" x14ac:dyDescent="0.25">
      <c r="A874" s="5">
        <f t="shared" si="52"/>
        <v>2024</v>
      </c>
      <c r="B874" s="5">
        <f t="shared" si="53"/>
        <v>2</v>
      </c>
      <c r="C874" s="6">
        <v>45324</v>
      </c>
      <c r="D874" s="5" t="s">
        <v>172</v>
      </c>
      <c r="E874" s="5" t="s">
        <v>902</v>
      </c>
      <c r="G874" s="5">
        <v>-1</v>
      </c>
      <c r="H874" s="5">
        <f t="shared" si="54"/>
        <v>1</v>
      </c>
      <c r="I874" s="5">
        <v>-1</v>
      </c>
      <c r="J874" s="5">
        <f t="shared" si="55"/>
        <v>1</v>
      </c>
      <c r="K874" s="5">
        <v>36503.9</v>
      </c>
    </row>
    <row r="875" spans="1:11" x14ac:dyDescent="0.25">
      <c r="A875" s="5">
        <f t="shared" si="52"/>
        <v>2024</v>
      </c>
      <c r="B875" s="5">
        <f t="shared" si="53"/>
        <v>3</v>
      </c>
      <c r="C875" s="6">
        <v>45355</v>
      </c>
      <c r="D875" s="5" t="s">
        <v>211</v>
      </c>
      <c r="E875" s="5" t="s">
        <v>902</v>
      </c>
      <c r="G875" s="5">
        <v>-1</v>
      </c>
      <c r="H875" s="5">
        <f t="shared" si="54"/>
        <v>1</v>
      </c>
      <c r="I875" s="5">
        <v>-1</v>
      </c>
      <c r="J875" s="5">
        <f t="shared" si="55"/>
        <v>1</v>
      </c>
      <c r="K875" s="5">
        <v>27871.72</v>
      </c>
    </row>
    <row r="876" spans="1:11" x14ac:dyDescent="0.25">
      <c r="A876" s="5">
        <f t="shared" si="52"/>
        <v>2024</v>
      </c>
      <c r="B876" s="5">
        <f t="shared" si="53"/>
        <v>4</v>
      </c>
      <c r="C876" s="6">
        <v>45384</v>
      </c>
      <c r="D876" s="5" t="s">
        <v>265</v>
      </c>
      <c r="E876" s="5" t="s">
        <v>902</v>
      </c>
      <c r="G876" s="5">
        <v>-1</v>
      </c>
      <c r="H876" s="5">
        <f t="shared" si="54"/>
        <v>1</v>
      </c>
      <c r="I876" s="5">
        <v>-1</v>
      </c>
      <c r="J876" s="5">
        <f t="shared" si="55"/>
        <v>1</v>
      </c>
      <c r="K876" s="5">
        <v>34720.160000000003</v>
      </c>
    </row>
    <row r="877" spans="1:11" x14ac:dyDescent="0.25">
      <c r="A877" s="5">
        <f t="shared" si="52"/>
        <v>2024</v>
      </c>
      <c r="B877" s="5">
        <f t="shared" si="53"/>
        <v>5</v>
      </c>
      <c r="C877" s="6">
        <v>45414</v>
      </c>
      <c r="D877" s="5" t="s">
        <v>315</v>
      </c>
      <c r="E877" s="5" t="s">
        <v>902</v>
      </c>
      <c r="G877" s="5">
        <v>-1</v>
      </c>
      <c r="H877" s="5">
        <f t="shared" si="54"/>
        <v>1</v>
      </c>
      <c r="I877" s="5">
        <v>-1</v>
      </c>
      <c r="J877" s="5">
        <f t="shared" si="55"/>
        <v>1</v>
      </c>
      <c r="K877" s="5">
        <v>27234.36</v>
      </c>
    </row>
    <row r="878" spans="1:11" x14ac:dyDescent="0.25">
      <c r="A878" s="5">
        <f t="shared" si="52"/>
        <v>2024</v>
      </c>
      <c r="B878" s="5">
        <f t="shared" si="53"/>
        <v>6</v>
      </c>
      <c r="C878" s="6">
        <v>45447</v>
      </c>
      <c r="D878" s="5" t="s">
        <v>371</v>
      </c>
      <c r="E878" s="5" t="s">
        <v>902</v>
      </c>
      <c r="G878" s="5">
        <v>-1</v>
      </c>
      <c r="H878" s="5">
        <f t="shared" si="54"/>
        <v>1</v>
      </c>
      <c r="I878" s="5">
        <v>-1</v>
      </c>
      <c r="J878" s="5">
        <f t="shared" si="55"/>
        <v>1</v>
      </c>
      <c r="K878" s="5">
        <v>25341.759999999998</v>
      </c>
    </row>
    <row r="879" spans="1:11" x14ac:dyDescent="0.25">
      <c r="A879" s="5">
        <f t="shared" si="52"/>
        <v>2024</v>
      </c>
      <c r="B879" s="5">
        <f t="shared" si="53"/>
        <v>7</v>
      </c>
      <c r="C879" s="6">
        <v>45475</v>
      </c>
      <c r="D879" s="5" t="s">
        <v>425</v>
      </c>
      <c r="E879" s="5" t="s">
        <v>902</v>
      </c>
      <c r="G879" s="5">
        <v>-1</v>
      </c>
      <c r="H879" s="5">
        <f t="shared" si="54"/>
        <v>1</v>
      </c>
      <c r="I879" s="5">
        <v>-1</v>
      </c>
      <c r="J879" s="5">
        <f t="shared" si="55"/>
        <v>1</v>
      </c>
      <c r="K879" s="5">
        <v>71921.960000000006</v>
      </c>
    </row>
    <row r="880" spans="1:11" x14ac:dyDescent="0.25">
      <c r="A880" s="5">
        <f t="shared" si="52"/>
        <v>2024</v>
      </c>
      <c r="B880" s="5">
        <f t="shared" si="53"/>
        <v>8</v>
      </c>
      <c r="C880" s="6">
        <v>45506</v>
      </c>
      <c r="D880" s="5" t="s">
        <v>489</v>
      </c>
      <c r="E880" s="5" t="s">
        <v>902</v>
      </c>
      <c r="G880" s="5">
        <v>-1</v>
      </c>
      <c r="H880" s="5">
        <f t="shared" si="54"/>
        <v>1</v>
      </c>
      <c r="I880" s="5">
        <v>-1</v>
      </c>
      <c r="J880" s="5">
        <f t="shared" si="55"/>
        <v>1</v>
      </c>
      <c r="K880" s="5">
        <v>44054.15</v>
      </c>
    </row>
    <row r="881" spans="1:11" x14ac:dyDescent="0.25">
      <c r="A881" s="5">
        <f t="shared" si="52"/>
        <v>2024</v>
      </c>
      <c r="B881" s="5">
        <f t="shared" si="53"/>
        <v>9</v>
      </c>
      <c r="C881" s="6">
        <v>45539</v>
      </c>
      <c r="D881" s="5" t="s">
        <v>563</v>
      </c>
      <c r="E881" s="5" t="s">
        <v>902</v>
      </c>
      <c r="G881" s="5">
        <v>-1</v>
      </c>
      <c r="H881" s="5">
        <f t="shared" si="54"/>
        <v>1</v>
      </c>
      <c r="I881" s="5">
        <v>-1</v>
      </c>
      <c r="J881" s="5">
        <f t="shared" si="55"/>
        <v>1</v>
      </c>
      <c r="K881" s="5">
        <v>70126.92</v>
      </c>
    </row>
    <row r="882" spans="1:11" x14ac:dyDescent="0.25">
      <c r="A882" s="5">
        <f t="shared" si="52"/>
        <v>2024</v>
      </c>
      <c r="B882" s="5">
        <f t="shared" si="53"/>
        <v>9</v>
      </c>
      <c r="C882" s="6">
        <v>45541</v>
      </c>
      <c r="D882" s="5" t="s">
        <v>574</v>
      </c>
      <c r="E882" s="5" t="s">
        <v>902</v>
      </c>
      <c r="G882" s="5">
        <v>-1</v>
      </c>
      <c r="H882" s="5">
        <f t="shared" si="54"/>
        <v>1</v>
      </c>
      <c r="I882" s="5">
        <v>-1</v>
      </c>
      <c r="J882" s="5">
        <f t="shared" si="55"/>
        <v>1</v>
      </c>
      <c r="K882" s="5">
        <v>48685.81</v>
      </c>
    </row>
    <row r="883" spans="1:11" x14ac:dyDescent="0.25">
      <c r="A883" s="5">
        <f t="shared" si="52"/>
        <v>2024</v>
      </c>
      <c r="B883" s="5">
        <f t="shared" si="53"/>
        <v>10</v>
      </c>
      <c r="C883" s="6">
        <v>45567</v>
      </c>
      <c r="D883" s="5" t="s">
        <v>638</v>
      </c>
      <c r="E883" s="5" t="s">
        <v>902</v>
      </c>
      <c r="G883" s="5">
        <v>-1</v>
      </c>
      <c r="H883" s="5">
        <f t="shared" si="54"/>
        <v>1</v>
      </c>
      <c r="I883" s="5">
        <v>-1</v>
      </c>
      <c r="J883" s="5">
        <f t="shared" si="55"/>
        <v>1</v>
      </c>
      <c r="K883" s="5">
        <v>77546.679999999993</v>
      </c>
    </row>
    <row r="884" spans="1:11" x14ac:dyDescent="0.25">
      <c r="A884" s="5">
        <f t="shared" si="52"/>
        <v>2024</v>
      </c>
      <c r="B884" s="5">
        <f t="shared" si="53"/>
        <v>11</v>
      </c>
      <c r="C884" s="6">
        <v>45600</v>
      </c>
      <c r="D884" s="5" t="s">
        <v>723</v>
      </c>
      <c r="E884" s="5" t="s">
        <v>902</v>
      </c>
      <c r="G884" s="5">
        <v>-1</v>
      </c>
      <c r="H884" s="5">
        <f t="shared" si="54"/>
        <v>1</v>
      </c>
      <c r="I884" s="5">
        <v>-1</v>
      </c>
      <c r="J884" s="5">
        <f t="shared" si="55"/>
        <v>1</v>
      </c>
      <c r="K884" s="5">
        <v>40740.26</v>
      </c>
    </row>
    <row r="885" spans="1:11" x14ac:dyDescent="0.25">
      <c r="A885" s="5">
        <f t="shared" si="52"/>
        <v>2024</v>
      </c>
      <c r="B885" s="5">
        <f t="shared" si="53"/>
        <v>5</v>
      </c>
      <c r="C885" s="6">
        <v>45413</v>
      </c>
      <c r="D885" s="5" t="s">
        <v>308</v>
      </c>
      <c r="E885" s="5" t="s">
        <v>902</v>
      </c>
      <c r="G885" s="5">
        <v>-7.0000000000000007E-2</v>
      </c>
      <c r="H885" s="5">
        <f t="shared" si="54"/>
        <v>7.0000000000000007E-2</v>
      </c>
      <c r="I885" s="5">
        <v>-7.0000000000000007E-2</v>
      </c>
      <c r="J885" s="5">
        <f t="shared" si="55"/>
        <v>7.0000000000000007E-2</v>
      </c>
      <c r="K885" s="5">
        <v>15741.24</v>
      </c>
    </row>
    <row r="886" spans="1:11" x14ac:dyDescent="0.25">
      <c r="A886" s="5">
        <f t="shared" si="52"/>
        <v>2024</v>
      </c>
      <c r="B886" s="5">
        <f t="shared" si="53"/>
        <v>12</v>
      </c>
      <c r="C886" s="6">
        <v>45646</v>
      </c>
      <c r="D886" s="5" t="s">
        <v>795</v>
      </c>
      <c r="E886" s="5" t="s">
        <v>901</v>
      </c>
      <c r="F886" s="5">
        <v>0.04</v>
      </c>
      <c r="I886" s="5">
        <v>0.04</v>
      </c>
      <c r="J886" s="5">
        <f t="shared" si="55"/>
        <v>0.04</v>
      </c>
      <c r="K886" s="5">
        <v>44277.01</v>
      </c>
    </row>
    <row r="887" spans="1:11" x14ac:dyDescent="0.25">
      <c r="A887" s="5">
        <f t="shared" si="52"/>
        <v>2024</v>
      </c>
      <c r="B887" s="5">
        <f t="shared" si="53"/>
        <v>10</v>
      </c>
      <c r="C887" s="6">
        <v>45574</v>
      </c>
      <c r="D887" s="5" t="s">
        <v>658</v>
      </c>
      <c r="E887" s="5" t="s">
        <v>901</v>
      </c>
      <c r="F887" s="5">
        <v>1.64</v>
      </c>
      <c r="I887" s="5">
        <v>1.64</v>
      </c>
      <c r="J887" s="5">
        <f t="shared" si="55"/>
        <v>1.64</v>
      </c>
      <c r="K887" s="5">
        <v>69518.98</v>
      </c>
    </row>
    <row r="888" spans="1:11" x14ac:dyDescent="0.25">
      <c r="A888" s="5">
        <f t="shared" si="52"/>
        <v>2024</v>
      </c>
      <c r="B888" s="5">
        <f t="shared" si="53"/>
        <v>10</v>
      </c>
      <c r="C888" s="6">
        <v>45574</v>
      </c>
      <c r="D888" s="5" t="s">
        <v>658</v>
      </c>
      <c r="E888" s="5" t="s">
        <v>901</v>
      </c>
      <c r="F888" s="5">
        <v>2.02</v>
      </c>
      <c r="I888" s="5">
        <v>2.02</v>
      </c>
      <c r="J888" s="5">
        <f t="shared" si="55"/>
        <v>2.02</v>
      </c>
      <c r="K888" s="5">
        <v>69517.34</v>
      </c>
    </row>
    <row r="889" spans="1:11" x14ac:dyDescent="0.25">
      <c r="A889" s="5">
        <f t="shared" si="52"/>
        <v>2024</v>
      </c>
      <c r="B889" s="5">
        <f t="shared" si="53"/>
        <v>10</v>
      </c>
      <c r="C889" s="6">
        <v>45574</v>
      </c>
      <c r="D889" s="5" t="s">
        <v>658</v>
      </c>
      <c r="E889" s="5" t="s">
        <v>901</v>
      </c>
      <c r="F889" s="5">
        <v>3.33</v>
      </c>
      <c r="I889" s="5">
        <v>3.33</v>
      </c>
      <c r="J889" s="5">
        <f t="shared" si="55"/>
        <v>3.33</v>
      </c>
      <c r="K889" s="5">
        <v>69515.320000000007</v>
      </c>
    </row>
    <row r="890" spans="1:11" x14ac:dyDescent="0.25">
      <c r="A890" s="5">
        <f t="shared" si="52"/>
        <v>2023</v>
      </c>
      <c r="B890" s="5">
        <f t="shared" si="53"/>
        <v>10</v>
      </c>
      <c r="C890" s="6">
        <v>45224</v>
      </c>
      <c r="D890" s="5" t="s">
        <v>22</v>
      </c>
      <c r="E890" s="5" t="s">
        <v>901</v>
      </c>
      <c r="F890" s="5">
        <v>5.5</v>
      </c>
      <c r="I890" s="5">
        <v>5.5</v>
      </c>
      <c r="J890" s="5">
        <f t="shared" si="55"/>
        <v>5.5</v>
      </c>
      <c r="K890" s="5">
        <v>37674.57</v>
      </c>
    </row>
    <row r="891" spans="1:11" x14ac:dyDescent="0.25">
      <c r="A891" s="5">
        <f t="shared" si="52"/>
        <v>2024</v>
      </c>
      <c r="B891" s="5">
        <f t="shared" si="53"/>
        <v>5</v>
      </c>
      <c r="C891" s="6">
        <v>45436</v>
      </c>
      <c r="D891" s="5" t="s">
        <v>346</v>
      </c>
      <c r="E891" s="5" t="s">
        <v>901</v>
      </c>
      <c r="F891" s="5">
        <v>28.26</v>
      </c>
      <c r="I891" s="5">
        <v>28.26</v>
      </c>
      <c r="J891" s="5">
        <f t="shared" si="55"/>
        <v>28.26</v>
      </c>
      <c r="K891" s="5">
        <v>18534.87</v>
      </c>
    </row>
    <row r="892" spans="1:11" x14ac:dyDescent="0.25">
      <c r="A892" s="5">
        <f t="shared" si="52"/>
        <v>2024</v>
      </c>
      <c r="B892" s="5">
        <f t="shared" si="53"/>
        <v>5</v>
      </c>
      <c r="C892" s="6">
        <v>45414</v>
      </c>
      <c r="D892" s="5" t="s">
        <v>308</v>
      </c>
      <c r="E892" s="5" t="s">
        <v>901</v>
      </c>
      <c r="F892" s="5">
        <v>32.01</v>
      </c>
      <c r="I892" s="5">
        <v>32.01</v>
      </c>
      <c r="J892" s="5">
        <f t="shared" si="55"/>
        <v>32.01</v>
      </c>
      <c r="K892" s="5">
        <v>27873.25</v>
      </c>
    </row>
    <row r="893" spans="1:11" x14ac:dyDescent="0.25">
      <c r="A893" s="5">
        <f t="shared" si="52"/>
        <v>2024</v>
      </c>
      <c r="B893" s="5">
        <f t="shared" si="53"/>
        <v>6</v>
      </c>
      <c r="C893" s="6">
        <v>45447</v>
      </c>
      <c r="D893" s="5" t="s">
        <v>308</v>
      </c>
      <c r="E893" s="5" t="s">
        <v>901</v>
      </c>
      <c r="F893" s="5">
        <v>42.24</v>
      </c>
      <c r="I893" s="5">
        <v>42.24</v>
      </c>
      <c r="J893" s="5">
        <f t="shared" si="55"/>
        <v>42.24</v>
      </c>
      <c r="K893" s="5">
        <v>25960.78</v>
      </c>
    </row>
    <row r="894" spans="1:11" x14ac:dyDescent="0.25">
      <c r="A894" s="5">
        <f t="shared" si="52"/>
        <v>2024</v>
      </c>
      <c r="B894" s="5">
        <f t="shared" si="53"/>
        <v>12</v>
      </c>
      <c r="C894" s="6">
        <v>45646</v>
      </c>
      <c r="D894" s="5" t="s">
        <v>795</v>
      </c>
      <c r="E894" s="5" t="s">
        <v>901</v>
      </c>
      <c r="F894" s="5">
        <v>45.2</v>
      </c>
      <c r="I894" s="5">
        <v>45.2</v>
      </c>
      <c r="J894" s="5">
        <f t="shared" si="55"/>
        <v>45.2</v>
      </c>
      <c r="K894" s="5">
        <v>44276.97</v>
      </c>
    </row>
    <row r="895" spans="1:11" x14ac:dyDescent="0.25">
      <c r="A895" s="5">
        <f t="shared" si="52"/>
        <v>2025</v>
      </c>
      <c r="B895" s="5">
        <f t="shared" si="53"/>
        <v>2</v>
      </c>
      <c r="C895" s="6">
        <v>45715</v>
      </c>
      <c r="D895" s="5" t="s">
        <v>785</v>
      </c>
      <c r="E895" s="5" t="s">
        <v>901</v>
      </c>
      <c r="F895" s="5">
        <v>46.8</v>
      </c>
      <c r="I895" s="5">
        <v>46.8</v>
      </c>
      <c r="J895" s="5">
        <f t="shared" si="55"/>
        <v>46.8</v>
      </c>
      <c r="K895" s="5">
        <v>65654.789999999994</v>
      </c>
    </row>
    <row r="896" spans="1:11" x14ac:dyDescent="0.25">
      <c r="A896" s="5">
        <f t="shared" si="52"/>
        <v>2024</v>
      </c>
      <c r="B896" s="5">
        <f t="shared" si="53"/>
        <v>8</v>
      </c>
      <c r="C896" s="6">
        <v>45516</v>
      </c>
      <c r="D896" s="5" t="s">
        <v>308</v>
      </c>
      <c r="E896" s="5" t="s">
        <v>901</v>
      </c>
      <c r="F896" s="5">
        <v>50</v>
      </c>
      <c r="I896" s="5">
        <v>50</v>
      </c>
      <c r="J896" s="5">
        <f t="shared" si="55"/>
        <v>50</v>
      </c>
      <c r="K896" s="5">
        <v>30029.16</v>
      </c>
    </row>
    <row r="897" spans="1:11" x14ac:dyDescent="0.25">
      <c r="A897" s="5">
        <f t="shared" si="52"/>
        <v>2024</v>
      </c>
      <c r="B897" s="5">
        <f t="shared" si="53"/>
        <v>12</v>
      </c>
      <c r="C897" s="6">
        <v>45644</v>
      </c>
      <c r="D897" s="5" t="s">
        <v>785</v>
      </c>
      <c r="E897" s="5" t="s">
        <v>901</v>
      </c>
      <c r="F897" s="5">
        <v>50</v>
      </c>
      <c r="I897" s="5">
        <v>50</v>
      </c>
      <c r="J897" s="5">
        <f t="shared" si="55"/>
        <v>50</v>
      </c>
      <c r="K897" s="5">
        <v>39817.919999999998</v>
      </c>
    </row>
    <row r="898" spans="1:11" x14ac:dyDescent="0.25">
      <c r="A898" s="5">
        <f t="shared" si="52"/>
        <v>2024</v>
      </c>
      <c r="B898" s="5">
        <f t="shared" si="53"/>
        <v>8</v>
      </c>
      <c r="C898" s="6">
        <v>45505</v>
      </c>
      <c r="D898" s="5" t="s">
        <v>22</v>
      </c>
      <c r="E898" s="5" t="s">
        <v>901</v>
      </c>
      <c r="F898" s="5">
        <v>52.06</v>
      </c>
      <c r="I898" s="5">
        <v>52.06</v>
      </c>
      <c r="J898" s="5">
        <f t="shared" si="55"/>
        <v>52.06</v>
      </c>
      <c r="K898" s="5">
        <v>47930.06</v>
      </c>
    </row>
    <row r="899" spans="1:11" x14ac:dyDescent="0.25">
      <c r="A899" s="5">
        <f t="shared" ref="A899:A962" si="56">YEAR(C899)</f>
        <v>2025</v>
      </c>
      <c r="B899" s="5">
        <f t="shared" ref="B899:B962" si="57">MONTH(C899)</f>
        <v>2</v>
      </c>
      <c r="C899" s="6">
        <v>45693</v>
      </c>
      <c r="D899" s="5" t="s">
        <v>785</v>
      </c>
      <c r="E899" s="5" t="s">
        <v>901</v>
      </c>
      <c r="F899" s="5">
        <v>57.38</v>
      </c>
      <c r="I899" s="5">
        <v>57.38</v>
      </c>
      <c r="J899" s="5">
        <f t="shared" ref="J899:J962" si="58">(F899+H899)</f>
        <v>57.38</v>
      </c>
      <c r="K899" s="5">
        <v>55811.34</v>
      </c>
    </row>
    <row r="900" spans="1:11" x14ac:dyDescent="0.25">
      <c r="A900" s="5">
        <f t="shared" si="56"/>
        <v>2024</v>
      </c>
      <c r="B900" s="5">
        <f t="shared" si="57"/>
        <v>8</v>
      </c>
      <c r="C900" s="6">
        <v>45505</v>
      </c>
      <c r="D900" s="5" t="s">
        <v>22</v>
      </c>
      <c r="E900" s="5" t="s">
        <v>901</v>
      </c>
      <c r="F900" s="5">
        <v>79.66</v>
      </c>
      <c r="I900" s="5">
        <v>79.66</v>
      </c>
      <c r="J900" s="5">
        <f t="shared" si="58"/>
        <v>79.66</v>
      </c>
      <c r="K900" s="5">
        <v>47878</v>
      </c>
    </row>
    <row r="901" spans="1:11" x14ac:dyDescent="0.25">
      <c r="A901" s="5">
        <f t="shared" si="56"/>
        <v>2024</v>
      </c>
      <c r="B901" s="5">
        <f t="shared" si="57"/>
        <v>9</v>
      </c>
      <c r="C901" s="6">
        <v>45559</v>
      </c>
      <c r="D901" s="5" t="s">
        <v>308</v>
      </c>
      <c r="E901" s="5" t="s">
        <v>901</v>
      </c>
      <c r="F901" s="5">
        <v>79.849999999999994</v>
      </c>
      <c r="I901" s="5">
        <v>79.849999999999994</v>
      </c>
      <c r="J901" s="5">
        <f t="shared" si="58"/>
        <v>79.849999999999994</v>
      </c>
      <c r="K901" s="5">
        <v>66628.33</v>
      </c>
    </row>
    <row r="902" spans="1:11" x14ac:dyDescent="0.25">
      <c r="A902" s="5">
        <f t="shared" si="56"/>
        <v>2024</v>
      </c>
      <c r="B902" s="5">
        <f t="shared" si="57"/>
        <v>10</v>
      </c>
      <c r="C902" s="6">
        <v>45574</v>
      </c>
      <c r="D902" s="5" t="s">
        <v>657</v>
      </c>
      <c r="E902" s="5" t="s">
        <v>901</v>
      </c>
      <c r="F902" s="5">
        <v>89.99</v>
      </c>
      <c r="I902" s="5">
        <v>89.99</v>
      </c>
      <c r="J902" s="5">
        <f t="shared" si="58"/>
        <v>89.99</v>
      </c>
      <c r="K902" s="5">
        <v>69511.990000000005</v>
      </c>
    </row>
    <row r="903" spans="1:11" x14ac:dyDescent="0.25">
      <c r="A903" s="5">
        <f t="shared" si="56"/>
        <v>2024</v>
      </c>
      <c r="B903" s="5">
        <f t="shared" si="57"/>
        <v>9</v>
      </c>
      <c r="C903" s="6">
        <v>45565</v>
      </c>
      <c r="D903" s="5" t="s">
        <v>188</v>
      </c>
      <c r="E903" s="5" t="s">
        <v>901</v>
      </c>
      <c r="F903" s="5">
        <v>97.12</v>
      </c>
      <c r="I903" s="5">
        <v>97.12</v>
      </c>
      <c r="J903" s="5">
        <f t="shared" si="58"/>
        <v>97.12</v>
      </c>
      <c r="K903" s="5">
        <v>96266.22</v>
      </c>
    </row>
    <row r="904" spans="1:11" x14ac:dyDescent="0.25">
      <c r="A904" s="5">
        <f t="shared" si="56"/>
        <v>2024</v>
      </c>
      <c r="B904" s="5">
        <f t="shared" si="57"/>
        <v>6</v>
      </c>
      <c r="C904" s="6">
        <v>45450</v>
      </c>
      <c r="D904" s="5" t="s">
        <v>308</v>
      </c>
      <c r="E904" s="5" t="s">
        <v>901</v>
      </c>
      <c r="F904" s="5">
        <v>99</v>
      </c>
      <c r="I904" s="5">
        <v>99</v>
      </c>
      <c r="J904" s="5">
        <f t="shared" si="58"/>
        <v>99</v>
      </c>
      <c r="K904" s="5">
        <v>25434.400000000001</v>
      </c>
    </row>
    <row r="905" spans="1:11" x14ac:dyDescent="0.25">
      <c r="A905" s="5">
        <f t="shared" si="56"/>
        <v>2024</v>
      </c>
      <c r="B905" s="5">
        <f t="shared" si="57"/>
        <v>9</v>
      </c>
      <c r="C905" s="6">
        <v>45541</v>
      </c>
      <c r="D905" s="5" t="s">
        <v>308</v>
      </c>
      <c r="E905" s="5" t="s">
        <v>901</v>
      </c>
      <c r="F905" s="5">
        <v>99</v>
      </c>
      <c r="I905" s="5">
        <v>99</v>
      </c>
      <c r="J905" s="5">
        <f t="shared" si="58"/>
        <v>99</v>
      </c>
      <c r="K905" s="5">
        <v>80278.11</v>
      </c>
    </row>
    <row r="906" spans="1:11" x14ac:dyDescent="0.25">
      <c r="A906" s="5">
        <f t="shared" si="56"/>
        <v>2024</v>
      </c>
      <c r="B906" s="5">
        <f t="shared" si="57"/>
        <v>10</v>
      </c>
      <c r="C906" s="6">
        <v>45566</v>
      </c>
      <c r="D906" s="5" t="s">
        <v>308</v>
      </c>
      <c r="E906" s="5" t="s">
        <v>901</v>
      </c>
      <c r="F906" s="5">
        <v>99</v>
      </c>
      <c r="I906" s="5">
        <v>99</v>
      </c>
      <c r="J906" s="5">
        <f t="shared" si="58"/>
        <v>99</v>
      </c>
      <c r="K906" s="5">
        <v>94207.76</v>
      </c>
    </row>
    <row r="907" spans="1:11" x14ac:dyDescent="0.25">
      <c r="A907" s="5">
        <f t="shared" si="56"/>
        <v>2024</v>
      </c>
      <c r="B907" s="5">
        <f t="shared" si="57"/>
        <v>12</v>
      </c>
      <c r="C907" s="6">
        <v>45639</v>
      </c>
      <c r="D907" s="5" t="s">
        <v>785</v>
      </c>
      <c r="E907" s="5" t="s">
        <v>901</v>
      </c>
      <c r="F907" s="5">
        <v>99</v>
      </c>
      <c r="I907" s="5">
        <v>99</v>
      </c>
      <c r="J907" s="5">
        <f t="shared" si="58"/>
        <v>99</v>
      </c>
      <c r="K907" s="5">
        <v>24973.75</v>
      </c>
    </row>
    <row r="908" spans="1:11" x14ac:dyDescent="0.25">
      <c r="A908" s="5">
        <f t="shared" si="56"/>
        <v>2025</v>
      </c>
      <c r="B908" s="5">
        <f t="shared" si="57"/>
        <v>1</v>
      </c>
      <c r="C908" s="6">
        <v>45681</v>
      </c>
      <c r="D908" s="5" t="s">
        <v>22</v>
      </c>
      <c r="E908" s="5" t="s">
        <v>901</v>
      </c>
      <c r="F908" s="5">
        <v>100</v>
      </c>
      <c r="I908" s="5">
        <v>100</v>
      </c>
      <c r="J908" s="5">
        <f t="shared" si="58"/>
        <v>100</v>
      </c>
      <c r="K908" s="5">
        <v>78389.39</v>
      </c>
    </row>
    <row r="909" spans="1:11" x14ac:dyDescent="0.25">
      <c r="A909" s="5">
        <f t="shared" si="56"/>
        <v>2025</v>
      </c>
      <c r="B909" s="5">
        <f t="shared" si="57"/>
        <v>2</v>
      </c>
      <c r="C909" s="6">
        <v>45695</v>
      </c>
      <c r="D909" s="5" t="s">
        <v>22</v>
      </c>
      <c r="E909" s="5" t="s">
        <v>901</v>
      </c>
      <c r="F909" s="5">
        <v>100</v>
      </c>
      <c r="I909" s="5">
        <v>100</v>
      </c>
      <c r="J909" s="5">
        <f t="shared" si="58"/>
        <v>100</v>
      </c>
      <c r="K909" s="5">
        <v>73609.350000000006</v>
      </c>
    </row>
    <row r="910" spans="1:11" x14ac:dyDescent="0.25">
      <c r="A910" s="5">
        <f t="shared" si="56"/>
        <v>2025</v>
      </c>
      <c r="B910" s="5">
        <f t="shared" si="57"/>
        <v>2</v>
      </c>
      <c r="C910" s="6">
        <v>45708</v>
      </c>
      <c r="D910" s="5" t="s">
        <v>785</v>
      </c>
      <c r="E910" s="5" t="s">
        <v>901</v>
      </c>
      <c r="F910" s="5">
        <v>101</v>
      </c>
      <c r="I910" s="5">
        <v>101</v>
      </c>
      <c r="J910" s="5">
        <f t="shared" si="58"/>
        <v>101</v>
      </c>
      <c r="K910" s="5">
        <v>60001.56</v>
      </c>
    </row>
    <row r="911" spans="1:11" x14ac:dyDescent="0.25">
      <c r="A911" s="5">
        <f t="shared" si="56"/>
        <v>2024</v>
      </c>
      <c r="B911" s="5">
        <f t="shared" si="57"/>
        <v>6</v>
      </c>
      <c r="C911" s="6">
        <v>45461</v>
      </c>
      <c r="D911" s="5" t="s">
        <v>308</v>
      </c>
      <c r="E911" s="5" t="s">
        <v>901</v>
      </c>
      <c r="F911" s="5">
        <v>102.2</v>
      </c>
      <c r="I911" s="5">
        <v>102.2</v>
      </c>
      <c r="J911" s="5">
        <f t="shared" si="58"/>
        <v>102.2</v>
      </c>
      <c r="K911" s="5">
        <v>33239.919999999998</v>
      </c>
    </row>
    <row r="912" spans="1:11" x14ac:dyDescent="0.25">
      <c r="A912" s="5">
        <f t="shared" si="56"/>
        <v>2024</v>
      </c>
      <c r="B912" s="5">
        <f t="shared" si="57"/>
        <v>12</v>
      </c>
      <c r="C912" s="6">
        <v>45645</v>
      </c>
      <c r="D912" s="5" t="s">
        <v>785</v>
      </c>
      <c r="E912" s="5" t="s">
        <v>901</v>
      </c>
      <c r="F912" s="5">
        <v>105.84</v>
      </c>
      <c r="I912" s="5">
        <v>105.84</v>
      </c>
      <c r="J912" s="5">
        <f t="shared" si="58"/>
        <v>105.84</v>
      </c>
      <c r="K912" s="5">
        <v>39923.760000000002</v>
      </c>
    </row>
    <row r="913" spans="1:11" x14ac:dyDescent="0.25">
      <c r="A913" s="5">
        <f t="shared" si="56"/>
        <v>2024</v>
      </c>
      <c r="B913" s="5">
        <f t="shared" si="57"/>
        <v>8</v>
      </c>
      <c r="C913" s="6">
        <v>45509</v>
      </c>
      <c r="D913" s="5" t="s">
        <v>308</v>
      </c>
      <c r="E913" s="5" t="s">
        <v>901</v>
      </c>
      <c r="F913" s="5">
        <v>125</v>
      </c>
      <c r="I913" s="5">
        <v>125</v>
      </c>
      <c r="J913" s="5">
        <f t="shared" si="58"/>
        <v>125</v>
      </c>
      <c r="K913" s="5">
        <v>49269.15</v>
      </c>
    </row>
    <row r="914" spans="1:11" x14ac:dyDescent="0.25">
      <c r="A914" s="5">
        <f t="shared" si="56"/>
        <v>2025</v>
      </c>
      <c r="B914" s="5">
        <f t="shared" si="57"/>
        <v>3</v>
      </c>
      <c r="C914" s="6">
        <v>45721</v>
      </c>
      <c r="D914" s="5" t="s">
        <v>785</v>
      </c>
      <c r="E914" s="5" t="s">
        <v>901</v>
      </c>
      <c r="F914" s="5">
        <v>125</v>
      </c>
      <c r="I914" s="5">
        <v>125</v>
      </c>
      <c r="J914" s="5">
        <f t="shared" si="58"/>
        <v>125</v>
      </c>
      <c r="K914" s="5">
        <v>79400.490000000005</v>
      </c>
    </row>
    <row r="915" spans="1:11" x14ac:dyDescent="0.25">
      <c r="A915" s="5">
        <f t="shared" si="56"/>
        <v>2024</v>
      </c>
      <c r="B915" s="5">
        <f t="shared" si="57"/>
        <v>10</v>
      </c>
      <c r="C915" s="6">
        <v>45567</v>
      </c>
      <c r="D915" s="5" t="s">
        <v>188</v>
      </c>
      <c r="E915" s="5" t="s">
        <v>901</v>
      </c>
      <c r="F915" s="5">
        <v>127.53</v>
      </c>
      <c r="I915" s="5">
        <v>127.53</v>
      </c>
      <c r="J915" s="5">
        <f t="shared" si="58"/>
        <v>127.53</v>
      </c>
      <c r="K915" s="5">
        <v>87702.38</v>
      </c>
    </row>
    <row r="916" spans="1:11" x14ac:dyDescent="0.25">
      <c r="A916" s="5">
        <f t="shared" si="56"/>
        <v>2024</v>
      </c>
      <c r="B916" s="5">
        <f t="shared" si="57"/>
        <v>8</v>
      </c>
      <c r="C916" s="6">
        <v>45531</v>
      </c>
      <c r="D916" s="5" t="s">
        <v>308</v>
      </c>
      <c r="E916" s="5" t="s">
        <v>901</v>
      </c>
      <c r="F916" s="5">
        <v>128</v>
      </c>
      <c r="I916" s="5">
        <v>128</v>
      </c>
      <c r="J916" s="5">
        <f t="shared" si="58"/>
        <v>128</v>
      </c>
      <c r="K916" s="5">
        <v>36858.33</v>
      </c>
    </row>
    <row r="917" spans="1:11" x14ac:dyDescent="0.25">
      <c r="A917" s="5">
        <f t="shared" si="56"/>
        <v>2024</v>
      </c>
      <c r="B917" s="5">
        <f t="shared" si="57"/>
        <v>7</v>
      </c>
      <c r="C917" s="6">
        <v>45502</v>
      </c>
      <c r="D917" s="5" t="s">
        <v>308</v>
      </c>
      <c r="E917" s="5" t="s">
        <v>901</v>
      </c>
      <c r="F917" s="5">
        <v>130</v>
      </c>
      <c r="I917" s="5">
        <v>130</v>
      </c>
      <c r="J917" s="5">
        <f t="shared" si="58"/>
        <v>130</v>
      </c>
      <c r="K917" s="5">
        <v>30786.05</v>
      </c>
    </row>
    <row r="918" spans="1:11" x14ac:dyDescent="0.25">
      <c r="A918" s="5">
        <f t="shared" si="56"/>
        <v>2024</v>
      </c>
      <c r="B918" s="5">
        <f t="shared" si="57"/>
        <v>10</v>
      </c>
      <c r="C918" s="6">
        <v>45594</v>
      </c>
      <c r="D918" s="5" t="s">
        <v>308</v>
      </c>
      <c r="E918" s="5" t="s">
        <v>901</v>
      </c>
      <c r="F918" s="5">
        <v>131</v>
      </c>
      <c r="I918" s="5">
        <v>131</v>
      </c>
      <c r="J918" s="5">
        <f t="shared" si="58"/>
        <v>131</v>
      </c>
      <c r="K918" s="5">
        <v>74837.759999999995</v>
      </c>
    </row>
    <row r="919" spans="1:11" x14ac:dyDescent="0.25">
      <c r="A919" s="5">
        <f t="shared" si="56"/>
        <v>2024</v>
      </c>
      <c r="B919" s="5">
        <f t="shared" si="57"/>
        <v>9</v>
      </c>
      <c r="C919" s="6">
        <v>45546</v>
      </c>
      <c r="D919" s="5" t="s">
        <v>308</v>
      </c>
      <c r="E919" s="5" t="s">
        <v>901</v>
      </c>
      <c r="F919" s="5">
        <v>132.06</v>
      </c>
      <c r="I919" s="5">
        <v>132.06</v>
      </c>
      <c r="J919" s="5">
        <f t="shared" si="58"/>
        <v>132.06</v>
      </c>
      <c r="K919" s="5">
        <v>67639.02</v>
      </c>
    </row>
    <row r="920" spans="1:11" x14ac:dyDescent="0.25">
      <c r="A920" s="5">
        <f t="shared" si="56"/>
        <v>2024</v>
      </c>
      <c r="B920" s="5">
        <f t="shared" si="57"/>
        <v>8</v>
      </c>
      <c r="C920" s="6">
        <v>45505</v>
      </c>
      <c r="D920" s="5" t="s">
        <v>22</v>
      </c>
      <c r="E920" s="5" t="s">
        <v>901</v>
      </c>
      <c r="F920" s="5">
        <v>139</v>
      </c>
      <c r="I920" s="5">
        <v>139</v>
      </c>
      <c r="J920" s="5">
        <f t="shared" si="58"/>
        <v>139</v>
      </c>
      <c r="K920" s="5">
        <v>47798.34</v>
      </c>
    </row>
    <row r="921" spans="1:11" x14ac:dyDescent="0.25">
      <c r="A921" s="5">
        <f t="shared" si="56"/>
        <v>2025</v>
      </c>
      <c r="B921" s="5">
        <f t="shared" si="57"/>
        <v>2</v>
      </c>
      <c r="C921" s="6">
        <v>45693</v>
      </c>
      <c r="D921" s="5" t="s">
        <v>785</v>
      </c>
      <c r="E921" s="5" t="s">
        <v>901</v>
      </c>
      <c r="F921" s="5">
        <v>140.4</v>
      </c>
      <c r="I921" s="5">
        <v>140.4</v>
      </c>
      <c r="J921" s="5">
        <f t="shared" si="58"/>
        <v>140.4</v>
      </c>
      <c r="K921" s="5">
        <v>55753.96</v>
      </c>
    </row>
    <row r="922" spans="1:11" x14ac:dyDescent="0.25">
      <c r="A922" s="5">
        <f t="shared" si="56"/>
        <v>2024</v>
      </c>
      <c r="B922" s="5">
        <f t="shared" si="57"/>
        <v>12</v>
      </c>
      <c r="C922" s="6">
        <v>45646</v>
      </c>
      <c r="D922" s="5" t="s">
        <v>795</v>
      </c>
      <c r="E922" s="5" t="s">
        <v>901</v>
      </c>
      <c r="F922" s="5">
        <v>160.63</v>
      </c>
      <c r="I922" s="5">
        <v>160.63</v>
      </c>
      <c r="J922" s="5">
        <f t="shared" si="58"/>
        <v>160.63</v>
      </c>
      <c r="K922" s="5">
        <v>44231.77</v>
      </c>
    </row>
    <row r="923" spans="1:11" x14ac:dyDescent="0.25">
      <c r="A923" s="5">
        <f t="shared" si="56"/>
        <v>2025</v>
      </c>
      <c r="B923" s="5">
        <f t="shared" si="57"/>
        <v>3</v>
      </c>
      <c r="C923" s="6">
        <v>45719</v>
      </c>
      <c r="D923" s="5" t="s">
        <v>785</v>
      </c>
      <c r="E923" s="5" t="s">
        <v>901</v>
      </c>
      <c r="F923" s="5">
        <v>164</v>
      </c>
      <c r="I923" s="5">
        <v>164</v>
      </c>
      <c r="J923" s="5">
        <f t="shared" si="58"/>
        <v>164</v>
      </c>
      <c r="K923" s="5">
        <v>90440.77</v>
      </c>
    </row>
    <row r="924" spans="1:11" x14ac:dyDescent="0.25">
      <c r="A924" s="5">
        <f t="shared" si="56"/>
        <v>2024</v>
      </c>
      <c r="B924" s="5">
        <f t="shared" si="57"/>
        <v>8</v>
      </c>
      <c r="C924" s="6">
        <v>45505</v>
      </c>
      <c r="D924" s="5" t="s">
        <v>22</v>
      </c>
      <c r="E924" s="5" t="s">
        <v>901</v>
      </c>
      <c r="F924" s="5">
        <v>164.1</v>
      </c>
      <c r="I924" s="5">
        <v>164.1</v>
      </c>
      <c r="J924" s="5">
        <f t="shared" si="58"/>
        <v>164.1</v>
      </c>
      <c r="K924" s="5">
        <v>47659.34</v>
      </c>
    </row>
    <row r="925" spans="1:11" x14ac:dyDescent="0.25">
      <c r="A925" s="5">
        <f t="shared" si="56"/>
        <v>2024</v>
      </c>
      <c r="B925" s="5">
        <f t="shared" si="57"/>
        <v>8</v>
      </c>
      <c r="C925" s="6">
        <v>45505</v>
      </c>
      <c r="D925" s="5" t="s">
        <v>22</v>
      </c>
      <c r="E925" s="5" t="s">
        <v>901</v>
      </c>
      <c r="F925" s="5">
        <v>164.82</v>
      </c>
      <c r="I925" s="5">
        <v>164.82</v>
      </c>
      <c r="J925" s="5">
        <f t="shared" si="58"/>
        <v>164.82</v>
      </c>
      <c r="K925" s="5">
        <v>47495.24</v>
      </c>
    </row>
    <row r="926" spans="1:11" x14ac:dyDescent="0.25">
      <c r="A926" s="5">
        <f t="shared" si="56"/>
        <v>2024</v>
      </c>
      <c r="B926" s="5">
        <f t="shared" si="57"/>
        <v>12</v>
      </c>
      <c r="C926" s="6">
        <v>45646</v>
      </c>
      <c r="D926" s="5" t="s">
        <v>795</v>
      </c>
      <c r="E926" s="5" t="s">
        <v>901</v>
      </c>
      <c r="F926" s="5">
        <v>173.23</v>
      </c>
      <c r="I926" s="5">
        <v>173.23</v>
      </c>
      <c r="J926" s="5">
        <f t="shared" si="58"/>
        <v>173.23</v>
      </c>
      <c r="K926" s="5">
        <v>44071.14</v>
      </c>
    </row>
    <row r="927" spans="1:11" x14ac:dyDescent="0.25">
      <c r="A927" s="5">
        <f t="shared" si="56"/>
        <v>2025</v>
      </c>
      <c r="B927" s="5">
        <f t="shared" si="57"/>
        <v>2</v>
      </c>
      <c r="C927" s="6">
        <v>45706</v>
      </c>
      <c r="D927" s="5" t="s">
        <v>785</v>
      </c>
      <c r="E927" s="5" t="s">
        <v>901</v>
      </c>
      <c r="F927" s="5">
        <v>179.5</v>
      </c>
      <c r="I927" s="5">
        <v>179.5</v>
      </c>
      <c r="J927" s="5">
        <f t="shared" si="58"/>
        <v>179.5</v>
      </c>
      <c r="K927" s="5">
        <v>64323.12</v>
      </c>
    </row>
    <row r="928" spans="1:11" x14ac:dyDescent="0.25">
      <c r="A928" s="5">
        <f t="shared" si="56"/>
        <v>2025</v>
      </c>
      <c r="B928" s="5">
        <f t="shared" si="57"/>
        <v>3</v>
      </c>
      <c r="C928" s="6">
        <v>45722</v>
      </c>
      <c r="D928" s="5" t="s">
        <v>785</v>
      </c>
      <c r="E928" s="5" t="s">
        <v>901</v>
      </c>
      <c r="F928" s="5">
        <v>179.6</v>
      </c>
      <c r="I928" s="5">
        <v>179.6</v>
      </c>
      <c r="J928" s="5">
        <f t="shared" si="58"/>
        <v>179.6</v>
      </c>
      <c r="K928" s="5">
        <v>79580.09</v>
      </c>
    </row>
    <row r="929" spans="1:11" x14ac:dyDescent="0.25">
      <c r="A929" s="5">
        <f t="shared" si="56"/>
        <v>2024</v>
      </c>
      <c r="B929" s="5">
        <f t="shared" si="57"/>
        <v>9</v>
      </c>
      <c r="C929" s="6">
        <v>45545</v>
      </c>
      <c r="D929" s="5" t="s">
        <v>308</v>
      </c>
      <c r="E929" s="5" t="s">
        <v>901</v>
      </c>
      <c r="F929" s="5">
        <v>180</v>
      </c>
      <c r="I929" s="5">
        <v>180</v>
      </c>
      <c r="J929" s="5">
        <f t="shared" si="58"/>
        <v>180</v>
      </c>
      <c r="K929" s="5">
        <v>67890.37</v>
      </c>
    </row>
    <row r="930" spans="1:11" x14ac:dyDescent="0.25">
      <c r="A930" s="5">
        <f t="shared" si="56"/>
        <v>2024</v>
      </c>
      <c r="B930" s="5">
        <f t="shared" si="57"/>
        <v>11</v>
      </c>
      <c r="C930" s="6">
        <v>45597</v>
      </c>
      <c r="D930" s="5" t="s">
        <v>188</v>
      </c>
      <c r="E930" s="5" t="s">
        <v>901</v>
      </c>
      <c r="F930" s="5">
        <v>185.41</v>
      </c>
      <c r="I930" s="5">
        <v>185.41</v>
      </c>
      <c r="J930" s="5">
        <f t="shared" si="58"/>
        <v>185.41</v>
      </c>
      <c r="K930" s="5">
        <v>67172.039999999994</v>
      </c>
    </row>
    <row r="931" spans="1:11" x14ac:dyDescent="0.25">
      <c r="A931" s="5">
        <f t="shared" si="56"/>
        <v>2025</v>
      </c>
      <c r="B931" s="5">
        <f t="shared" si="57"/>
        <v>2</v>
      </c>
      <c r="C931" s="6">
        <v>45691</v>
      </c>
      <c r="D931" s="5" t="s">
        <v>22</v>
      </c>
      <c r="E931" s="5" t="s">
        <v>901</v>
      </c>
      <c r="F931" s="5">
        <v>192.6</v>
      </c>
      <c r="I931" s="5">
        <v>192.6</v>
      </c>
      <c r="J931" s="5">
        <f t="shared" si="58"/>
        <v>192.6</v>
      </c>
      <c r="K931" s="5">
        <v>60247.62</v>
      </c>
    </row>
    <row r="932" spans="1:11" x14ac:dyDescent="0.25">
      <c r="A932" s="5">
        <f t="shared" si="56"/>
        <v>2023</v>
      </c>
      <c r="B932" s="5">
        <f t="shared" si="57"/>
        <v>12</v>
      </c>
      <c r="C932" s="6">
        <v>45261</v>
      </c>
      <c r="D932" s="5" t="s">
        <v>22</v>
      </c>
      <c r="E932" s="5" t="s">
        <v>901</v>
      </c>
      <c r="F932" s="5">
        <v>200</v>
      </c>
      <c r="I932" s="5">
        <v>200</v>
      </c>
      <c r="J932" s="5">
        <f t="shared" si="58"/>
        <v>200</v>
      </c>
      <c r="K932" s="5">
        <v>37459.129999999997</v>
      </c>
    </row>
    <row r="933" spans="1:11" x14ac:dyDescent="0.25">
      <c r="A933" s="5">
        <f t="shared" si="56"/>
        <v>2024</v>
      </c>
      <c r="B933" s="5">
        <f t="shared" si="57"/>
        <v>12</v>
      </c>
      <c r="C933" s="6">
        <v>45642</v>
      </c>
      <c r="D933" s="5" t="s">
        <v>785</v>
      </c>
      <c r="E933" s="5" t="s">
        <v>901</v>
      </c>
      <c r="F933" s="5">
        <v>205</v>
      </c>
      <c r="I933" s="5">
        <v>205</v>
      </c>
      <c r="J933" s="5">
        <f t="shared" si="58"/>
        <v>205</v>
      </c>
      <c r="K933" s="5">
        <v>70863.570000000007</v>
      </c>
    </row>
    <row r="934" spans="1:11" x14ac:dyDescent="0.25">
      <c r="A934" s="5">
        <f t="shared" si="56"/>
        <v>2024</v>
      </c>
      <c r="B934" s="5">
        <f t="shared" si="57"/>
        <v>7</v>
      </c>
      <c r="C934" s="6">
        <v>45483</v>
      </c>
      <c r="D934" s="5" t="s">
        <v>22</v>
      </c>
      <c r="E934" s="5" t="s">
        <v>901</v>
      </c>
      <c r="F934" s="5">
        <v>210</v>
      </c>
      <c r="I934" s="5">
        <v>210</v>
      </c>
      <c r="J934" s="5">
        <f t="shared" si="58"/>
        <v>210</v>
      </c>
      <c r="K934" s="5">
        <v>81603.75</v>
      </c>
    </row>
    <row r="935" spans="1:11" x14ac:dyDescent="0.25">
      <c r="A935" s="5">
        <f t="shared" si="56"/>
        <v>2024</v>
      </c>
      <c r="B935" s="5">
        <f t="shared" si="57"/>
        <v>12</v>
      </c>
      <c r="C935" s="6">
        <v>45652</v>
      </c>
      <c r="D935" s="5" t="s">
        <v>785</v>
      </c>
      <c r="E935" s="5" t="s">
        <v>901</v>
      </c>
      <c r="F935" s="5">
        <v>214.8</v>
      </c>
      <c r="I935" s="5">
        <v>214.8</v>
      </c>
      <c r="J935" s="5">
        <f t="shared" si="58"/>
        <v>214.8</v>
      </c>
      <c r="K935" s="5">
        <v>143093.51</v>
      </c>
    </row>
    <row r="936" spans="1:11" x14ac:dyDescent="0.25">
      <c r="A936" s="5">
        <f t="shared" si="56"/>
        <v>2024</v>
      </c>
      <c r="B936" s="5">
        <f t="shared" si="57"/>
        <v>9</v>
      </c>
      <c r="C936" s="6">
        <v>45555</v>
      </c>
      <c r="D936" s="5" t="s">
        <v>602</v>
      </c>
      <c r="E936" s="5" t="s">
        <v>901</v>
      </c>
      <c r="F936" s="5">
        <v>220.14</v>
      </c>
      <c r="I936" s="5">
        <v>220.14</v>
      </c>
      <c r="J936" s="5">
        <f t="shared" si="58"/>
        <v>220.14</v>
      </c>
      <c r="K936" s="5">
        <v>83295.05</v>
      </c>
    </row>
    <row r="937" spans="1:11" x14ac:dyDescent="0.25">
      <c r="A937" s="5">
        <f t="shared" si="56"/>
        <v>2024</v>
      </c>
      <c r="B937" s="5">
        <f t="shared" si="57"/>
        <v>12</v>
      </c>
      <c r="C937" s="6">
        <v>45653</v>
      </c>
      <c r="D937" s="5" t="s">
        <v>22</v>
      </c>
      <c r="E937" s="5" t="s">
        <v>901</v>
      </c>
      <c r="F937" s="5">
        <v>225</v>
      </c>
      <c r="I937" s="5">
        <v>225</v>
      </c>
      <c r="J937" s="5">
        <f t="shared" si="58"/>
        <v>225</v>
      </c>
      <c r="K937" s="5">
        <v>143318.51</v>
      </c>
    </row>
    <row r="938" spans="1:11" x14ac:dyDescent="0.25">
      <c r="A938" s="5">
        <f t="shared" si="56"/>
        <v>2025</v>
      </c>
      <c r="B938" s="5">
        <f t="shared" si="57"/>
        <v>2</v>
      </c>
      <c r="C938" s="6">
        <v>45691</v>
      </c>
      <c r="D938" s="5" t="s">
        <v>22</v>
      </c>
      <c r="E938" s="5" t="s">
        <v>901</v>
      </c>
      <c r="F938" s="5">
        <v>225</v>
      </c>
      <c r="I938" s="5">
        <v>225</v>
      </c>
      <c r="J938" s="5">
        <f t="shared" si="58"/>
        <v>225</v>
      </c>
      <c r="K938" s="5">
        <v>60055.02</v>
      </c>
    </row>
    <row r="939" spans="1:11" x14ac:dyDescent="0.25">
      <c r="A939" s="5">
        <f t="shared" si="56"/>
        <v>2025</v>
      </c>
      <c r="B939" s="5">
        <f t="shared" si="57"/>
        <v>1</v>
      </c>
      <c r="C939" s="6">
        <v>45684</v>
      </c>
      <c r="D939" s="5" t="s">
        <v>785</v>
      </c>
      <c r="E939" s="5" t="s">
        <v>901</v>
      </c>
      <c r="F939" s="5">
        <v>226</v>
      </c>
      <c r="I939" s="5">
        <v>226</v>
      </c>
      <c r="J939" s="5">
        <f t="shared" si="58"/>
        <v>226</v>
      </c>
      <c r="K939" s="5">
        <v>56743.11</v>
      </c>
    </row>
    <row r="940" spans="1:11" x14ac:dyDescent="0.25">
      <c r="A940" s="5">
        <f t="shared" si="56"/>
        <v>2025</v>
      </c>
      <c r="B940" s="5">
        <f t="shared" si="57"/>
        <v>1</v>
      </c>
      <c r="C940" s="6">
        <v>45659</v>
      </c>
      <c r="D940" s="5" t="s">
        <v>785</v>
      </c>
      <c r="E940" s="5" t="s">
        <v>901</v>
      </c>
      <c r="F940" s="5">
        <v>229.2</v>
      </c>
      <c r="I940" s="5">
        <v>229.2</v>
      </c>
      <c r="J940" s="5">
        <f t="shared" si="58"/>
        <v>229.2</v>
      </c>
      <c r="K940" s="5">
        <v>150986.17000000001</v>
      </c>
    </row>
    <row r="941" spans="1:11" x14ac:dyDescent="0.25">
      <c r="A941" s="5">
        <f t="shared" si="56"/>
        <v>2025</v>
      </c>
      <c r="B941" s="5">
        <f t="shared" si="57"/>
        <v>1</v>
      </c>
      <c r="C941" s="6">
        <v>45678</v>
      </c>
      <c r="D941" s="5" t="s">
        <v>785</v>
      </c>
      <c r="E941" s="5" t="s">
        <v>901</v>
      </c>
      <c r="F941" s="5">
        <v>232</v>
      </c>
      <c r="I941" s="5">
        <v>232</v>
      </c>
      <c r="J941" s="5">
        <f t="shared" si="58"/>
        <v>232</v>
      </c>
      <c r="K941" s="5">
        <v>57204.46</v>
      </c>
    </row>
    <row r="942" spans="1:11" x14ac:dyDescent="0.25">
      <c r="A942" s="5">
        <f t="shared" si="56"/>
        <v>2024</v>
      </c>
      <c r="B942" s="5">
        <f t="shared" si="57"/>
        <v>9</v>
      </c>
      <c r="C942" s="6">
        <v>45538</v>
      </c>
      <c r="D942" s="5" t="s">
        <v>548</v>
      </c>
      <c r="E942" s="5" t="s">
        <v>901</v>
      </c>
      <c r="F942" s="5">
        <v>249.52</v>
      </c>
      <c r="I942" s="5">
        <v>249.52</v>
      </c>
      <c r="J942" s="5">
        <f t="shared" si="58"/>
        <v>249.52</v>
      </c>
      <c r="K942" s="5">
        <v>76818.539999999994</v>
      </c>
    </row>
    <row r="943" spans="1:11" x14ac:dyDescent="0.25">
      <c r="A943" s="5">
        <f t="shared" si="56"/>
        <v>2025</v>
      </c>
      <c r="B943" s="5">
        <f t="shared" si="57"/>
        <v>1</v>
      </c>
      <c r="C943" s="6">
        <v>45678</v>
      </c>
      <c r="D943" s="5" t="s">
        <v>22</v>
      </c>
      <c r="E943" s="5" t="s">
        <v>901</v>
      </c>
      <c r="F943" s="5">
        <v>251.88</v>
      </c>
      <c r="I943" s="5">
        <v>251.88</v>
      </c>
      <c r="J943" s="5">
        <f t="shared" si="58"/>
        <v>251.88</v>
      </c>
      <c r="K943" s="5">
        <v>56972.46</v>
      </c>
    </row>
    <row r="944" spans="1:11" x14ac:dyDescent="0.25">
      <c r="A944" s="5">
        <f t="shared" si="56"/>
        <v>2025</v>
      </c>
      <c r="B944" s="5">
        <f t="shared" si="57"/>
        <v>1</v>
      </c>
      <c r="C944" s="6">
        <v>45672</v>
      </c>
      <c r="D944" s="5" t="s">
        <v>785</v>
      </c>
      <c r="E944" s="5" t="s">
        <v>901</v>
      </c>
      <c r="F944" s="5">
        <v>280</v>
      </c>
      <c r="I944" s="5">
        <v>280</v>
      </c>
      <c r="J944" s="5">
        <f t="shared" si="58"/>
        <v>280</v>
      </c>
      <c r="K944" s="5">
        <v>55868.61</v>
      </c>
    </row>
    <row r="945" spans="1:11" x14ac:dyDescent="0.25">
      <c r="A945" s="5">
        <f t="shared" si="56"/>
        <v>2024</v>
      </c>
      <c r="B945" s="5">
        <f t="shared" si="57"/>
        <v>2</v>
      </c>
      <c r="C945" s="6">
        <v>45342</v>
      </c>
      <c r="D945" s="5" t="s">
        <v>188</v>
      </c>
      <c r="E945" s="5" t="s">
        <v>901</v>
      </c>
      <c r="F945" s="5">
        <v>288.89</v>
      </c>
      <c r="I945" s="5">
        <v>288.89</v>
      </c>
      <c r="J945" s="5">
        <f t="shared" si="58"/>
        <v>288.89</v>
      </c>
      <c r="K945" s="5">
        <v>16423.34</v>
      </c>
    </row>
    <row r="946" spans="1:11" x14ac:dyDescent="0.25">
      <c r="A946" s="5">
        <f t="shared" si="56"/>
        <v>2024</v>
      </c>
      <c r="B946" s="5">
        <f t="shared" si="57"/>
        <v>6</v>
      </c>
      <c r="C946" s="6">
        <v>45457</v>
      </c>
      <c r="D946" s="5" t="s">
        <v>308</v>
      </c>
      <c r="E946" s="5" t="s">
        <v>901</v>
      </c>
      <c r="F946" s="5">
        <v>300</v>
      </c>
      <c r="I946" s="5">
        <v>300</v>
      </c>
      <c r="J946" s="5">
        <f t="shared" si="58"/>
        <v>300</v>
      </c>
      <c r="K946" s="5">
        <v>21049.94</v>
      </c>
    </row>
    <row r="947" spans="1:11" x14ac:dyDescent="0.25">
      <c r="A947" s="5">
        <f t="shared" si="56"/>
        <v>2024</v>
      </c>
      <c r="B947" s="5">
        <f t="shared" si="57"/>
        <v>12</v>
      </c>
      <c r="C947" s="6">
        <v>45650</v>
      </c>
      <c r="D947" s="5" t="s">
        <v>22</v>
      </c>
      <c r="E947" s="5" t="s">
        <v>901</v>
      </c>
      <c r="F947" s="5">
        <v>302.10000000000002</v>
      </c>
      <c r="I947" s="5">
        <v>302.10000000000002</v>
      </c>
      <c r="J947" s="5">
        <f t="shared" si="58"/>
        <v>302.10000000000002</v>
      </c>
      <c r="K947" s="5">
        <v>63605.11</v>
      </c>
    </row>
    <row r="948" spans="1:11" x14ac:dyDescent="0.25">
      <c r="A948" s="5">
        <f t="shared" si="56"/>
        <v>2024</v>
      </c>
      <c r="B948" s="5">
        <f t="shared" si="57"/>
        <v>9</v>
      </c>
      <c r="C948" s="6">
        <v>45560</v>
      </c>
      <c r="D948" s="5" t="s">
        <v>308</v>
      </c>
      <c r="E948" s="5" t="s">
        <v>901</v>
      </c>
      <c r="F948" s="5">
        <v>322.02</v>
      </c>
      <c r="I948" s="5">
        <v>322.02</v>
      </c>
      <c r="J948" s="5">
        <f t="shared" si="58"/>
        <v>322.02</v>
      </c>
      <c r="K948" s="5">
        <v>66384.479999999996</v>
      </c>
    </row>
    <row r="949" spans="1:11" x14ac:dyDescent="0.25">
      <c r="A949" s="5">
        <f t="shared" si="56"/>
        <v>2024</v>
      </c>
      <c r="B949" s="5">
        <f t="shared" si="57"/>
        <v>12</v>
      </c>
      <c r="C949" s="6">
        <v>45656</v>
      </c>
      <c r="D949" s="5" t="s">
        <v>785</v>
      </c>
      <c r="E949" s="5" t="s">
        <v>901</v>
      </c>
      <c r="F949" s="5">
        <v>324</v>
      </c>
      <c r="I949" s="5">
        <v>324</v>
      </c>
      <c r="J949" s="5">
        <f t="shared" si="58"/>
        <v>324</v>
      </c>
      <c r="K949" s="5">
        <v>158382.10999999999</v>
      </c>
    </row>
    <row r="950" spans="1:11" x14ac:dyDescent="0.25">
      <c r="A950" s="5">
        <f t="shared" si="56"/>
        <v>2025</v>
      </c>
      <c r="B950" s="5">
        <f t="shared" si="57"/>
        <v>2</v>
      </c>
      <c r="C950" s="6">
        <v>45709</v>
      </c>
      <c r="D950" s="5" t="s">
        <v>22</v>
      </c>
      <c r="E950" s="5" t="s">
        <v>901</v>
      </c>
      <c r="F950" s="5">
        <v>326.10000000000002</v>
      </c>
      <c r="I950" s="5">
        <v>326.10000000000002</v>
      </c>
      <c r="J950" s="5">
        <f t="shared" si="58"/>
        <v>326.10000000000002</v>
      </c>
      <c r="K950" s="5">
        <v>64531.360000000001</v>
      </c>
    </row>
    <row r="951" spans="1:11" x14ac:dyDescent="0.25">
      <c r="A951" s="5">
        <f t="shared" si="56"/>
        <v>2024</v>
      </c>
      <c r="B951" s="5">
        <f t="shared" si="57"/>
        <v>6</v>
      </c>
      <c r="C951" s="6">
        <v>45453</v>
      </c>
      <c r="D951" s="5" t="s">
        <v>22</v>
      </c>
      <c r="E951" s="5" t="s">
        <v>901</v>
      </c>
      <c r="F951" s="5">
        <v>327</v>
      </c>
      <c r="I951" s="5">
        <v>327</v>
      </c>
      <c r="J951" s="5">
        <f t="shared" si="58"/>
        <v>327</v>
      </c>
      <c r="K951" s="5">
        <v>39765.839999999997</v>
      </c>
    </row>
    <row r="952" spans="1:11" x14ac:dyDescent="0.25">
      <c r="A952" s="5">
        <f t="shared" si="56"/>
        <v>2025</v>
      </c>
      <c r="B952" s="5">
        <f t="shared" si="57"/>
        <v>1</v>
      </c>
      <c r="C952" s="6">
        <v>45666</v>
      </c>
      <c r="D952" s="5" t="s">
        <v>785</v>
      </c>
      <c r="E952" s="5" t="s">
        <v>901</v>
      </c>
      <c r="F952" s="5">
        <v>346</v>
      </c>
      <c r="I952" s="5">
        <v>346</v>
      </c>
      <c r="J952" s="5">
        <f t="shared" si="58"/>
        <v>346</v>
      </c>
      <c r="K952" s="5">
        <v>79229.210000000006</v>
      </c>
    </row>
    <row r="953" spans="1:11" x14ac:dyDescent="0.25">
      <c r="A953" s="5">
        <f t="shared" si="56"/>
        <v>2025</v>
      </c>
      <c r="B953" s="5">
        <f t="shared" si="57"/>
        <v>1</v>
      </c>
      <c r="C953" s="6">
        <v>45678</v>
      </c>
      <c r="D953" s="5" t="s">
        <v>22</v>
      </c>
      <c r="E953" s="5" t="s">
        <v>901</v>
      </c>
      <c r="F953" s="5">
        <v>350</v>
      </c>
      <c r="I953" s="5">
        <v>350</v>
      </c>
      <c r="J953" s="5">
        <f t="shared" si="58"/>
        <v>350</v>
      </c>
      <c r="K953" s="5">
        <v>56720.58</v>
      </c>
    </row>
    <row r="954" spans="1:11" x14ac:dyDescent="0.25">
      <c r="A954" s="5">
        <f t="shared" si="56"/>
        <v>2025</v>
      </c>
      <c r="B954" s="5">
        <f t="shared" si="57"/>
        <v>2</v>
      </c>
      <c r="C954" s="6">
        <v>45709</v>
      </c>
      <c r="D954" s="5" t="s">
        <v>22</v>
      </c>
      <c r="E954" s="5" t="s">
        <v>901</v>
      </c>
      <c r="F954" s="5">
        <v>360.18</v>
      </c>
      <c r="I954" s="5">
        <v>360.18</v>
      </c>
      <c r="J954" s="5">
        <f t="shared" si="58"/>
        <v>360.18</v>
      </c>
      <c r="K954" s="5">
        <v>64205.26</v>
      </c>
    </row>
    <row r="955" spans="1:11" x14ac:dyDescent="0.25">
      <c r="A955" s="5">
        <f t="shared" si="56"/>
        <v>2025</v>
      </c>
      <c r="B955" s="5">
        <f t="shared" si="57"/>
        <v>2</v>
      </c>
      <c r="C955" s="6">
        <v>45700</v>
      </c>
      <c r="D955" s="5" t="s">
        <v>785</v>
      </c>
      <c r="E955" s="5" t="s">
        <v>901</v>
      </c>
      <c r="F955" s="5">
        <v>394.6</v>
      </c>
      <c r="I955" s="5">
        <v>394.6</v>
      </c>
      <c r="J955" s="5">
        <f t="shared" si="58"/>
        <v>394.6</v>
      </c>
      <c r="K955" s="5">
        <v>61470.05</v>
      </c>
    </row>
    <row r="956" spans="1:11" x14ac:dyDescent="0.25">
      <c r="A956" s="5">
        <f t="shared" si="56"/>
        <v>2025</v>
      </c>
      <c r="B956" s="5">
        <f t="shared" si="57"/>
        <v>1</v>
      </c>
      <c r="C956" s="6">
        <v>45679</v>
      </c>
      <c r="D956" s="5" t="s">
        <v>785</v>
      </c>
      <c r="E956" s="5" t="s">
        <v>901</v>
      </c>
      <c r="F956" s="5">
        <v>399.8</v>
      </c>
      <c r="I956" s="5">
        <v>399.8</v>
      </c>
      <c r="J956" s="5">
        <f t="shared" si="58"/>
        <v>399.8</v>
      </c>
      <c r="K956" s="5">
        <v>54030.19</v>
      </c>
    </row>
    <row r="957" spans="1:11" x14ac:dyDescent="0.25">
      <c r="A957" s="5">
        <f t="shared" si="56"/>
        <v>2025</v>
      </c>
      <c r="B957" s="5">
        <f t="shared" si="57"/>
        <v>2</v>
      </c>
      <c r="C957" s="6">
        <v>45698</v>
      </c>
      <c r="D957" s="5" t="s">
        <v>785</v>
      </c>
      <c r="E957" s="5" t="s">
        <v>901</v>
      </c>
      <c r="F957" s="5">
        <v>400</v>
      </c>
      <c r="I957" s="5">
        <v>400</v>
      </c>
      <c r="J957" s="5">
        <f t="shared" si="58"/>
        <v>400</v>
      </c>
      <c r="K957" s="5">
        <v>61612.69</v>
      </c>
    </row>
    <row r="958" spans="1:11" x14ac:dyDescent="0.25">
      <c r="A958" s="5">
        <f t="shared" si="56"/>
        <v>2024</v>
      </c>
      <c r="B958" s="5">
        <f t="shared" si="57"/>
        <v>12</v>
      </c>
      <c r="C958" s="6">
        <v>45642</v>
      </c>
      <c r="D958" s="5" t="s">
        <v>785</v>
      </c>
      <c r="E958" s="5" t="s">
        <v>901</v>
      </c>
      <c r="F958" s="5">
        <v>413</v>
      </c>
      <c r="I958" s="5">
        <v>413</v>
      </c>
      <c r="J958" s="5">
        <f t="shared" si="58"/>
        <v>413</v>
      </c>
      <c r="K958" s="5">
        <v>70658.570000000007</v>
      </c>
    </row>
    <row r="959" spans="1:11" x14ac:dyDescent="0.25">
      <c r="A959" s="5">
        <f t="shared" si="56"/>
        <v>2025</v>
      </c>
      <c r="B959" s="5">
        <f t="shared" si="57"/>
        <v>2</v>
      </c>
      <c r="C959" s="6">
        <v>45716</v>
      </c>
      <c r="D959" s="5" t="s">
        <v>785</v>
      </c>
      <c r="E959" s="5" t="s">
        <v>901</v>
      </c>
      <c r="F959" s="5">
        <v>425.98</v>
      </c>
      <c r="I959" s="5">
        <v>425.98</v>
      </c>
      <c r="J959" s="5">
        <f t="shared" si="58"/>
        <v>425.98</v>
      </c>
      <c r="K959" s="5">
        <v>66080.77</v>
      </c>
    </row>
    <row r="960" spans="1:11" x14ac:dyDescent="0.25">
      <c r="A960" s="5">
        <f t="shared" si="56"/>
        <v>2025</v>
      </c>
      <c r="B960" s="5">
        <f t="shared" si="57"/>
        <v>2</v>
      </c>
      <c r="C960" s="6">
        <v>45707</v>
      </c>
      <c r="D960" s="5" t="s">
        <v>785</v>
      </c>
      <c r="E960" s="5" t="s">
        <v>901</v>
      </c>
      <c r="F960" s="5">
        <v>434</v>
      </c>
      <c r="I960" s="5">
        <v>434</v>
      </c>
      <c r="J960" s="5">
        <f t="shared" si="58"/>
        <v>434</v>
      </c>
      <c r="K960" s="5">
        <v>57222.98</v>
      </c>
    </row>
    <row r="961" spans="1:11" x14ac:dyDescent="0.25">
      <c r="A961" s="5">
        <f t="shared" si="56"/>
        <v>2025</v>
      </c>
      <c r="B961" s="5">
        <f t="shared" si="57"/>
        <v>1</v>
      </c>
      <c r="C961" s="6">
        <v>45671</v>
      </c>
      <c r="D961" s="5" t="s">
        <v>22</v>
      </c>
      <c r="E961" s="5" t="s">
        <v>901</v>
      </c>
      <c r="F961" s="5">
        <v>436.8</v>
      </c>
      <c r="I961" s="5">
        <v>436.8</v>
      </c>
      <c r="J961" s="5">
        <f t="shared" si="58"/>
        <v>436.8</v>
      </c>
      <c r="K961" s="5">
        <v>55588.61</v>
      </c>
    </row>
    <row r="962" spans="1:11" x14ac:dyDescent="0.25">
      <c r="A962" s="5">
        <f t="shared" si="56"/>
        <v>2023</v>
      </c>
      <c r="B962" s="5">
        <f t="shared" si="57"/>
        <v>10</v>
      </c>
      <c r="C962" s="6">
        <v>45211</v>
      </c>
      <c r="D962" s="5" t="s">
        <v>22</v>
      </c>
      <c r="E962" s="5" t="s">
        <v>901</v>
      </c>
      <c r="F962" s="5">
        <v>460</v>
      </c>
      <c r="I962" s="5">
        <v>460</v>
      </c>
      <c r="J962" s="5">
        <f t="shared" si="58"/>
        <v>460</v>
      </c>
      <c r="K962" s="5">
        <v>13996.25</v>
      </c>
    </row>
    <row r="963" spans="1:11" x14ac:dyDescent="0.25">
      <c r="A963" s="5">
        <f t="shared" ref="A963:A1026" si="59">YEAR(C963)</f>
        <v>2025</v>
      </c>
      <c r="B963" s="5">
        <f t="shared" ref="B963:B1026" si="60">MONTH(C963)</f>
        <v>1</v>
      </c>
      <c r="C963" s="6">
        <v>45684</v>
      </c>
      <c r="D963" s="5" t="s">
        <v>785</v>
      </c>
      <c r="E963" s="5" t="s">
        <v>901</v>
      </c>
      <c r="F963" s="5">
        <v>500</v>
      </c>
      <c r="I963" s="5">
        <v>500</v>
      </c>
      <c r="J963" s="5">
        <f t="shared" ref="J963:J1026" si="61">(F963+H963)</f>
        <v>500</v>
      </c>
      <c r="K963" s="5">
        <v>56517.11</v>
      </c>
    </row>
    <row r="964" spans="1:11" x14ac:dyDescent="0.25">
      <c r="A964" s="5">
        <f t="shared" si="59"/>
        <v>2024</v>
      </c>
      <c r="B964" s="5">
        <f t="shared" si="60"/>
        <v>9</v>
      </c>
      <c r="C964" s="6">
        <v>45539</v>
      </c>
      <c r="D964" s="5" t="s">
        <v>308</v>
      </c>
      <c r="E964" s="5" t="s">
        <v>901</v>
      </c>
      <c r="F964" s="5">
        <v>517</v>
      </c>
      <c r="I964" s="5">
        <v>517</v>
      </c>
      <c r="J964" s="5">
        <f t="shared" si="61"/>
        <v>517</v>
      </c>
      <c r="K964" s="5">
        <v>70707.820000000007</v>
      </c>
    </row>
    <row r="965" spans="1:11" x14ac:dyDescent="0.25">
      <c r="A965" s="5">
        <f t="shared" si="59"/>
        <v>2024</v>
      </c>
      <c r="B965" s="5">
        <f t="shared" si="60"/>
        <v>8</v>
      </c>
      <c r="C965" s="6">
        <v>45505</v>
      </c>
      <c r="D965" s="5" t="s">
        <v>22</v>
      </c>
      <c r="E965" s="5" t="s">
        <v>901</v>
      </c>
      <c r="F965" s="5">
        <v>520.16999999999996</v>
      </c>
      <c r="I965" s="5">
        <v>520.16999999999996</v>
      </c>
      <c r="J965" s="5">
        <f t="shared" si="61"/>
        <v>520.16999999999996</v>
      </c>
      <c r="K965" s="5">
        <v>47330.42</v>
      </c>
    </row>
    <row r="966" spans="1:11" x14ac:dyDescent="0.25">
      <c r="A966" s="5">
        <f t="shared" si="59"/>
        <v>2024</v>
      </c>
      <c r="B966" s="5">
        <f t="shared" si="60"/>
        <v>12</v>
      </c>
      <c r="C966" s="6">
        <v>45646</v>
      </c>
      <c r="D966" s="5" t="s">
        <v>795</v>
      </c>
      <c r="E966" s="5" t="s">
        <v>901</v>
      </c>
      <c r="F966" s="5">
        <v>531.32000000000005</v>
      </c>
      <c r="I966" s="5">
        <v>531.32000000000005</v>
      </c>
      <c r="J966" s="5">
        <f t="shared" si="61"/>
        <v>531.32000000000005</v>
      </c>
      <c r="K966" s="5">
        <v>43897.91</v>
      </c>
    </row>
    <row r="967" spans="1:11" x14ac:dyDescent="0.25">
      <c r="A967" s="5">
        <f t="shared" si="59"/>
        <v>2024</v>
      </c>
      <c r="B967" s="5">
        <f t="shared" si="60"/>
        <v>9</v>
      </c>
      <c r="C967" s="6">
        <v>45555</v>
      </c>
      <c r="D967" s="5" t="s">
        <v>188</v>
      </c>
      <c r="E967" s="5" t="s">
        <v>901</v>
      </c>
      <c r="F967" s="5">
        <v>540.6</v>
      </c>
      <c r="I967" s="5">
        <v>540.6</v>
      </c>
      <c r="J967" s="5">
        <f t="shared" si="61"/>
        <v>540.6</v>
      </c>
      <c r="K967" s="5">
        <v>83074.91</v>
      </c>
    </row>
    <row r="968" spans="1:11" x14ac:dyDescent="0.25">
      <c r="A968" s="5">
        <f t="shared" si="59"/>
        <v>2024</v>
      </c>
      <c r="B968" s="5">
        <f t="shared" si="60"/>
        <v>12</v>
      </c>
      <c r="C968" s="6">
        <v>45646</v>
      </c>
      <c r="D968" s="5" t="s">
        <v>795</v>
      </c>
      <c r="E968" s="5" t="s">
        <v>901</v>
      </c>
      <c r="F968" s="5">
        <v>540.64</v>
      </c>
      <c r="I968" s="5">
        <v>540.64</v>
      </c>
      <c r="J968" s="5">
        <f t="shared" si="61"/>
        <v>540.64</v>
      </c>
      <c r="K968" s="5">
        <v>43366.59</v>
      </c>
    </row>
    <row r="969" spans="1:11" x14ac:dyDescent="0.25">
      <c r="A969" s="5">
        <f t="shared" si="59"/>
        <v>2024</v>
      </c>
      <c r="B969" s="5">
        <f t="shared" si="60"/>
        <v>12</v>
      </c>
      <c r="C969" s="6">
        <v>45646</v>
      </c>
      <c r="D969" s="5" t="s">
        <v>795</v>
      </c>
      <c r="E969" s="5" t="s">
        <v>901</v>
      </c>
      <c r="F969" s="5">
        <v>548.94000000000005</v>
      </c>
      <c r="I969" s="5">
        <v>548.94000000000005</v>
      </c>
      <c r="J969" s="5">
        <f t="shared" si="61"/>
        <v>548.94000000000005</v>
      </c>
      <c r="K969" s="5">
        <v>42825.95</v>
      </c>
    </row>
    <row r="970" spans="1:11" x14ac:dyDescent="0.25">
      <c r="A970" s="5">
        <f t="shared" si="59"/>
        <v>2024</v>
      </c>
      <c r="B970" s="5">
        <f t="shared" si="60"/>
        <v>11</v>
      </c>
      <c r="C970" s="6">
        <v>45611</v>
      </c>
      <c r="D970" s="5" t="s">
        <v>188</v>
      </c>
      <c r="E970" s="5" t="s">
        <v>901</v>
      </c>
      <c r="F970" s="5">
        <v>564.03</v>
      </c>
      <c r="I970" s="5">
        <v>564.03</v>
      </c>
      <c r="J970" s="5">
        <f t="shared" si="61"/>
        <v>564.03</v>
      </c>
      <c r="K970" s="5">
        <v>33275.85</v>
      </c>
    </row>
    <row r="971" spans="1:11" x14ac:dyDescent="0.25">
      <c r="A971" s="5">
        <f t="shared" si="59"/>
        <v>2024</v>
      </c>
      <c r="B971" s="5">
        <f t="shared" si="60"/>
        <v>6</v>
      </c>
      <c r="C971" s="6">
        <v>45453</v>
      </c>
      <c r="D971" s="5" t="s">
        <v>308</v>
      </c>
      <c r="E971" s="5" t="s">
        <v>901</v>
      </c>
      <c r="F971" s="5">
        <v>596</v>
      </c>
      <c r="I971" s="5">
        <v>596</v>
      </c>
      <c r="J971" s="5">
        <f t="shared" si="61"/>
        <v>596</v>
      </c>
      <c r="K971" s="5">
        <v>39438.839999999997</v>
      </c>
    </row>
    <row r="972" spans="1:11" x14ac:dyDescent="0.25">
      <c r="A972" s="5">
        <f t="shared" si="59"/>
        <v>2024</v>
      </c>
      <c r="B972" s="5">
        <f t="shared" si="60"/>
        <v>2</v>
      </c>
      <c r="C972" s="6">
        <v>45338</v>
      </c>
      <c r="D972" s="5" t="s">
        <v>188</v>
      </c>
      <c r="E972" s="5" t="s">
        <v>901</v>
      </c>
      <c r="F972" s="5">
        <v>602.59</v>
      </c>
      <c r="I972" s="5">
        <v>602.59</v>
      </c>
      <c r="J972" s="5">
        <f t="shared" si="61"/>
        <v>602.59</v>
      </c>
      <c r="K972" s="5">
        <v>16134.45</v>
      </c>
    </row>
    <row r="973" spans="1:11" x14ac:dyDescent="0.25">
      <c r="A973" s="5">
        <f t="shared" si="59"/>
        <v>2024</v>
      </c>
      <c r="B973" s="5">
        <f t="shared" si="60"/>
        <v>5</v>
      </c>
      <c r="C973" s="6">
        <v>45434</v>
      </c>
      <c r="D973" s="5" t="s">
        <v>22</v>
      </c>
      <c r="E973" s="5" t="s">
        <v>901</v>
      </c>
      <c r="F973" s="5">
        <v>617</v>
      </c>
      <c r="I973" s="5">
        <v>617</v>
      </c>
      <c r="J973" s="5">
        <f t="shared" si="61"/>
        <v>617</v>
      </c>
      <c r="K973" s="5">
        <v>18571.13</v>
      </c>
    </row>
    <row r="974" spans="1:11" x14ac:dyDescent="0.25">
      <c r="A974" s="5">
        <f t="shared" si="59"/>
        <v>2024</v>
      </c>
      <c r="B974" s="5">
        <f t="shared" si="60"/>
        <v>5</v>
      </c>
      <c r="C974" s="6">
        <v>45442</v>
      </c>
      <c r="D974" s="5" t="s">
        <v>22</v>
      </c>
      <c r="E974" s="5" t="s">
        <v>901</v>
      </c>
      <c r="F974" s="5">
        <v>635.57000000000005</v>
      </c>
      <c r="I974" s="5">
        <v>635.57000000000005</v>
      </c>
      <c r="J974" s="5">
        <f t="shared" si="61"/>
        <v>635.57000000000005</v>
      </c>
      <c r="K974" s="5">
        <v>45353.11</v>
      </c>
    </row>
    <row r="975" spans="1:11" x14ac:dyDescent="0.25">
      <c r="A975" s="5">
        <f t="shared" si="59"/>
        <v>2025</v>
      </c>
      <c r="B975" s="5">
        <f t="shared" si="60"/>
        <v>1</v>
      </c>
      <c r="C975" s="6">
        <v>45665</v>
      </c>
      <c r="D975" s="5" t="s">
        <v>785</v>
      </c>
      <c r="E975" s="5" t="s">
        <v>901</v>
      </c>
      <c r="F975" s="5">
        <v>663.02</v>
      </c>
      <c r="I975" s="5">
        <v>663.02</v>
      </c>
      <c r="J975" s="5">
        <f t="shared" si="61"/>
        <v>663.02</v>
      </c>
      <c r="K975" s="5">
        <v>79383.210000000006</v>
      </c>
    </row>
    <row r="976" spans="1:11" x14ac:dyDescent="0.25">
      <c r="A976" s="5">
        <f t="shared" si="59"/>
        <v>2024</v>
      </c>
      <c r="B976" s="5">
        <f t="shared" si="60"/>
        <v>12</v>
      </c>
      <c r="C976" s="6">
        <v>45649</v>
      </c>
      <c r="D976" s="5" t="s">
        <v>785</v>
      </c>
      <c r="E976" s="5" t="s">
        <v>901</v>
      </c>
      <c r="F976" s="5">
        <v>701.6</v>
      </c>
      <c r="I976" s="5">
        <v>701.6</v>
      </c>
      <c r="J976" s="5">
        <f t="shared" si="61"/>
        <v>701.6</v>
      </c>
      <c r="K976" s="5">
        <v>63303.01</v>
      </c>
    </row>
    <row r="977" spans="1:11" x14ac:dyDescent="0.25">
      <c r="A977" s="5">
        <f t="shared" si="59"/>
        <v>2025</v>
      </c>
      <c r="B977" s="5">
        <f t="shared" si="60"/>
        <v>2</v>
      </c>
      <c r="C977" s="6">
        <v>45691</v>
      </c>
      <c r="D977" s="5" t="s">
        <v>785</v>
      </c>
      <c r="E977" s="5" t="s">
        <v>901</v>
      </c>
      <c r="F977" s="5">
        <v>771.1</v>
      </c>
      <c r="I977" s="5">
        <v>771.1</v>
      </c>
      <c r="J977" s="5">
        <f t="shared" si="61"/>
        <v>771.1</v>
      </c>
      <c r="K977" s="5">
        <v>59830.02</v>
      </c>
    </row>
    <row r="978" spans="1:11" x14ac:dyDescent="0.25">
      <c r="A978" s="5">
        <f t="shared" si="59"/>
        <v>2025</v>
      </c>
      <c r="B978" s="5">
        <f t="shared" si="60"/>
        <v>1</v>
      </c>
      <c r="C978" s="6">
        <v>45673</v>
      </c>
      <c r="D978" s="5" t="s">
        <v>785</v>
      </c>
      <c r="E978" s="5" t="s">
        <v>901</v>
      </c>
      <c r="F978" s="5">
        <v>872.62</v>
      </c>
      <c r="I978" s="5">
        <v>872.62</v>
      </c>
      <c r="J978" s="5">
        <f t="shared" si="61"/>
        <v>872.62</v>
      </c>
      <c r="K978" s="5">
        <v>46741.23</v>
      </c>
    </row>
    <row r="979" spans="1:11" x14ac:dyDescent="0.25">
      <c r="A979" s="5">
        <f t="shared" si="59"/>
        <v>2025</v>
      </c>
      <c r="B979" s="5">
        <f t="shared" si="60"/>
        <v>2</v>
      </c>
      <c r="C979" s="6">
        <v>45695</v>
      </c>
      <c r="D979" s="5" t="s">
        <v>22</v>
      </c>
      <c r="E979" s="5" t="s">
        <v>901</v>
      </c>
      <c r="F979" s="5">
        <v>912</v>
      </c>
      <c r="I979" s="5">
        <v>912</v>
      </c>
      <c r="J979" s="5">
        <f t="shared" si="61"/>
        <v>912</v>
      </c>
      <c r="K979" s="5">
        <v>73509.350000000006</v>
      </c>
    </row>
    <row r="980" spans="1:11" x14ac:dyDescent="0.25">
      <c r="A980" s="5">
        <f t="shared" si="59"/>
        <v>2024</v>
      </c>
      <c r="B980" s="5">
        <f t="shared" si="60"/>
        <v>3</v>
      </c>
      <c r="C980" s="6">
        <v>45358</v>
      </c>
      <c r="D980" s="5" t="s">
        <v>22</v>
      </c>
      <c r="E980" s="5" t="s">
        <v>901</v>
      </c>
      <c r="F980" s="5">
        <v>920.41</v>
      </c>
      <c r="I980" s="5">
        <v>920.41</v>
      </c>
      <c r="J980" s="5">
        <f t="shared" si="61"/>
        <v>920.41</v>
      </c>
      <c r="K980" s="5">
        <v>46735.77</v>
      </c>
    </row>
    <row r="981" spans="1:11" x14ac:dyDescent="0.25">
      <c r="A981" s="5">
        <f t="shared" si="59"/>
        <v>2025</v>
      </c>
      <c r="B981" s="5">
        <f t="shared" si="60"/>
        <v>2</v>
      </c>
      <c r="C981" s="6">
        <v>45695</v>
      </c>
      <c r="D981" s="5" t="s">
        <v>22</v>
      </c>
      <c r="E981" s="5" t="s">
        <v>901</v>
      </c>
      <c r="F981" s="5">
        <v>1005.8</v>
      </c>
      <c r="I981" s="5">
        <v>1005.8</v>
      </c>
      <c r="J981" s="5">
        <f t="shared" si="61"/>
        <v>1005.8</v>
      </c>
      <c r="K981" s="5">
        <v>72597.350000000006</v>
      </c>
    </row>
    <row r="982" spans="1:11" x14ac:dyDescent="0.25">
      <c r="A982" s="5">
        <f t="shared" si="59"/>
        <v>2024</v>
      </c>
      <c r="B982" s="5">
        <f t="shared" si="60"/>
        <v>9</v>
      </c>
      <c r="C982" s="6">
        <v>45551</v>
      </c>
      <c r="D982" s="5" t="s">
        <v>188</v>
      </c>
      <c r="E982" s="5" t="s">
        <v>901</v>
      </c>
      <c r="F982" s="5">
        <v>1015.43</v>
      </c>
      <c r="I982" s="5">
        <v>1015.43</v>
      </c>
      <c r="J982" s="5">
        <f t="shared" si="61"/>
        <v>1015.43</v>
      </c>
      <c r="K982" s="5">
        <v>88194.32</v>
      </c>
    </row>
    <row r="983" spans="1:11" x14ac:dyDescent="0.25">
      <c r="A983" s="5">
        <f t="shared" si="59"/>
        <v>2024</v>
      </c>
      <c r="B983" s="5">
        <f t="shared" si="60"/>
        <v>10</v>
      </c>
      <c r="C983" s="6">
        <v>45586</v>
      </c>
      <c r="D983" s="5" t="s">
        <v>308</v>
      </c>
      <c r="E983" s="5" t="s">
        <v>901</v>
      </c>
      <c r="F983" s="5">
        <v>1023</v>
      </c>
      <c r="I983" s="5">
        <v>1023</v>
      </c>
      <c r="J983" s="5">
        <f t="shared" si="61"/>
        <v>1023</v>
      </c>
      <c r="K983" s="5">
        <v>72797.63</v>
      </c>
    </row>
    <row r="984" spans="1:11" x14ac:dyDescent="0.25">
      <c r="A984" s="5">
        <f t="shared" si="59"/>
        <v>2025</v>
      </c>
      <c r="B984" s="5">
        <f t="shared" si="60"/>
        <v>1</v>
      </c>
      <c r="C984" s="6">
        <v>45686</v>
      </c>
      <c r="D984" s="5" t="s">
        <v>785</v>
      </c>
      <c r="E984" s="5" t="s">
        <v>901</v>
      </c>
      <c r="F984" s="5">
        <v>1140.0999999999999</v>
      </c>
      <c r="I984" s="5">
        <v>1140.0999999999999</v>
      </c>
      <c r="J984" s="5">
        <f t="shared" si="61"/>
        <v>1140.0999999999999</v>
      </c>
      <c r="K984" s="5">
        <v>55824.35</v>
      </c>
    </row>
    <row r="985" spans="1:11" x14ac:dyDescent="0.25">
      <c r="A985" s="5">
        <f t="shared" si="59"/>
        <v>2025</v>
      </c>
      <c r="B985" s="5">
        <f t="shared" si="60"/>
        <v>1</v>
      </c>
      <c r="C985" s="6">
        <v>45681</v>
      </c>
      <c r="D985" s="5" t="s">
        <v>785</v>
      </c>
      <c r="E985" s="5" t="s">
        <v>901</v>
      </c>
      <c r="F985" s="5">
        <v>1214.8</v>
      </c>
      <c r="I985" s="5">
        <v>1214.8</v>
      </c>
      <c r="J985" s="5">
        <f t="shared" si="61"/>
        <v>1214.8</v>
      </c>
      <c r="K985" s="5">
        <v>78289.39</v>
      </c>
    </row>
    <row r="986" spans="1:11" x14ac:dyDescent="0.25">
      <c r="A986" s="5">
        <f t="shared" si="59"/>
        <v>2024</v>
      </c>
      <c r="B986" s="5">
        <f t="shared" si="60"/>
        <v>9</v>
      </c>
      <c r="C986" s="6">
        <v>45565</v>
      </c>
      <c r="D986" s="5" t="s">
        <v>308</v>
      </c>
      <c r="E986" s="5" t="s">
        <v>901</v>
      </c>
      <c r="F986" s="5">
        <v>1223.5</v>
      </c>
      <c r="I986" s="5">
        <v>1223.5</v>
      </c>
      <c r="J986" s="5">
        <f t="shared" si="61"/>
        <v>1223.5</v>
      </c>
      <c r="K986" s="5">
        <v>96169.1</v>
      </c>
    </row>
    <row r="987" spans="1:11" x14ac:dyDescent="0.25">
      <c r="A987" s="5">
        <f t="shared" si="59"/>
        <v>2024</v>
      </c>
      <c r="B987" s="5">
        <f t="shared" si="60"/>
        <v>10</v>
      </c>
      <c r="C987" s="6">
        <v>45568</v>
      </c>
      <c r="D987" s="5" t="s">
        <v>308</v>
      </c>
      <c r="E987" s="5" t="s">
        <v>901</v>
      </c>
      <c r="F987" s="5">
        <v>1244.3599999999999</v>
      </c>
      <c r="I987" s="5">
        <v>1244.3599999999999</v>
      </c>
      <c r="J987" s="5">
        <f t="shared" si="61"/>
        <v>1244.3599999999999</v>
      </c>
      <c r="K987" s="5">
        <v>89363.04</v>
      </c>
    </row>
    <row r="988" spans="1:11" x14ac:dyDescent="0.25">
      <c r="A988" s="5">
        <f t="shared" si="59"/>
        <v>2024</v>
      </c>
      <c r="B988" s="5">
        <f t="shared" si="60"/>
        <v>8</v>
      </c>
      <c r="C988" s="6">
        <v>45523</v>
      </c>
      <c r="D988" s="5" t="s">
        <v>308</v>
      </c>
      <c r="E988" s="5" t="s">
        <v>901</v>
      </c>
      <c r="F988" s="5">
        <v>1275</v>
      </c>
      <c r="I988" s="5">
        <v>1275</v>
      </c>
      <c r="J988" s="5">
        <f t="shared" si="61"/>
        <v>1275</v>
      </c>
      <c r="K988" s="5">
        <v>71922.490000000005</v>
      </c>
    </row>
    <row r="989" spans="1:11" x14ac:dyDescent="0.25">
      <c r="A989" s="5">
        <f t="shared" si="59"/>
        <v>2025</v>
      </c>
      <c r="B989" s="5">
        <f t="shared" si="60"/>
        <v>1</v>
      </c>
      <c r="C989" s="6">
        <v>45678</v>
      </c>
      <c r="D989" s="5" t="s">
        <v>841</v>
      </c>
      <c r="E989" s="5" t="s">
        <v>901</v>
      </c>
      <c r="F989" s="5">
        <v>1320.56</v>
      </c>
      <c r="I989" s="5">
        <v>1320.56</v>
      </c>
      <c r="J989" s="5">
        <f t="shared" si="61"/>
        <v>1320.56</v>
      </c>
      <c r="K989" s="5">
        <v>56370.58</v>
      </c>
    </row>
    <row r="990" spans="1:11" x14ac:dyDescent="0.25">
      <c r="A990" s="5">
        <f t="shared" si="59"/>
        <v>2024</v>
      </c>
      <c r="B990" s="5">
        <f t="shared" si="60"/>
        <v>10</v>
      </c>
      <c r="C990" s="6">
        <v>45580</v>
      </c>
      <c r="D990" s="5" t="s">
        <v>308</v>
      </c>
      <c r="E990" s="5" t="s">
        <v>901</v>
      </c>
      <c r="F990" s="5">
        <v>1336</v>
      </c>
      <c r="I990" s="5">
        <v>1336</v>
      </c>
      <c r="J990" s="5">
        <f t="shared" si="61"/>
        <v>1336</v>
      </c>
      <c r="K990" s="5">
        <v>104481.71</v>
      </c>
    </row>
    <row r="991" spans="1:11" x14ac:dyDescent="0.25">
      <c r="A991" s="5">
        <f t="shared" si="59"/>
        <v>2024</v>
      </c>
      <c r="B991" s="5">
        <f t="shared" si="60"/>
        <v>11</v>
      </c>
      <c r="C991" s="6">
        <v>45614</v>
      </c>
      <c r="D991" s="5" t="s">
        <v>745</v>
      </c>
      <c r="E991" s="5" t="s">
        <v>901</v>
      </c>
      <c r="F991" s="5">
        <v>1417</v>
      </c>
      <c r="I991" s="5">
        <v>1417</v>
      </c>
      <c r="J991" s="5">
        <f t="shared" si="61"/>
        <v>1417</v>
      </c>
      <c r="K991" s="5">
        <v>6507.17</v>
      </c>
    </row>
    <row r="992" spans="1:11" x14ac:dyDescent="0.25">
      <c r="A992" s="5">
        <f t="shared" si="59"/>
        <v>2024</v>
      </c>
      <c r="B992" s="5">
        <f t="shared" si="60"/>
        <v>11</v>
      </c>
      <c r="C992" s="6">
        <v>45618</v>
      </c>
      <c r="D992" s="5" t="s">
        <v>22</v>
      </c>
      <c r="E992" s="5" t="s">
        <v>901</v>
      </c>
      <c r="F992" s="5">
        <v>1426.64</v>
      </c>
      <c r="I992" s="5">
        <v>1426.64</v>
      </c>
      <c r="J992" s="5">
        <f t="shared" si="61"/>
        <v>1426.64</v>
      </c>
      <c r="K992" s="5">
        <v>5215.2299999999996</v>
      </c>
    </row>
    <row r="993" spans="1:11" x14ac:dyDescent="0.25">
      <c r="A993" s="5">
        <f t="shared" si="59"/>
        <v>2024</v>
      </c>
      <c r="B993" s="5">
        <f t="shared" si="60"/>
        <v>12</v>
      </c>
      <c r="C993" s="6">
        <v>45649</v>
      </c>
      <c r="D993" s="5" t="s">
        <v>785</v>
      </c>
      <c r="E993" s="5" t="s">
        <v>901</v>
      </c>
      <c r="F993" s="5">
        <v>1442.4</v>
      </c>
      <c r="I993" s="5">
        <v>1442.4</v>
      </c>
      <c r="J993" s="5">
        <f t="shared" si="61"/>
        <v>1442.4</v>
      </c>
      <c r="K993" s="5">
        <v>62601.41</v>
      </c>
    </row>
    <row r="994" spans="1:11" x14ac:dyDescent="0.25">
      <c r="A994" s="5">
        <f t="shared" si="59"/>
        <v>2024</v>
      </c>
      <c r="B994" s="5">
        <f t="shared" si="60"/>
        <v>10</v>
      </c>
      <c r="C994" s="6">
        <v>45576</v>
      </c>
      <c r="D994" s="5" t="s">
        <v>308</v>
      </c>
      <c r="E994" s="5" t="s">
        <v>901</v>
      </c>
      <c r="F994" s="5">
        <v>1458</v>
      </c>
      <c r="I994" s="5">
        <v>1458</v>
      </c>
      <c r="J994" s="5">
        <f t="shared" si="61"/>
        <v>1458</v>
      </c>
      <c r="K994" s="5">
        <v>67967.06</v>
      </c>
    </row>
    <row r="995" spans="1:11" x14ac:dyDescent="0.25">
      <c r="A995" s="5">
        <f t="shared" si="59"/>
        <v>2024</v>
      </c>
      <c r="B995" s="5">
        <f t="shared" si="60"/>
        <v>7</v>
      </c>
      <c r="C995" s="6">
        <v>45503</v>
      </c>
      <c r="D995" s="5" t="s">
        <v>308</v>
      </c>
      <c r="E995" s="5" t="s">
        <v>901</v>
      </c>
      <c r="F995" s="5">
        <v>1472</v>
      </c>
      <c r="I995" s="5">
        <v>1472</v>
      </c>
      <c r="J995" s="5">
        <f t="shared" si="61"/>
        <v>1472</v>
      </c>
      <c r="K995" s="5">
        <v>31938.26</v>
      </c>
    </row>
    <row r="996" spans="1:11" x14ac:dyDescent="0.25">
      <c r="A996" s="5">
        <f t="shared" si="59"/>
        <v>2025</v>
      </c>
      <c r="B996" s="5">
        <f t="shared" si="60"/>
        <v>1</v>
      </c>
      <c r="C996" s="6">
        <v>45688</v>
      </c>
      <c r="D996" s="5" t="s">
        <v>785</v>
      </c>
      <c r="E996" s="5" t="s">
        <v>901</v>
      </c>
      <c r="F996" s="5">
        <v>1500</v>
      </c>
      <c r="I996" s="5">
        <v>1500</v>
      </c>
      <c r="J996" s="5">
        <f t="shared" si="61"/>
        <v>1500</v>
      </c>
      <c r="K996" s="5">
        <v>54024.56</v>
      </c>
    </row>
    <row r="997" spans="1:11" x14ac:dyDescent="0.25">
      <c r="A997" s="5">
        <f t="shared" si="59"/>
        <v>2025</v>
      </c>
      <c r="B997" s="5">
        <f t="shared" si="60"/>
        <v>2</v>
      </c>
      <c r="C997" s="6">
        <v>45709</v>
      </c>
      <c r="D997" s="5" t="s">
        <v>22</v>
      </c>
      <c r="E997" s="5" t="s">
        <v>901</v>
      </c>
      <c r="F997" s="5">
        <v>1500</v>
      </c>
      <c r="I997" s="5">
        <v>1500</v>
      </c>
      <c r="J997" s="5">
        <f t="shared" si="61"/>
        <v>1500</v>
      </c>
      <c r="K997" s="5">
        <v>63845.08</v>
      </c>
    </row>
    <row r="998" spans="1:11" x14ac:dyDescent="0.25">
      <c r="A998" s="5">
        <f t="shared" si="59"/>
        <v>2024</v>
      </c>
      <c r="B998" s="5">
        <f t="shared" si="60"/>
        <v>12</v>
      </c>
      <c r="C998" s="6">
        <v>45636</v>
      </c>
      <c r="D998" s="5" t="s">
        <v>22</v>
      </c>
      <c r="E998" s="5" t="s">
        <v>901</v>
      </c>
      <c r="F998" s="5">
        <v>1571.99</v>
      </c>
      <c r="I998" s="5">
        <v>1571.99</v>
      </c>
      <c r="J998" s="5">
        <f t="shared" si="61"/>
        <v>1571.99</v>
      </c>
      <c r="K998" s="5">
        <v>10924.75</v>
      </c>
    </row>
    <row r="999" spans="1:11" x14ac:dyDescent="0.25">
      <c r="A999" s="5">
        <f t="shared" si="59"/>
        <v>2023</v>
      </c>
      <c r="B999" s="5">
        <f t="shared" si="60"/>
        <v>9</v>
      </c>
      <c r="C999" s="6">
        <v>45191</v>
      </c>
      <c r="D999" s="5" t="s">
        <v>22</v>
      </c>
      <c r="E999" s="5" t="s">
        <v>901</v>
      </c>
      <c r="F999" s="5">
        <v>1602</v>
      </c>
      <c r="I999" s="5">
        <v>1602</v>
      </c>
      <c r="J999" s="5">
        <f t="shared" si="61"/>
        <v>1602</v>
      </c>
      <c r="K999" s="5">
        <v>14707.86</v>
      </c>
    </row>
    <row r="1000" spans="1:11" x14ac:dyDescent="0.25">
      <c r="A1000" s="5">
        <f t="shared" si="59"/>
        <v>2025</v>
      </c>
      <c r="B1000" s="5">
        <f t="shared" si="60"/>
        <v>2</v>
      </c>
      <c r="C1000" s="6">
        <v>45695</v>
      </c>
      <c r="D1000" s="5" t="s">
        <v>22</v>
      </c>
      <c r="E1000" s="5" t="s">
        <v>901</v>
      </c>
      <c r="F1000" s="5">
        <v>1750</v>
      </c>
      <c r="I1000" s="5">
        <v>1750</v>
      </c>
      <c r="J1000" s="5">
        <f t="shared" si="61"/>
        <v>1750</v>
      </c>
      <c r="K1000" s="5">
        <v>71591.55</v>
      </c>
    </row>
    <row r="1001" spans="1:11" x14ac:dyDescent="0.25">
      <c r="A1001" s="5">
        <f t="shared" si="59"/>
        <v>2024</v>
      </c>
      <c r="B1001" s="5">
        <f t="shared" si="60"/>
        <v>9</v>
      </c>
      <c r="C1001" s="6">
        <v>45547</v>
      </c>
      <c r="D1001" s="5" t="s">
        <v>308</v>
      </c>
      <c r="E1001" s="5" t="s">
        <v>901</v>
      </c>
      <c r="F1001" s="5">
        <v>1973</v>
      </c>
      <c r="I1001" s="5">
        <v>1973</v>
      </c>
      <c r="J1001" s="5">
        <f t="shared" si="61"/>
        <v>1973</v>
      </c>
      <c r="K1001" s="5">
        <v>69612.02</v>
      </c>
    </row>
    <row r="1002" spans="1:11" x14ac:dyDescent="0.25">
      <c r="A1002" s="5">
        <f t="shared" si="59"/>
        <v>2024</v>
      </c>
      <c r="B1002" s="5">
        <f t="shared" si="60"/>
        <v>5</v>
      </c>
      <c r="C1002" s="6">
        <v>45427</v>
      </c>
      <c r="D1002" s="5" t="s">
        <v>334</v>
      </c>
      <c r="E1002" s="5" t="s">
        <v>901</v>
      </c>
      <c r="F1002" s="5">
        <v>2000</v>
      </c>
      <c r="I1002" s="5">
        <v>2000</v>
      </c>
      <c r="J1002" s="5">
        <f t="shared" si="61"/>
        <v>2000</v>
      </c>
      <c r="K1002" s="5">
        <v>25675.07</v>
      </c>
    </row>
    <row r="1003" spans="1:11" x14ac:dyDescent="0.25">
      <c r="A1003" s="5">
        <f t="shared" si="59"/>
        <v>2024</v>
      </c>
      <c r="B1003" s="5">
        <f t="shared" si="60"/>
        <v>12</v>
      </c>
      <c r="C1003" s="6">
        <v>45636</v>
      </c>
      <c r="D1003" s="5" t="s">
        <v>780</v>
      </c>
      <c r="E1003" s="5" t="s">
        <v>901</v>
      </c>
      <c r="F1003" s="5">
        <v>2000</v>
      </c>
      <c r="I1003" s="5">
        <v>2000</v>
      </c>
      <c r="J1003" s="5">
        <f t="shared" si="61"/>
        <v>2000</v>
      </c>
      <c r="K1003" s="5">
        <v>9352.76</v>
      </c>
    </row>
    <row r="1004" spans="1:11" x14ac:dyDescent="0.25">
      <c r="A1004" s="5">
        <f t="shared" si="59"/>
        <v>2024</v>
      </c>
      <c r="B1004" s="5">
        <f t="shared" si="60"/>
        <v>12</v>
      </c>
      <c r="C1004" s="6">
        <v>45639</v>
      </c>
      <c r="D1004" s="5" t="s">
        <v>784</v>
      </c>
      <c r="E1004" s="5" t="s">
        <v>901</v>
      </c>
      <c r="F1004" s="5">
        <v>2000</v>
      </c>
      <c r="I1004" s="5">
        <v>2000</v>
      </c>
      <c r="J1004" s="5">
        <f t="shared" si="61"/>
        <v>2000</v>
      </c>
      <c r="K1004" s="5">
        <v>24874.75</v>
      </c>
    </row>
    <row r="1005" spans="1:11" x14ac:dyDescent="0.25">
      <c r="A1005" s="5">
        <f t="shared" si="59"/>
        <v>2024</v>
      </c>
      <c r="B1005" s="5">
        <f t="shared" si="60"/>
        <v>8</v>
      </c>
      <c r="C1005" s="6">
        <v>45520</v>
      </c>
      <c r="D1005" s="5" t="s">
        <v>308</v>
      </c>
      <c r="E1005" s="5" t="s">
        <v>901</v>
      </c>
      <c r="F1005" s="5">
        <v>2109</v>
      </c>
      <c r="I1005" s="5">
        <v>2109</v>
      </c>
      <c r="J1005" s="5">
        <f t="shared" si="61"/>
        <v>2109</v>
      </c>
      <c r="K1005" s="5">
        <v>59110.45</v>
      </c>
    </row>
    <row r="1006" spans="1:11" x14ac:dyDescent="0.25">
      <c r="A1006" s="5">
        <f t="shared" si="59"/>
        <v>2024</v>
      </c>
      <c r="B1006" s="5">
        <f t="shared" si="60"/>
        <v>5</v>
      </c>
      <c r="C1006" s="6">
        <v>45425</v>
      </c>
      <c r="D1006" s="5" t="s">
        <v>331</v>
      </c>
      <c r="E1006" s="5" t="s">
        <v>901</v>
      </c>
      <c r="F1006" s="5">
        <v>2195</v>
      </c>
      <c r="I1006" s="5">
        <v>2195</v>
      </c>
      <c r="J1006" s="5">
        <f t="shared" si="61"/>
        <v>2195</v>
      </c>
      <c r="K1006" s="5">
        <v>8837.67</v>
      </c>
    </row>
    <row r="1007" spans="1:11" x14ac:dyDescent="0.25">
      <c r="A1007" s="5">
        <f t="shared" si="59"/>
        <v>2025</v>
      </c>
      <c r="B1007" s="5">
        <f t="shared" si="60"/>
        <v>2</v>
      </c>
      <c r="C1007" s="6">
        <v>45695</v>
      </c>
      <c r="D1007" s="5" t="s">
        <v>785</v>
      </c>
      <c r="E1007" s="5" t="s">
        <v>901</v>
      </c>
      <c r="F1007" s="5">
        <v>2247.5</v>
      </c>
      <c r="I1007" s="5">
        <v>2247.5</v>
      </c>
      <c r="J1007" s="5">
        <f t="shared" si="61"/>
        <v>2247.5</v>
      </c>
      <c r="K1007" s="5">
        <v>69841.55</v>
      </c>
    </row>
    <row r="1008" spans="1:11" x14ac:dyDescent="0.25">
      <c r="A1008" s="5">
        <f t="shared" si="59"/>
        <v>2024</v>
      </c>
      <c r="B1008" s="5">
        <f t="shared" si="60"/>
        <v>12</v>
      </c>
      <c r="C1008" s="6">
        <v>45646</v>
      </c>
      <c r="D1008" s="5" t="s">
        <v>785</v>
      </c>
      <c r="E1008" s="5" t="s">
        <v>901</v>
      </c>
      <c r="F1008" s="5">
        <v>2353.25</v>
      </c>
      <c r="I1008" s="5">
        <v>2353.25</v>
      </c>
      <c r="J1008" s="5">
        <f t="shared" si="61"/>
        <v>2353.25</v>
      </c>
      <c r="K1008" s="5">
        <v>42277.01</v>
      </c>
    </row>
    <row r="1009" spans="1:11" x14ac:dyDescent="0.25">
      <c r="A1009" s="5">
        <f t="shared" si="59"/>
        <v>2024</v>
      </c>
      <c r="B1009" s="5">
        <f t="shared" si="60"/>
        <v>9</v>
      </c>
      <c r="C1009" s="6">
        <v>45562</v>
      </c>
      <c r="D1009" s="5" t="s">
        <v>22</v>
      </c>
      <c r="E1009" s="5" t="s">
        <v>901</v>
      </c>
      <c r="F1009" s="5">
        <v>2558.79</v>
      </c>
      <c r="I1009" s="5">
        <v>2558.79</v>
      </c>
      <c r="J1009" s="5">
        <f t="shared" si="61"/>
        <v>2558.79</v>
      </c>
      <c r="K1009" s="5">
        <v>83665.14</v>
      </c>
    </row>
    <row r="1010" spans="1:11" x14ac:dyDescent="0.25">
      <c r="A1010" s="5">
        <f t="shared" si="59"/>
        <v>2024</v>
      </c>
      <c r="B1010" s="5">
        <f t="shared" si="60"/>
        <v>4</v>
      </c>
      <c r="C1010" s="6">
        <v>45401</v>
      </c>
      <c r="D1010" s="5" t="s">
        <v>22</v>
      </c>
      <c r="E1010" s="5" t="s">
        <v>901</v>
      </c>
      <c r="F1010" s="5">
        <v>2662.03</v>
      </c>
      <c r="I1010" s="5">
        <v>2662.03</v>
      </c>
      <c r="J1010" s="5">
        <f t="shared" si="61"/>
        <v>2662.03</v>
      </c>
      <c r="K1010" s="5">
        <v>11688.19</v>
      </c>
    </row>
    <row r="1011" spans="1:11" x14ac:dyDescent="0.25">
      <c r="A1011" s="5">
        <f t="shared" si="59"/>
        <v>2024</v>
      </c>
      <c r="B1011" s="5">
        <f t="shared" si="60"/>
        <v>10</v>
      </c>
      <c r="C1011" s="6">
        <v>45595</v>
      </c>
      <c r="D1011" s="5" t="s">
        <v>22</v>
      </c>
      <c r="E1011" s="5" t="s">
        <v>901</v>
      </c>
      <c r="F1011" s="5">
        <v>2800</v>
      </c>
      <c r="I1011" s="5">
        <v>2800</v>
      </c>
      <c r="J1011" s="5">
        <f t="shared" si="61"/>
        <v>2800</v>
      </c>
      <c r="K1011" s="5">
        <v>77631.929999999993</v>
      </c>
    </row>
    <row r="1012" spans="1:11" x14ac:dyDescent="0.25">
      <c r="A1012" s="5">
        <f t="shared" si="59"/>
        <v>2025</v>
      </c>
      <c r="B1012" s="5">
        <f t="shared" si="60"/>
        <v>2</v>
      </c>
      <c r="C1012" s="6">
        <v>45691</v>
      </c>
      <c r="D1012" s="5" t="s">
        <v>785</v>
      </c>
      <c r="E1012" s="5" t="s">
        <v>901</v>
      </c>
      <c r="F1012" s="5">
        <v>2830.36</v>
      </c>
      <c r="I1012" s="5">
        <v>2830.36</v>
      </c>
      <c r="J1012" s="5">
        <f t="shared" si="61"/>
        <v>2830.36</v>
      </c>
      <c r="K1012" s="5">
        <v>59058.92</v>
      </c>
    </row>
    <row r="1013" spans="1:11" x14ac:dyDescent="0.25">
      <c r="A1013" s="5">
        <f t="shared" si="59"/>
        <v>2024</v>
      </c>
      <c r="B1013" s="5">
        <f t="shared" si="60"/>
        <v>4</v>
      </c>
      <c r="C1013" s="6">
        <v>45383</v>
      </c>
      <c r="D1013" s="5" t="s">
        <v>257</v>
      </c>
      <c r="E1013" s="5" t="s">
        <v>901</v>
      </c>
      <c r="F1013" s="5">
        <v>2877</v>
      </c>
      <c r="I1013" s="5">
        <v>2877</v>
      </c>
      <c r="J1013" s="5">
        <f t="shared" si="61"/>
        <v>2877</v>
      </c>
      <c r="K1013" s="5">
        <v>24336.55</v>
      </c>
    </row>
    <row r="1014" spans="1:11" x14ac:dyDescent="0.25">
      <c r="A1014" s="5">
        <f t="shared" si="59"/>
        <v>2024</v>
      </c>
      <c r="B1014" s="5">
        <f t="shared" si="60"/>
        <v>11</v>
      </c>
      <c r="C1014" s="6">
        <v>45621</v>
      </c>
      <c r="D1014" s="5" t="s">
        <v>756</v>
      </c>
      <c r="E1014" s="5" t="s">
        <v>901</v>
      </c>
      <c r="F1014" s="5">
        <v>2900</v>
      </c>
      <c r="I1014" s="5">
        <v>2900</v>
      </c>
      <c r="J1014" s="5">
        <f t="shared" si="61"/>
        <v>2900</v>
      </c>
      <c r="K1014" s="5">
        <v>12071.43</v>
      </c>
    </row>
    <row r="1015" spans="1:11" x14ac:dyDescent="0.25">
      <c r="A1015" s="5">
        <f t="shared" si="59"/>
        <v>2024</v>
      </c>
      <c r="B1015" s="5">
        <f t="shared" si="60"/>
        <v>9</v>
      </c>
      <c r="C1015" s="6">
        <v>45554</v>
      </c>
      <c r="D1015" s="5" t="s">
        <v>308</v>
      </c>
      <c r="E1015" s="5" t="s">
        <v>901</v>
      </c>
      <c r="F1015" s="5">
        <v>2959.14</v>
      </c>
      <c r="I1015" s="5">
        <v>2959.14</v>
      </c>
      <c r="J1015" s="5">
        <f t="shared" si="61"/>
        <v>2959.14</v>
      </c>
      <c r="K1015" s="5">
        <v>90293.63</v>
      </c>
    </row>
    <row r="1016" spans="1:11" x14ac:dyDescent="0.25">
      <c r="A1016" s="5">
        <f t="shared" si="59"/>
        <v>2025</v>
      </c>
      <c r="B1016" s="5">
        <f t="shared" si="60"/>
        <v>1</v>
      </c>
      <c r="C1016" s="6">
        <v>45684</v>
      </c>
      <c r="D1016" s="5" t="s">
        <v>188</v>
      </c>
      <c r="E1016" s="5" t="s">
        <v>901</v>
      </c>
      <c r="F1016" s="5">
        <v>2978.5</v>
      </c>
      <c r="I1016" s="5">
        <v>2978.5</v>
      </c>
      <c r="J1016" s="5">
        <f t="shared" si="61"/>
        <v>2978.5</v>
      </c>
      <c r="K1016" s="5">
        <v>56017.11</v>
      </c>
    </row>
    <row r="1017" spans="1:11" x14ac:dyDescent="0.25">
      <c r="A1017" s="5">
        <f t="shared" si="59"/>
        <v>2024</v>
      </c>
      <c r="B1017" s="5">
        <f t="shared" si="60"/>
        <v>7</v>
      </c>
      <c r="C1017" s="6">
        <v>45495</v>
      </c>
      <c r="D1017" s="5" t="s">
        <v>450</v>
      </c>
      <c r="E1017" s="5" t="s">
        <v>901</v>
      </c>
      <c r="F1017" s="5">
        <v>2979</v>
      </c>
      <c r="I1017" s="5">
        <v>2979</v>
      </c>
      <c r="J1017" s="5">
        <f t="shared" si="61"/>
        <v>2979</v>
      </c>
      <c r="K1017" s="5">
        <v>52091.63</v>
      </c>
    </row>
    <row r="1018" spans="1:11" x14ac:dyDescent="0.25">
      <c r="A1018" s="5">
        <f t="shared" si="59"/>
        <v>2024</v>
      </c>
      <c r="B1018" s="5">
        <f t="shared" si="60"/>
        <v>8</v>
      </c>
      <c r="C1018" s="6">
        <v>45527</v>
      </c>
      <c r="D1018" s="5" t="s">
        <v>308</v>
      </c>
      <c r="E1018" s="5" t="s">
        <v>901</v>
      </c>
      <c r="F1018" s="5">
        <v>3110</v>
      </c>
      <c r="I1018" s="5">
        <v>3110</v>
      </c>
      <c r="J1018" s="5">
        <f t="shared" si="61"/>
        <v>3110</v>
      </c>
      <c r="K1018" s="5">
        <v>57409.15</v>
      </c>
    </row>
    <row r="1019" spans="1:11" x14ac:dyDescent="0.25">
      <c r="A1019" s="5">
        <f t="shared" si="59"/>
        <v>2024</v>
      </c>
      <c r="B1019" s="5">
        <f t="shared" si="60"/>
        <v>8</v>
      </c>
      <c r="C1019" s="6">
        <v>45516</v>
      </c>
      <c r="D1019" s="5" t="s">
        <v>308</v>
      </c>
      <c r="E1019" s="5" t="s">
        <v>901</v>
      </c>
      <c r="F1019" s="5">
        <v>3111</v>
      </c>
      <c r="I1019" s="5">
        <v>3111</v>
      </c>
      <c r="J1019" s="5">
        <f t="shared" si="61"/>
        <v>3111</v>
      </c>
      <c r="K1019" s="5">
        <v>29979.16</v>
      </c>
    </row>
    <row r="1020" spans="1:11" x14ac:dyDescent="0.25">
      <c r="A1020" s="5">
        <f t="shared" si="59"/>
        <v>2023</v>
      </c>
      <c r="B1020" s="5">
        <f t="shared" si="60"/>
        <v>9</v>
      </c>
      <c r="C1020" s="6">
        <v>45180</v>
      </c>
      <c r="D1020" s="5" t="s">
        <v>12</v>
      </c>
      <c r="E1020" s="5" t="s">
        <v>901</v>
      </c>
      <c r="F1020" s="5">
        <v>3162.86</v>
      </c>
      <c r="I1020" s="5">
        <v>3162.86</v>
      </c>
      <c r="J1020" s="5">
        <f t="shared" si="61"/>
        <v>3162.86</v>
      </c>
      <c r="K1020" s="5">
        <v>8591.8799999999992</v>
      </c>
    </row>
    <row r="1021" spans="1:11" x14ac:dyDescent="0.25">
      <c r="A1021" s="5">
        <f t="shared" si="59"/>
        <v>2024</v>
      </c>
      <c r="B1021" s="5">
        <f t="shared" si="60"/>
        <v>10</v>
      </c>
      <c r="C1021" s="6">
        <v>45593</v>
      </c>
      <c r="D1021" s="5" t="s">
        <v>691</v>
      </c>
      <c r="E1021" s="5" t="s">
        <v>901</v>
      </c>
      <c r="F1021" s="5">
        <v>3188</v>
      </c>
      <c r="I1021" s="5">
        <v>3188</v>
      </c>
      <c r="J1021" s="5">
        <f t="shared" si="61"/>
        <v>3188</v>
      </c>
      <c r="K1021" s="5">
        <v>74911.8</v>
      </c>
    </row>
    <row r="1022" spans="1:11" x14ac:dyDescent="0.25">
      <c r="A1022" s="5">
        <f t="shared" si="59"/>
        <v>2024</v>
      </c>
      <c r="B1022" s="5">
        <f t="shared" si="60"/>
        <v>12</v>
      </c>
      <c r="C1022" s="6">
        <v>45628</v>
      </c>
      <c r="D1022" s="5" t="s">
        <v>766</v>
      </c>
      <c r="E1022" s="5" t="s">
        <v>901</v>
      </c>
      <c r="F1022" s="5">
        <v>3189</v>
      </c>
      <c r="I1022" s="5">
        <v>3189</v>
      </c>
      <c r="J1022" s="5">
        <f t="shared" si="61"/>
        <v>3189</v>
      </c>
      <c r="K1022" s="5">
        <v>4399.2</v>
      </c>
    </row>
    <row r="1023" spans="1:11" x14ac:dyDescent="0.25">
      <c r="A1023" s="5">
        <f t="shared" si="59"/>
        <v>2025</v>
      </c>
      <c r="B1023" s="5">
        <f t="shared" si="60"/>
        <v>2</v>
      </c>
      <c r="C1023" s="6">
        <v>45706</v>
      </c>
      <c r="D1023" s="5" t="s">
        <v>866</v>
      </c>
      <c r="E1023" s="5" t="s">
        <v>901</v>
      </c>
      <c r="F1023" s="5">
        <v>3200</v>
      </c>
      <c r="I1023" s="5">
        <v>3200</v>
      </c>
      <c r="J1023" s="5">
        <f t="shared" si="61"/>
        <v>3200</v>
      </c>
      <c r="K1023" s="5">
        <v>64143.62</v>
      </c>
    </row>
    <row r="1024" spans="1:11" x14ac:dyDescent="0.25">
      <c r="A1024" s="5">
        <f t="shared" si="59"/>
        <v>2025</v>
      </c>
      <c r="B1024" s="5">
        <f t="shared" si="60"/>
        <v>1</v>
      </c>
      <c r="C1024" s="6">
        <v>45667</v>
      </c>
      <c r="D1024" s="5" t="s">
        <v>785</v>
      </c>
      <c r="E1024" s="5" t="s">
        <v>901</v>
      </c>
      <c r="F1024" s="5">
        <v>3266.05</v>
      </c>
      <c r="I1024" s="5">
        <v>3266.05</v>
      </c>
      <c r="J1024" s="5">
        <f t="shared" si="61"/>
        <v>3266.05</v>
      </c>
      <c r="K1024" s="5">
        <v>63094.35</v>
      </c>
    </row>
    <row r="1025" spans="1:11" x14ac:dyDescent="0.25">
      <c r="A1025" s="5">
        <f t="shared" si="59"/>
        <v>2024</v>
      </c>
      <c r="B1025" s="5">
        <f t="shared" si="60"/>
        <v>3</v>
      </c>
      <c r="C1025" s="6">
        <v>45369</v>
      </c>
      <c r="D1025" s="5" t="s">
        <v>232</v>
      </c>
      <c r="E1025" s="5" t="s">
        <v>901</v>
      </c>
      <c r="F1025" s="5">
        <v>3368</v>
      </c>
      <c r="I1025" s="5">
        <v>3368</v>
      </c>
      <c r="J1025" s="5">
        <f t="shared" si="61"/>
        <v>3368</v>
      </c>
      <c r="K1025" s="5">
        <v>28996.959999999999</v>
      </c>
    </row>
    <row r="1026" spans="1:11" x14ac:dyDescent="0.25">
      <c r="A1026" s="5">
        <f t="shared" si="59"/>
        <v>2024</v>
      </c>
      <c r="B1026" s="5">
        <f t="shared" si="60"/>
        <v>12</v>
      </c>
      <c r="C1026" s="6">
        <v>45637</v>
      </c>
      <c r="D1026" s="5" t="s">
        <v>781</v>
      </c>
      <c r="E1026" s="5" t="s">
        <v>901</v>
      </c>
      <c r="F1026" s="5">
        <v>3522.91</v>
      </c>
      <c r="I1026" s="5">
        <v>3522.91</v>
      </c>
      <c r="J1026" s="5">
        <f t="shared" si="61"/>
        <v>3522.91</v>
      </c>
      <c r="K1026" s="5">
        <v>14397.66</v>
      </c>
    </row>
    <row r="1027" spans="1:11" x14ac:dyDescent="0.25">
      <c r="A1027" s="5">
        <f t="shared" ref="A1027:A1090" si="62">YEAR(C1027)</f>
        <v>2024</v>
      </c>
      <c r="B1027" s="5">
        <f t="shared" ref="B1027:B1090" si="63">MONTH(C1027)</f>
        <v>9</v>
      </c>
      <c r="C1027" s="6">
        <v>45554</v>
      </c>
      <c r="D1027" s="5" t="s">
        <v>598</v>
      </c>
      <c r="E1027" s="5" t="s">
        <v>901</v>
      </c>
      <c r="F1027" s="5">
        <v>3577.74</v>
      </c>
      <c r="I1027" s="5">
        <v>3577.74</v>
      </c>
      <c r="J1027" s="5">
        <f t="shared" ref="J1027:J1090" si="64">(F1027+H1027)</f>
        <v>3577.74</v>
      </c>
      <c r="K1027" s="5">
        <v>87334.49</v>
      </c>
    </row>
    <row r="1028" spans="1:11" x14ac:dyDescent="0.25">
      <c r="A1028" s="5">
        <f t="shared" si="62"/>
        <v>2025</v>
      </c>
      <c r="B1028" s="5">
        <f t="shared" si="63"/>
        <v>1</v>
      </c>
      <c r="C1028" s="6">
        <v>45674</v>
      </c>
      <c r="D1028" s="5" t="s">
        <v>785</v>
      </c>
      <c r="E1028" s="5" t="s">
        <v>901</v>
      </c>
      <c r="F1028" s="5">
        <v>3907.46</v>
      </c>
      <c r="I1028" s="5">
        <v>3907.46</v>
      </c>
      <c r="J1028" s="5">
        <f t="shared" si="64"/>
        <v>3907.46</v>
      </c>
      <c r="K1028" s="5">
        <v>50648.69</v>
      </c>
    </row>
    <row r="1029" spans="1:11" x14ac:dyDescent="0.25">
      <c r="A1029" s="5">
        <f t="shared" si="62"/>
        <v>2024</v>
      </c>
      <c r="B1029" s="5">
        <f t="shared" si="63"/>
        <v>4</v>
      </c>
      <c r="C1029" s="6">
        <v>45411</v>
      </c>
      <c r="D1029" s="5" t="s">
        <v>301</v>
      </c>
      <c r="E1029" s="5" t="s">
        <v>901</v>
      </c>
      <c r="F1029" s="5">
        <v>3932</v>
      </c>
      <c r="I1029" s="5">
        <v>3932</v>
      </c>
      <c r="J1029" s="5">
        <f t="shared" si="64"/>
        <v>3932</v>
      </c>
      <c r="K1029" s="5">
        <v>22200.78</v>
      </c>
    </row>
    <row r="1030" spans="1:11" x14ac:dyDescent="0.25">
      <c r="A1030" s="5">
        <f t="shared" si="62"/>
        <v>2023</v>
      </c>
      <c r="B1030" s="5">
        <f t="shared" si="63"/>
        <v>12</v>
      </c>
      <c r="C1030" s="6">
        <v>45261</v>
      </c>
      <c r="D1030" s="5" t="s">
        <v>22</v>
      </c>
      <c r="E1030" s="5" t="s">
        <v>901</v>
      </c>
      <c r="F1030" s="5">
        <v>3935</v>
      </c>
      <c r="I1030" s="5">
        <v>3935</v>
      </c>
      <c r="J1030" s="5">
        <f t="shared" si="64"/>
        <v>3935</v>
      </c>
      <c r="K1030" s="5">
        <v>37259.129999999997</v>
      </c>
    </row>
    <row r="1031" spans="1:11" x14ac:dyDescent="0.25">
      <c r="A1031" s="5">
        <f t="shared" si="62"/>
        <v>2025</v>
      </c>
      <c r="B1031" s="5">
        <f t="shared" si="63"/>
        <v>2</v>
      </c>
      <c r="C1031" s="6">
        <v>45709</v>
      </c>
      <c r="D1031" s="5" t="s">
        <v>785</v>
      </c>
      <c r="E1031" s="5" t="s">
        <v>901</v>
      </c>
      <c r="F1031" s="5">
        <v>4076.7</v>
      </c>
      <c r="I1031" s="5">
        <v>4076.7</v>
      </c>
      <c r="J1031" s="5">
        <f t="shared" si="64"/>
        <v>4076.7</v>
      </c>
      <c r="K1031" s="5">
        <v>62345.08</v>
      </c>
    </row>
    <row r="1032" spans="1:11" x14ac:dyDescent="0.25">
      <c r="A1032" s="5">
        <f t="shared" si="62"/>
        <v>2024</v>
      </c>
      <c r="B1032" s="5">
        <f t="shared" si="63"/>
        <v>8</v>
      </c>
      <c r="C1032" s="6">
        <v>45506</v>
      </c>
      <c r="D1032" s="5" t="s">
        <v>188</v>
      </c>
      <c r="E1032" s="5" t="s">
        <v>901</v>
      </c>
      <c r="F1032" s="5">
        <v>4182.8500000000004</v>
      </c>
      <c r="I1032" s="5">
        <v>4182.8500000000004</v>
      </c>
      <c r="J1032" s="5">
        <f t="shared" si="64"/>
        <v>4182.8500000000004</v>
      </c>
      <c r="K1032" s="5">
        <v>46482.73</v>
      </c>
    </row>
    <row r="1033" spans="1:11" x14ac:dyDescent="0.25">
      <c r="A1033" s="5">
        <f t="shared" si="62"/>
        <v>2024</v>
      </c>
      <c r="B1033" s="5">
        <f t="shared" si="63"/>
        <v>10</v>
      </c>
      <c r="C1033" s="6">
        <v>45572</v>
      </c>
      <c r="D1033" s="5" t="s">
        <v>652</v>
      </c>
      <c r="E1033" s="5" t="s">
        <v>901</v>
      </c>
      <c r="F1033" s="5">
        <v>4397.3</v>
      </c>
      <c r="I1033" s="5">
        <v>4397.3</v>
      </c>
      <c r="J1033" s="5">
        <f t="shared" si="64"/>
        <v>4397.3</v>
      </c>
      <c r="K1033" s="5">
        <v>70056.33</v>
      </c>
    </row>
    <row r="1034" spans="1:11" x14ac:dyDescent="0.25">
      <c r="A1034" s="5">
        <f t="shared" si="62"/>
        <v>2024</v>
      </c>
      <c r="B1034" s="5">
        <f t="shared" si="63"/>
        <v>10</v>
      </c>
      <c r="C1034" s="6">
        <v>45568</v>
      </c>
      <c r="D1034" s="5" t="s">
        <v>640</v>
      </c>
      <c r="E1034" s="5" t="s">
        <v>901</v>
      </c>
      <c r="F1034" s="5">
        <v>4405</v>
      </c>
      <c r="I1034" s="5">
        <v>4405</v>
      </c>
      <c r="J1034" s="5">
        <f t="shared" si="64"/>
        <v>4405</v>
      </c>
      <c r="K1034" s="5">
        <v>88118.68</v>
      </c>
    </row>
    <row r="1035" spans="1:11" x14ac:dyDescent="0.25">
      <c r="A1035" s="5">
        <f t="shared" si="62"/>
        <v>2024</v>
      </c>
      <c r="B1035" s="5">
        <f t="shared" si="63"/>
        <v>7</v>
      </c>
      <c r="C1035" s="6">
        <v>45474</v>
      </c>
      <c r="D1035" s="5" t="s">
        <v>413</v>
      </c>
      <c r="E1035" s="5" t="s">
        <v>901</v>
      </c>
      <c r="F1035" s="5">
        <v>4505</v>
      </c>
      <c r="I1035" s="5">
        <v>4505</v>
      </c>
      <c r="J1035" s="5">
        <f t="shared" si="64"/>
        <v>4505</v>
      </c>
      <c r="K1035" s="5">
        <v>67769.789999999994</v>
      </c>
    </row>
    <row r="1036" spans="1:11" x14ac:dyDescent="0.25">
      <c r="A1036" s="5">
        <f t="shared" si="62"/>
        <v>2024</v>
      </c>
      <c r="B1036" s="5">
        <f t="shared" si="63"/>
        <v>3</v>
      </c>
      <c r="C1036" s="6">
        <v>45355</v>
      </c>
      <c r="D1036" s="5" t="s">
        <v>204</v>
      </c>
      <c r="E1036" s="5" t="s">
        <v>901</v>
      </c>
      <c r="F1036" s="5">
        <v>4510</v>
      </c>
      <c r="I1036" s="5">
        <v>4510</v>
      </c>
      <c r="J1036" s="5">
        <f t="shared" si="64"/>
        <v>4510</v>
      </c>
      <c r="K1036" s="5">
        <v>28809.040000000001</v>
      </c>
    </row>
    <row r="1037" spans="1:11" x14ac:dyDescent="0.25">
      <c r="A1037" s="5">
        <f t="shared" si="62"/>
        <v>2024</v>
      </c>
      <c r="B1037" s="5">
        <f t="shared" si="63"/>
        <v>11</v>
      </c>
      <c r="C1037" s="6">
        <v>45621</v>
      </c>
      <c r="D1037" s="5" t="s">
        <v>755</v>
      </c>
      <c r="E1037" s="5" t="s">
        <v>901</v>
      </c>
      <c r="F1037" s="5">
        <v>4530</v>
      </c>
      <c r="I1037" s="5">
        <v>4530</v>
      </c>
      <c r="J1037" s="5">
        <f t="shared" si="64"/>
        <v>4530</v>
      </c>
      <c r="K1037" s="5">
        <v>9171.43</v>
      </c>
    </row>
    <row r="1038" spans="1:11" x14ac:dyDescent="0.25">
      <c r="A1038" s="5">
        <f t="shared" si="62"/>
        <v>2025</v>
      </c>
      <c r="B1038" s="5">
        <f t="shared" si="63"/>
        <v>2</v>
      </c>
      <c r="C1038" s="6">
        <v>45712</v>
      </c>
      <c r="D1038" s="5" t="s">
        <v>785</v>
      </c>
      <c r="E1038" s="5" t="s">
        <v>901</v>
      </c>
      <c r="F1038" s="5">
        <v>4664</v>
      </c>
      <c r="I1038" s="5">
        <v>4664</v>
      </c>
      <c r="J1038" s="5">
        <f t="shared" si="64"/>
        <v>4664</v>
      </c>
      <c r="K1038" s="5">
        <v>62981.52</v>
      </c>
    </row>
    <row r="1039" spans="1:11" x14ac:dyDescent="0.25">
      <c r="A1039" s="5">
        <f t="shared" si="62"/>
        <v>2024</v>
      </c>
      <c r="B1039" s="5">
        <f t="shared" si="63"/>
        <v>10</v>
      </c>
      <c r="C1039" s="6">
        <v>45596</v>
      </c>
      <c r="D1039" s="5" t="s">
        <v>22</v>
      </c>
      <c r="E1039" s="5" t="s">
        <v>901</v>
      </c>
      <c r="F1039" s="5">
        <v>4677.1400000000003</v>
      </c>
      <c r="I1039" s="5">
        <v>4677.1400000000003</v>
      </c>
      <c r="J1039" s="5">
        <f t="shared" si="64"/>
        <v>4677.1400000000003</v>
      </c>
      <c r="K1039" s="5">
        <v>76636</v>
      </c>
    </row>
    <row r="1040" spans="1:11" x14ac:dyDescent="0.25">
      <c r="A1040" s="5">
        <f t="shared" si="62"/>
        <v>2024</v>
      </c>
      <c r="B1040" s="5">
        <f t="shared" si="63"/>
        <v>4</v>
      </c>
      <c r="C1040" s="6">
        <v>45401</v>
      </c>
      <c r="D1040" s="5" t="s">
        <v>288</v>
      </c>
      <c r="E1040" s="5" t="s">
        <v>901</v>
      </c>
      <c r="F1040" s="5">
        <v>4700</v>
      </c>
      <c r="I1040" s="5">
        <v>4700</v>
      </c>
      <c r="J1040" s="5">
        <f t="shared" si="64"/>
        <v>4700</v>
      </c>
      <c r="K1040" s="5">
        <v>9026.16</v>
      </c>
    </row>
    <row r="1041" spans="1:11" x14ac:dyDescent="0.25">
      <c r="A1041" s="5">
        <f t="shared" si="62"/>
        <v>2023</v>
      </c>
      <c r="B1041" s="5">
        <f t="shared" si="63"/>
        <v>9</v>
      </c>
      <c r="C1041" s="6">
        <v>45194</v>
      </c>
      <c r="D1041" s="5" t="s">
        <v>25</v>
      </c>
      <c r="E1041" s="5" t="s">
        <v>901</v>
      </c>
      <c r="F1041" s="5">
        <v>4801.0200000000004</v>
      </c>
      <c r="I1041" s="5">
        <v>4801.0200000000004</v>
      </c>
      <c r="J1041" s="5">
        <f t="shared" si="64"/>
        <v>4801.0200000000004</v>
      </c>
      <c r="K1041" s="5">
        <v>14557.86</v>
      </c>
    </row>
    <row r="1042" spans="1:11" x14ac:dyDescent="0.25">
      <c r="A1042" s="5">
        <f t="shared" si="62"/>
        <v>2024</v>
      </c>
      <c r="B1042" s="5">
        <f t="shared" si="63"/>
        <v>5</v>
      </c>
      <c r="C1042" s="6">
        <v>45429</v>
      </c>
      <c r="D1042" s="5" t="s">
        <v>336</v>
      </c>
      <c r="E1042" s="5" t="s">
        <v>901</v>
      </c>
      <c r="F1042" s="5">
        <v>4880</v>
      </c>
      <c r="I1042" s="5">
        <v>4880</v>
      </c>
      <c r="J1042" s="5">
        <f t="shared" si="64"/>
        <v>4880</v>
      </c>
      <c r="K1042" s="5">
        <v>30446.639999999999</v>
      </c>
    </row>
    <row r="1043" spans="1:11" x14ac:dyDescent="0.25">
      <c r="A1043" s="5">
        <f t="shared" si="62"/>
        <v>2025</v>
      </c>
      <c r="B1043" s="5">
        <f t="shared" si="63"/>
        <v>3</v>
      </c>
      <c r="C1043" s="6">
        <v>45719</v>
      </c>
      <c r="D1043" s="5" t="s">
        <v>888</v>
      </c>
      <c r="E1043" s="5" t="s">
        <v>901</v>
      </c>
      <c r="F1043" s="5">
        <v>4892</v>
      </c>
      <c r="I1043" s="5">
        <v>4892</v>
      </c>
      <c r="J1043" s="5">
        <f t="shared" si="64"/>
        <v>4892</v>
      </c>
      <c r="K1043" s="5">
        <v>90276.77</v>
      </c>
    </row>
    <row r="1044" spans="1:11" x14ac:dyDescent="0.25">
      <c r="A1044" s="5">
        <f t="shared" si="62"/>
        <v>2024</v>
      </c>
      <c r="B1044" s="5">
        <f t="shared" si="63"/>
        <v>5</v>
      </c>
      <c r="C1044" s="6">
        <v>45414</v>
      </c>
      <c r="D1044" s="5" t="s">
        <v>22</v>
      </c>
      <c r="E1044" s="5" t="s">
        <v>901</v>
      </c>
      <c r="F1044" s="5">
        <v>4900</v>
      </c>
      <c r="I1044" s="5">
        <v>4900</v>
      </c>
      <c r="J1044" s="5">
        <f t="shared" si="64"/>
        <v>4900</v>
      </c>
      <c r="K1044" s="5">
        <v>27841.24</v>
      </c>
    </row>
    <row r="1045" spans="1:11" x14ac:dyDescent="0.25">
      <c r="A1045" s="5">
        <f t="shared" si="62"/>
        <v>2023</v>
      </c>
      <c r="B1045" s="5">
        <f t="shared" si="63"/>
        <v>10</v>
      </c>
      <c r="C1045" s="6">
        <v>45205</v>
      </c>
      <c r="D1045" s="5" t="s">
        <v>40</v>
      </c>
      <c r="E1045" s="5" t="s">
        <v>901</v>
      </c>
      <c r="F1045" s="5">
        <v>5000</v>
      </c>
      <c r="I1045" s="5">
        <v>5000</v>
      </c>
      <c r="J1045" s="5">
        <f t="shared" si="64"/>
        <v>5000</v>
      </c>
      <c r="K1045" s="5">
        <v>5597.86</v>
      </c>
    </row>
    <row r="1046" spans="1:11" x14ac:dyDescent="0.25">
      <c r="A1046" s="5">
        <f t="shared" si="62"/>
        <v>2024</v>
      </c>
      <c r="B1046" s="5">
        <f t="shared" si="63"/>
        <v>8</v>
      </c>
      <c r="C1046" s="6">
        <v>45509</v>
      </c>
      <c r="D1046" s="5" t="s">
        <v>490</v>
      </c>
      <c r="E1046" s="5" t="s">
        <v>901</v>
      </c>
      <c r="F1046" s="5">
        <v>5090</v>
      </c>
      <c r="I1046" s="5">
        <v>5090</v>
      </c>
      <c r="J1046" s="5">
        <f t="shared" si="64"/>
        <v>5090</v>
      </c>
      <c r="K1046" s="5">
        <v>49144.15</v>
      </c>
    </row>
    <row r="1047" spans="1:11" x14ac:dyDescent="0.25">
      <c r="A1047" s="5">
        <f t="shared" si="62"/>
        <v>2024</v>
      </c>
      <c r="B1047" s="5">
        <f t="shared" si="63"/>
        <v>9</v>
      </c>
      <c r="C1047" s="6">
        <v>45538</v>
      </c>
      <c r="D1047" s="5" t="s">
        <v>547</v>
      </c>
      <c r="E1047" s="5" t="s">
        <v>901</v>
      </c>
      <c r="F1047" s="5">
        <v>5218.57</v>
      </c>
      <c r="I1047" s="5">
        <v>5218.57</v>
      </c>
      <c r="J1047" s="5">
        <f t="shared" si="64"/>
        <v>5218.57</v>
      </c>
      <c r="K1047" s="5">
        <v>76569.02</v>
      </c>
    </row>
    <row r="1048" spans="1:11" x14ac:dyDescent="0.25">
      <c r="A1048" s="5">
        <f t="shared" si="62"/>
        <v>2024</v>
      </c>
      <c r="B1048" s="5">
        <f t="shared" si="63"/>
        <v>3</v>
      </c>
      <c r="C1048" s="6">
        <v>45376</v>
      </c>
      <c r="D1048" s="5" t="s">
        <v>241</v>
      </c>
      <c r="E1048" s="5" t="s">
        <v>901</v>
      </c>
      <c r="F1048" s="5">
        <v>5402</v>
      </c>
      <c r="I1048" s="5">
        <v>5402</v>
      </c>
      <c r="J1048" s="5">
        <f t="shared" si="64"/>
        <v>5402</v>
      </c>
      <c r="K1048" s="5">
        <v>10183.02</v>
      </c>
    </row>
    <row r="1049" spans="1:11" x14ac:dyDescent="0.25">
      <c r="A1049" s="5">
        <f t="shared" si="62"/>
        <v>2024</v>
      </c>
      <c r="B1049" s="5">
        <f t="shared" si="63"/>
        <v>4</v>
      </c>
      <c r="C1049" s="6">
        <v>45404</v>
      </c>
      <c r="D1049" s="5" t="s">
        <v>291</v>
      </c>
      <c r="E1049" s="5" t="s">
        <v>901</v>
      </c>
      <c r="F1049" s="5">
        <v>5416</v>
      </c>
      <c r="I1049" s="5">
        <v>5416</v>
      </c>
      <c r="J1049" s="5">
        <f t="shared" si="64"/>
        <v>5416</v>
      </c>
      <c r="K1049" s="5">
        <v>13940.51</v>
      </c>
    </row>
    <row r="1050" spans="1:11" x14ac:dyDescent="0.25">
      <c r="A1050" s="5">
        <f t="shared" si="62"/>
        <v>2024</v>
      </c>
      <c r="B1050" s="5">
        <f t="shared" si="63"/>
        <v>12</v>
      </c>
      <c r="C1050" s="6">
        <v>45635</v>
      </c>
      <c r="D1050" s="5" t="s">
        <v>779</v>
      </c>
      <c r="E1050" s="5" t="s">
        <v>901</v>
      </c>
      <c r="F1050" s="5">
        <v>5430</v>
      </c>
      <c r="I1050" s="5">
        <v>5430</v>
      </c>
      <c r="J1050" s="5">
        <f t="shared" si="64"/>
        <v>5430</v>
      </c>
      <c r="K1050" s="5">
        <v>7479.19</v>
      </c>
    </row>
    <row r="1051" spans="1:11" x14ac:dyDescent="0.25">
      <c r="A1051" s="5">
        <f t="shared" si="62"/>
        <v>2024</v>
      </c>
      <c r="B1051" s="5">
        <f t="shared" si="63"/>
        <v>5</v>
      </c>
      <c r="C1051" s="6">
        <v>45418</v>
      </c>
      <c r="D1051" s="5" t="s">
        <v>319</v>
      </c>
      <c r="E1051" s="5" t="s">
        <v>901</v>
      </c>
      <c r="F1051" s="5">
        <v>5431</v>
      </c>
      <c r="I1051" s="5">
        <v>5431</v>
      </c>
      <c r="J1051" s="5">
        <f t="shared" si="64"/>
        <v>5431</v>
      </c>
      <c r="K1051" s="5">
        <v>10377.469999999999</v>
      </c>
    </row>
    <row r="1052" spans="1:11" x14ac:dyDescent="0.25">
      <c r="A1052" s="5">
        <f t="shared" si="62"/>
        <v>2024</v>
      </c>
      <c r="B1052" s="5">
        <f t="shared" si="63"/>
        <v>7</v>
      </c>
      <c r="C1052" s="6">
        <v>45488</v>
      </c>
      <c r="D1052" s="5" t="s">
        <v>438</v>
      </c>
      <c r="E1052" s="5" t="s">
        <v>901</v>
      </c>
      <c r="F1052" s="5">
        <v>5439</v>
      </c>
      <c r="I1052" s="5">
        <v>5439</v>
      </c>
      <c r="J1052" s="5">
        <f t="shared" si="64"/>
        <v>5439</v>
      </c>
      <c r="K1052" s="5">
        <v>64256.63</v>
      </c>
    </row>
    <row r="1053" spans="1:11" x14ac:dyDescent="0.25">
      <c r="A1053" s="5">
        <f t="shared" si="62"/>
        <v>2024</v>
      </c>
      <c r="B1053" s="5">
        <f t="shared" si="63"/>
        <v>8</v>
      </c>
      <c r="C1053" s="6">
        <v>45505</v>
      </c>
      <c r="D1053" s="5" t="s">
        <v>22</v>
      </c>
      <c r="E1053" s="5" t="s">
        <v>901</v>
      </c>
      <c r="F1053" s="5">
        <v>5693</v>
      </c>
      <c r="I1053" s="5">
        <v>5693</v>
      </c>
      <c r="J1053" s="5">
        <f t="shared" si="64"/>
        <v>5693</v>
      </c>
      <c r="K1053" s="5">
        <v>46810.25</v>
      </c>
    </row>
    <row r="1054" spans="1:11" x14ac:dyDescent="0.25">
      <c r="A1054" s="5">
        <f t="shared" si="62"/>
        <v>2024</v>
      </c>
      <c r="B1054" s="5">
        <f t="shared" si="63"/>
        <v>8</v>
      </c>
      <c r="C1054" s="6">
        <v>45517</v>
      </c>
      <c r="D1054" s="5" t="s">
        <v>308</v>
      </c>
      <c r="E1054" s="5" t="s">
        <v>901</v>
      </c>
      <c r="F1054" s="5">
        <v>5748</v>
      </c>
      <c r="I1054" s="5">
        <v>5748</v>
      </c>
      <c r="J1054" s="5">
        <f t="shared" si="64"/>
        <v>5748</v>
      </c>
      <c r="K1054" s="5">
        <v>41544.339999999997</v>
      </c>
    </row>
    <row r="1055" spans="1:11" x14ac:dyDescent="0.25">
      <c r="A1055" s="5">
        <f t="shared" si="62"/>
        <v>2025</v>
      </c>
      <c r="B1055" s="5">
        <f t="shared" si="63"/>
        <v>1</v>
      </c>
      <c r="C1055" s="6">
        <v>45678</v>
      </c>
      <c r="D1055" s="5" t="s">
        <v>840</v>
      </c>
      <c r="E1055" s="5" t="s">
        <v>901</v>
      </c>
      <c r="F1055" s="5">
        <v>5784</v>
      </c>
      <c r="I1055" s="5">
        <v>5784</v>
      </c>
      <c r="J1055" s="5">
        <f t="shared" si="64"/>
        <v>5784</v>
      </c>
      <c r="K1055" s="5">
        <v>55050.02</v>
      </c>
    </row>
    <row r="1056" spans="1:11" x14ac:dyDescent="0.25">
      <c r="A1056" s="5">
        <f t="shared" si="62"/>
        <v>2024</v>
      </c>
      <c r="B1056" s="5">
        <f t="shared" si="63"/>
        <v>10</v>
      </c>
      <c r="C1056" s="6">
        <v>45568</v>
      </c>
      <c r="D1056" s="5" t="s">
        <v>639</v>
      </c>
      <c r="E1056" s="5" t="s">
        <v>901</v>
      </c>
      <c r="F1056" s="5">
        <v>6167</v>
      </c>
      <c r="I1056" s="5">
        <v>6167</v>
      </c>
      <c r="J1056" s="5">
        <f t="shared" si="64"/>
        <v>6167</v>
      </c>
      <c r="K1056" s="5">
        <v>83713.679999999993</v>
      </c>
    </row>
    <row r="1057" spans="1:11" x14ac:dyDescent="0.25">
      <c r="A1057" s="5">
        <f t="shared" si="62"/>
        <v>2024</v>
      </c>
      <c r="B1057" s="5">
        <f t="shared" si="63"/>
        <v>8</v>
      </c>
      <c r="C1057" s="6">
        <v>45530</v>
      </c>
      <c r="D1057" s="5" t="s">
        <v>529</v>
      </c>
      <c r="E1057" s="5" t="s">
        <v>901</v>
      </c>
      <c r="F1057" s="5">
        <v>6178</v>
      </c>
      <c r="I1057" s="5">
        <v>6178</v>
      </c>
      <c r="J1057" s="5">
        <f t="shared" si="64"/>
        <v>6178</v>
      </c>
      <c r="K1057" s="5">
        <v>43910.87</v>
      </c>
    </row>
    <row r="1058" spans="1:11" x14ac:dyDescent="0.25">
      <c r="A1058" s="5">
        <f t="shared" si="62"/>
        <v>2025</v>
      </c>
      <c r="B1058" s="5">
        <f t="shared" si="63"/>
        <v>1</v>
      </c>
      <c r="C1058" s="6">
        <v>45680</v>
      </c>
      <c r="D1058" s="5" t="s">
        <v>785</v>
      </c>
      <c r="E1058" s="5" t="s">
        <v>901</v>
      </c>
      <c r="F1058" s="5">
        <v>6194.4</v>
      </c>
      <c r="I1058" s="5">
        <v>6194.4</v>
      </c>
      <c r="J1058" s="5">
        <f t="shared" si="64"/>
        <v>6194.4</v>
      </c>
      <c r="K1058" s="5">
        <v>77074.59</v>
      </c>
    </row>
    <row r="1059" spans="1:11" x14ac:dyDescent="0.25">
      <c r="A1059" s="5">
        <f t="shared" si="62"/>
        <v>2024</v>
      </c>
      <c r="B1059" s="5">
        <f t="shared" si="63"/>
        <v>2</v>
      </c>
      <c r="C1059" s="6">
        <v>45350</v>
      </c>
      <c r="D1059" s="5" t="s">
        <v>22</v>
      </c>
      <c r="E1059" s="5" t="s">
        <v>901</v>
      </c>
      <c r="F1059" s="5">
        <v>7093</v>
      </c>
      <c r="I1059" s="5">
        <v>7093</v>
      </c>
      <c r="J1059" s="5">
        <f t="shared" si="64"/>
        <v>7093</v>
      </c>
      <c r="K1059" s="5">
        <v>29822.400000000001</v>
      </c>
    </row>
    <row r="1060" spans="1:11" x14ac:dyDescent="0.25">
      <c r="A1060" s="5">
        <f t="shared" si="62"/>
        <v>2024</v>
      </c>
      <c r="B1060" s="5">
        <f t="shared" si="63"/>
        <v>5</v>
      </c>
      <c r="C1060" s="6">
        <v>45414</v>
      </c>
      <c r="D1060" s="5" t="s">
        <v>309</v>
      </c>
      <c r="E1060" s="5" t="s">
        <v>901</v>
      </c>
      <c r="F1060" s="5">
        <v>7200</v>
      </c>
      <c r="I1060" s="5">
        <v>7200</v>
      </c>
      <c r="J1060" s="5">
        <f t="shared" si="64"/>
        <v>7200</v>
      </c>
      <c r="K1060" s="5">
        <v>22941.24</v>
      </c>
    </row>
    <row r="1061" spans="1:11" x14ac:dyDescent="0.25">
      <c r="A1061" s="5">
        <f t="shared" si="62"/>
        <v>2025</v>
      </c>
      <c r="B1061" s="5">
        <f t="shared" si="63"/>
        <v>2</v>
      </c>
      <c r="C1061" s="6">
        <v>45691</v>
      </c>
      <c r="D1061" s="5" t="s">
        <v>854</v>
      </c>
      <c r="E1061" s="5" t="s">
        <v>901</v>
      </c>
      <c r="F1061" s="5">
        <v>7255</v>
      </c>
      <c r="I1061" s="5">
        <v>7255</v>
      </c>
      <c r="J1061" s="5">
        <f t="shared" si="64"/>
        <v>7255</v>
      </c>
      <c r="K1061" s="5">
        <v>56228.56</v>
      </c>
    </row>
    <row r="1062" spans="1:11" x14ac:dyDescent="0.25">
      <c r="A1062" s="5">
        <f t="shared" si="62"/>
        <v>2025</v>
      </c>
      <c r="B1062" s="5">
        <f t="shared" si="63"/>
        <v>1</v>
      </c>
      <c r="C1062" s="6">
        <v>45659</v>
      </c>
      <c r="D1062" s="5" t="s">
        <v>785</v>
      </c>
      <c r="E1062" s="5" t="s">
        <v>901</v>
      </c>
      <c r="F1062" s="5">
        <v>7331.56</v>
      </c>
      <c r="I1062" s="5">
        <v>7331.56</v>
      </c>
      <c r="J1062" s="5">
        <f t="shared" si="64"/>
        <v>7331.56</v>
      </c>
      <c r="K1062" s="5">
        <v>150756.97</v>
      </c>
    </row>
    <row r="1063" spans="1:11" x14ac:dyDescent="0.25">
      <c r="A1063" s="5">
        <f t="shared" si="62"/>
        <v>2024</v>
      </c>
      <c r="B1063" s="5">
        <f t="shared" si="63"/>
        <v>4</v>
      </c>
      <c r="C1063" s="6">
        <v>45390</v>
      </c>
      <c r="D1063" s="5" t="s">
        <v>272</v>
      </c>
      <c r="E1063" s="5" t="s">
        <v>901</v>
      </c>
      <c r="F1063" s="5">
        <v>8044</v>
      </c>
      <c r="I1063" s="5">
        <v>8044</v>
      </c>
      <c r="J1063" s="5">
        <f t="shared" si="64"/>
        <v>8044</v>
      </c>
      <c r="K1063" s="5">
        <v>20114.34</v>
      </c>
    </row>
    <row r="1064" spans="1:11" x14ac:dyDescent="0.25">
      <c r="A1064" s="5">
        <f t="shared" si="62"/>
        <v>2024</v>
      </c>
      <c r="B1064" s="5">
        <f t="shared" si="63"/>
        <v>6</v>
      </c>
      <c r="C1064" s="6">
        <v>45455</v>
      </c>
      <c r="D1064" s="5" t="s">
        <v>308</v>
      </c>
      <c r="E1064" s="5" t="s">
        <v>901</v>
      </c>
      <c r="F1064" s="5">
        <v>8140</v>
      </c>
      <c r="I1064" s="5">
        <v>8140</v>
      </c>
      <c r="J1064" s="5">
        <f t="shared" si="64"/>
        <v>8140</v>
      </c>
      <c r="K1064" s="5">
        <v>47629.38</v>
      </c>
    </row>
    <row r="1065" spans="1:11" x14ac:dyDescent="0.25">
      <c r="A1065" s="5">
        <f t="shared" si="62"/>
        <v>2025</v>
      </c>
      <c r="B1065" s="5">
        <f t="shared" si="63"/>
        <v>2</v>
      </c>
      <c r="C1065" s="6">
        <v>45708</v>
      </c>
      <c r="D1065" s="5" t="s">
        <v>876</v>
      </c>
      <c r="E1065" s="5" t="s">
        <v>901</v>
      </c>
      <c r="F1065" s="5">
        <v>8360.7000000000007</v>
      </c>
      <c r="I1065" s="5">
        <v>8360.7000000000007</v>
      </c>
      <c r="J1065" s="5">
        <f t="shared" si="64"/>
        <v>8360.7000000000007</v>
      </c>
      <c r="K1065" s="5">
        <v>59900.56</v>
      </c>
    </row>
    <row r="1066" spans="1:11" x14ac:dyDescent="0.25">
      <c r="A1066" s="5">
        <f t="shared" si="62"/>
        <v>2024</v>
      </c>
      <c r="B1066" s="5">
        <f t="shared" si="63"/>
        <v>3</v>
      </c>
      <c r="C1066" s="6">
        <v>45362</v>
      </c>
      <c r="D1066" s="5" t="s">
        <v>222</v>
      </c>
      <c r="E1066" s="5" t="s">
        <v>901</v>
      </c>
      <c r="F1066" s="5">
        <v>8391</v>
      </c>
      <c r="I1066" s="5">
        <v>8391</v>
      </c>
      <c r="J1066" s="5">
        <f t="shared" si="64"/>
        <v>8391</v>
      </c>
      <c r="K1066" s="5">
        <v>28609.96</v>
      </c>
    </row>
    <row r="1067" spans="1:11" x14ac:dyDescent="0.25">
      <c r="A1067" s="5">
        <f t="shared" si="62"/>
        <v>2025</v>
      </c>
      <c r="B1067" s="5">
        <f t="shared" si="63"/>
        <v>1</v>
      </c>
      <c r="C1067" s="6">
        <v>45684</v>
      </c>
      <c r="D1067" s="5" t="s">
        <v>846</v>
      </c>
      <c r="E1067" s="5" t="s">
        <v>901</v>
      </c>
      <c r="F1067" s="5">
        <v>8688</v>
      </c>
      <c r="I1067" s="5">
        <v>8688</v>
      </c>
      <c r="J1067" s="5">
        <f t="shared" si="64"/>
        <v>8688</v>
      </c>
      <c r="K1067" s="5">
        <v>53038.61</v>
      </c>
    </row>
    <row r="1068" spans="1:11" x14ac:dyDescent="0.25">
      <c r="A1068" s="5">
        <f t="shared" si="62"/>
        <v>2024</v>
      </c>
      <c r="B1068" s="5">
        <f t="shared" si="63"/>
        <v>10</v>
      </c>
      <c r="C1068" s="6">
        <v>45586</v>
      </c>
      <c r="D1068" s="5" t="s">
        <v>684</v>
      </c>
      <c r="E1068" s="5" t="s">
        <v>901</v>
      </c>
      <c r="F1068" s="5">
        <v>8767</v>
      </c>
      <c r="I1068" s="5">
        <v>8767</v>
      </c>
      <c r="J1068" s="5">
        <f t="shared" si="64"/>
        <v>8767</v>
      </c>
      <c r="K1068" s="5">
        <v>71774.63</v>
      </c>
    </row>
    <row r="1069" spans="1:11" x14ac:dyDescent="0.25">
      <c r="A1069" s="5">
        <f t="shared" si="62"/>
        <v>2024</v>
      </c>
      <c r="B1069" s="5">
        <f t="shared" si="63"/>
        <v>2</v>
      </c>
      <c r="C1069" s="6">
        <v>45348</v>
      </c>
      <c r="D1069" s="5" t="s">
        <v>196</v>
      </c>
      <c r="E1069" s="5" t="s">
        <v>901</v>
      </c>
      <c r="F1069" s="5">
        <v>8933</v>
      </c>
      <c r="I1069" s="5">
        <v>8933</v>
      </c>
      <c r="J1069" s="5">
        <f t="shared" si="64"/>
        <v>8933</v>
      </c>
      <c r="K1069" s="5">
        <v>26386.62</v>
      </c>
    </row>
    <row r="1070" spans="1:11" x14ac:dyDescent="0.25">
      <c r="A1070" s="5">
        <f t="shared" si="62"/>
        <v>2024</v>
      </c>
      <c r="B1070" s="5">
        <f t="shared" si="63"/>
        <v>8</v>
      </c>
      <c r="C1070" s="6">
        <v>45513</v>
      </c>
      <c r="D1070" s="5" t="s">
        <v>502</v>
      </c>
      <c r="E1070" s="5" t="s">
        <v>901</v>
      </c>
      <c r="F1070" s="5">
        <v>9000</v>
      </c>
      <c r="I1070" s="5">
        <v>9000</v>
      </c>
      <c r="J1070" s="5">
        <f t="shared" si="64"/>
        <v>9000</v>
      </c>
      <c r="K1070" s="5">
        <v>16931.150000000001</v>
      </c>
    </row>
    <row r="1071" spans="1:11" x14ac:dyDescent="0.25">
      <c r="A1071" s="5">
        <f t="shared" si="62"/>
        <v>2024</v>
      </c>
      <c r="B1071" s="5">
        <f t="shared" si="63"/>
        <v>11</v>
      </c>
      <c r="C1071" s="6">
        <v>45611</v>
      </c>
      <c r="D1071" s="5" t="s">
        <v>738</v>
      </c>
      <c r="E1071" s="5" t="s">
        <v>901</v>
      </c>
      <c r="F1071" s="5">
        <v>9000</v>
      </c>
      <c r="I1071" s="5">
        <v>9000</v>
      </c>
      <c r="J1071" s="5">
        <f t="shared" si="64"/>
        <v>9000</v>
      </c>
      <c r="K1071" s="5">
        <v>32711.82</v>
      </c>
    </row>
    <row r="1072" spans="1:11" x14ac:dyDescent="0.25">
      <c r="A1072" s="5">
        <f t="shared" si="62"/>
        <v>2024</v>
      </c>
      <c r="B1072" s="5">
        <f t="shared" si="63"/>
        <v>11</v>
      </c>
      <c r="C1072" s="6">
        <v>45622</v>
      </c>
      <c r="D1072" s="5" t="s">
        <v>758</v>
      </c>
      <c r="E1072" s="5" t="s">
        <v>901</v>
      </c>
      <c r="F1072" s="5">
        <v>9000</v>
      </c>
      <c r="I1072" s="5">
        <v>9000</v>
      </c>
      <c r="J1072" s="5">
        <f t="shared" si="64"/>
        <v>9000</v>
      </c>
      <c r="K1072" s="5">
        <v>20964.5</v>
      </c>
    </row>
    <row r="1073" spans="1:11" x14ac:dyDescent="0.25">
      <c r="A1073" s="5">
        <f t="shared" si="62"/>
        <v>2025</v>
      </c>
      <c r="B1073" s="5">
        <f t="shared" si="63"/>
        <v>2</v>
      </c>
      <c r="C1073" s="6">
        <v>45715</v>
      </c>
      <c r="D1073" s="5" t="s">
        <v>887</v>
      </c>
      <c r="E1073" s="5" t="s">
        <v>901</v>
      </c>
      <c r="F1073" s="5">
        <v>9250.5</v>
      </c>
      <c r="I1073" s="5">
        <v>9250.5</v>
      </c>
      <c r="J1073" s="5">
        <f t="shared" si="64"/>
        <v>9250.5</v>
      </c>
      <c r="K1073" s="5">
        <v>65607.990000000005</v>
      </c>
    </row>
    <row r="1074" spans="1:11" x14ac:dyDescent="0.25">
      <c r="A1074" s="5">
        <f t="shared" si="62"/>
        <v>2024</v>
      </c>
      <c r="B1074" s="5">
        <f t="shared" si="63"/>
        <v>9</v>
      </c>
      <c r="C1074" s="6">
        <v>45548</v>
      </c>
      <c r="D1074" s="5" t="s">
        <v>308</v>
      </c>
      <c r="E1074" s="5" t="s">
        <v>901</v>
      </c>
      <c r="F1074" s="5">
        <v>9746.6</v>
      </c>
      <c r="I1074" s="5">
        <v>9746.6</v>
      </c>
      <c r="J1074" s="5">
        <f t="shared" si="64"/>
        <v>9746.6</v>
      </c>
      <c r="K1074" s="5">
        <v>74854.320000000007</v>
      </c>
    </row>
    <row r="1075" spans="1:11" x14ac:dyDescent="0.25">
      <c r="A1075" s="5">
        <f t="shared" si="62"/>
        <v>2024</v>
      </c>
      <c r="B1075" s="5">
        <f t="shared" si="63"/>
        <v>8</v>
      </c>
      <c r="C1075" s="6">
        <v>45505</v>
      </c>
      <c r="D1075" s="5" t="s">
        <v>22</v>
      </c>
      <c r="E1075" s="5" t="s">
        <v>901</v>
      </c>
      <c r="F1075" s="5">
        <v>9800</v>
      </c>
      <c r="I1075" s="5">
        <v>9800</v>
      </c>
      <c r="J1075" s="5">
        <f t="shared" si="64"/>
        <v>9800</v>
      </c>
      <c r="K1075" s="5">
        <v>41117.25</v>
      </c>
    </row>
    <row r="1076" spans="1:11" x14ac:dyDescent="0.25">
      <c r="A1076" s="5">
        <f t="shared" si="62"/>
        <v>2023</v>
      </c>
      <c r="B1076" s="5">
        <f t="shared" si="63"/>
        <v>9</v>
      </c>
      <c r="C1076" s="6">
        <v>45190</v>
      </c>
      <c r="D1076" s="5" t="s">
        <v>19</v>
      </c>
      <c r="E1076" s="5" t="s">
        <v>901</v>
      </c>
      <c r="F1076" s="5">
        <v>10000</v>
      </c>
      <c r="I1076" s="5">
        <v>10000</v>
      </c>
      <c r="J1076" s="5">
        <f t="shared" si="64"/>
        <v>10000</v>
      </c>
      <c r="K1076" s="5">
        <v>17961.7</v>
      </c>
    </row>
    <row r="1077" spans="1:11" x14ac:dyDescent="0.25">
      <c r="A1077" s="5">
        <f t="shared" si="62"/>
        <v>2023</v>
      </c>
      <c r="B1077" s="5">
        <f t="shared" si="63"/>
        <v>9</v>
      </c>
      <c r="C1077" s="6">
        <v>45194</v>
      </c>
      <c r="D1077" s="5" t="s">
        <v>26</v>
      </c>
      <c r="E1077" s="5" t="s">
        <v>901</v>
      </c>
      <c r="F1077" s="5">
        <v>10000</v>
      </c>
      <c r="I1077" s="5">
        <v>10000</v>
      </c>
      <c r="J1077" s="5">
        <f t="shared" si="64"/>
        <v>10000</v>
      </c>
      <c r="K1077" s="5">
        <v>24557.86</v>
      </c>
    </row>
    <row r="1078" spans="1:11" x14ac:dyDescent="0.25">
      <c r="A1078" s="5">
        <f t="shared" si="62"/>
        <v>2024</v>
      </c>
      <c r="B1078" s="5">
        <f t="shared" si="63"/>
        <v>8</v>
      </c>
      <c r="C1078" s="6">
        <v>45517</v>
      </c>
      <c r="D1078" s="5" t="s">
        <v>508</v>
      </c>
      <c r="E1078" s="5" t="s">
        <v>901</v>
      </c>
      <c r="F1078" s="5">
        <v>10000</v>
      </c>
      <c r="I1078" s="5">
        <v>10000</v>
      </c>
      <c r="J1078" s="5">
        <f t="shared" si="64"/>
        <v>10000</v>
      </c>
      <c r="K1078" s="5">
        <v>35796.339999999997</v>
      </c>
    </row>
    <row r="1079" spans="1:11" x14ac:dyDescent="0.25">
      <c r="A1079" s="5">
        <f t="shared" si="62"/>
        <v>2024</v>
      </c>
      <c r="B1079" s="5">
        <f t="shared" si="63"/>
        <v>6</v>
      </c>
      <c r="C1079" s="6">
        <v>45467</v>
      </c>
      <c r="D1079" s="5" t="s">
        <v>308</v>
      </c>
      <c r="E1079" s="5" t="s">
        <v>901</v>
      </c>
      <c r="F1079" s="5">
        <v>10041.86</v>
      </c>
      <c r="I1079" s="5">
        <v>10041.86</v>
      </c>
      <c r="J1079" s="5">
        <f t="shared" si="64"/>
        <v>10041.86</v>
      </c>
      <c r="K1079" s="5">
        <v>75258.460000000006</v>
      </c>
    </row>
    <row r="1080" spans="1:11" x14ac:dyDescent="0.25">
      <c r="A1080" s="5">
        <f t="shared" si="62"/>
        <v>2024</v>
      </c>
      <c r="B1080" s="5">
        <f t="shared" si="63"/>
        <v>5</v>
      </c>
      <c r="C1080" s="6">
        <v>45432</v>
      </c>
      <c r="D1080" s="5" t="s">
        <v>342</v>
      </c>
      <c r="E1080" s="5" t="s">
        <v>901</v>
      </c>
      <c r="F1080" s="5">
        <v>10190</v>
      </c>
      <c r="I1080" s="5">
        <v>10190</v>
      </c>
      <c r="J1080" s="5">
        <f t="shared" si="64"/>
        <v>10190</v>
      </c>
      <c r="K1080" s="5">
        <v>18229.5</v>
      </c>
    </row>
    <row r="1081" spans="1:11" x14ac:dyDescent="0.25">
      <c r="A1081" s="5">
        <f t="shared" si="62"/>
        <v>2024</v>
      </c>
      <c r="B1081" s="5">
        <f t="shared" si="63"/>
        <v>9</v>
      </c>
      <c r="C1081" s="6">
        <v>45558</v>
      </c>
      <c r="D1081" s="5" t="s">
        <v>608</v>
      </c>
      <c r="E1081" s="5" t="s">
        <v>901</v>
      </c>
      <c r="F1081" s="5">
        <v>10254</v>
      </c>
      <c r="I1081" s="5">
        <v>10254</v>
      </c>
      <c r="J1081" s="5">
        <f t="shared" si="64"/>
        <v>10254</v>
      </c>
      <c r="K1081" s="5">
        <v>66748.22</v>
      </c>
    </row>
    <row r="1082" spans="1:11" x14ac:dyDescent="0.25">
      <c r="A1082" s="5">
        <f t="shared" si="62"/>
        <v>2024</v>
      </c>
      <c r="B1082" s="5">
        <f t="shared" si="63"/>
        <v>8</v>
      </c>
      <c r="C1082" s="6">
        <v>45516</v>
      </c>
      <c r="D1082" s="5" t="s">
        <v>506</v>
      </c>
      <c r="E1082" s="5" t="s">
        <v>901</v>
      </c>
      <c r="F1082" s="5">
        <v>10336</v>
      </c>
      <c r="I1082" s="5">
        <v>10336</v>
      </c>
      <c r="J1082" s="5">
        <f t="shared" si="64"/>
        <v>10336</v>
      </c>
      <c r="K1082" s="5">
        <v>26868.16</v>
      </c>
    </row>
    <row r="1083" spans="1:11" x14ac:dyDescent="0.25">
      <c r="A1083" s="5">
        <f t="shared" si="62"/>
        <v>2023</v>
      </c>
      <c r="B1083" s="5">
        <f t="shared" si="63"/>
        <v>10</v>
      </c>
      <c r="C1083" s="6">
        <v>45211</v>
      </c>
      <c r="D1083" s="5" t="s">
        <v>22</v>
      </c>
      <c r="E1083" s="5" t="s">
        <v>901</v>
      </c>
      <c r="F1083" s="5">
        <v>10375.49</v>
      </c>
      <c r="I1083" s="5">
        <v>10375.49</v>
      </c>
      <c r="J1083" s="5">
        <f t="shared" si="64"/>
        <v>10375.49</v>
      </c>
      <c r="K1083" s="5">
        <v>13536.25</v>
      </c>
    </row>
    <row r="1084" spans="1:11" x14ac:dyDescent="0.25">
      <c r="A1084" s="5">
        <f t="shared" si="62"/>
        <v>2024</v>
      </c>
      <c r="B1084" s="5">
        <f t="shared" si="63"/>
        <v>11</v>
      </c>
      <c r="C1084" s="6">
        <v>45608</v>
      </c>
      <c r="D1084" s="5" t="s">
        <v>728</v>
      </c>
      <c r="E1084" s="5" t="s">
        <v>901</v>
      </c>
      <c r="F1084" s="5">
        <v>10377</v>
      </c>
      <c r="I1084" s="5">
        <v>10377</v>
      </c>
      <c r="J1084" s="5">
        <f t="shared" si="64"/>
        <v>10377</v>
      </c>
      <c r="K1084" s="5">
        <v>50611.14</v>
      </c>
    </row>
    <row r="1085" spans="1:11" x14ac:dyDescent="0.25">
      <c r="A1085" s="5">
        <f t="shared" si="62"/>
        <v>2024</v>
      </c>
      <c r="B1085" s="5">
        <f t="shared" si="63"/>
        <v>6</v>
      </c>
      <c r="C1085" s="6">
        <v>45471</v>
      </c>
      <c r="D1085" s="5" t="s">
        <v>22</v>
      </c>
      <c r="E1085" s="5" t="s">
        <v>901</v>
      </c>
      <c r="F1085" s="5">
        <v>10480.200000000001</v>
      </c>
      <c r="I1085" s="5">
        <v>10480.200000000001</v>
      </c>
      <c r="J1085" s="5">
        <f t="shared" si="64"/>
        <v>10480.200000000001</v>
      </c>
      <c r="K1085" s="5">
        <v>67040.41</v>
      </c>
    </row>
    <row r="1086" spans="1:11" x14ac:dyDescent="0.25">
      <c r="A1086" s="5">
        <f t="shared" si="62"/>
        <v>2024</v>
      </c>
      <c r="B1086" s="5">
        <f t="shared" si="63"/>
        <v>10</v>
      </c>
      <c r="C1086" s="6">
        <v>45580</v>
      </c>
      <c r="D1086" s="5" t="s">
        <v>666</v>
      </c>
      <c r="E1086" s="5" t="s">
        <v>901</v>
      </c>
      <c r="F1086" s="5">
        <v>10606</v>
      </c>
      <c r="I1086" s="5">
        <v>10606</v>
      </c>
      <c r="J1086" s="5">
        <f t="shared" si="64"/>
        <v>10606</v>
      </c>
      <c r="K1086" s="5">
        <v>103145.71</v>
      </c>
    </row>
    <row r="1087" spans="1:11" x14ac:dyDescent="0.25">
      <c r="A1087" s="5">
        <f t="shared" si="62"/>
        <v>2024</v>
      </c>
      <c r="B1087" s="5">
        <f t="shared" si="63"/>
        <v>5</v>
      </c>
      <c r="C1087" s="6">
        <v>45440</v>
      </c>
      <c r="D1087" s="5" t="s">
        <v>348</v>
      </c>
      <c r="E1087" s="5" t="s">
        <v>901</v>
      </c>
      <c r="F1087" s="5">
        <v>10701</v>
      </c>
      <c r="I1087" s="5">
        <v>10701</v>
      </c>
      <c r="J1087" s="5">
        <f t="shared" si="64"/>
        <v>10701</v>
      </c>
      <c r="K1087" s="5">
        <v>27955.35</v>
      </c>
    </row>
    <row r="1088" spans="1:11" x14ac:dyDescent="0.25">
      <c r="A1088" s="5">
        <f t="shared" si="62"/>
        <v>2024</v>
      </c>
      <c r="B1088" s="5">
        <f t="shared" si="63"/>
        <v>8</v>
      </c>
      <c r="C1088" s="6">
        <v>45533</v>
      </c>
      <c r="D1088" s="5" t="s">
        <v>308</v>
      </c>
      <c r="E1088" s="5" t="s">
        <v>901</v>
      </c>
      <c r="F1088" s="5">
        <v>11099</v>
      </c>
      <c r="I1088" s="5">
        <v>11099</v>
      </c>
      <c r="J1088" s="5">
        <f t="shared" si="64"/>
        <v>11099</v>
      </c>
      <c r="K1088" s="5">
        <v>44375.11</v>
      </c>
    </row>
    <row r="1089" spans="1:11" x14ac:dyDescent="0.25">
      <c r="A1089" s="5">
        <f t="shared" si="62"/>
        <v>2024</v>
      </c>
      <c r="B1089" s="5">
        <f t="shared" si="63"/>
        <v>7</v>
      </c>
      <c r="C1089" s="6">
        <v>45502</v>
      </c>
      <c r="D1089" s="5" t="s">
        <v>469</v>
      </c>
      <c r="E1089" s="5" t="s">
        <v>901</v>
      </c>
      <c r="F1089" s="5">
        <v>11311</v>
      </c>
      <c r="I1089" s="5">
        <v>11311</v>
      </c>
      <c r="J1089" s="5">
        <f t="shared" si="64"/>
        <v>11311</v>
      </c>
      <c r="K1089" s="5">
        <v>30656.05</v>
      </c>
    </row>
    <row r="1090" spans="1:11" x14ac:dyDescent="0.25">
      <c r="A1090" s="5">
        <f t="shared" si="62"/>
        <v>2024</v>
      </c>
      <c r="B1090" s="5">
        <f t="shared" si="63"/>
        <v>8</v>
      </c>
      <c r="C1090" s="6">
        <v>45523</v>
      </c>
      <c r="D1090" s="5" t="s">
        <v>514</v>
      </c>
      <c r="E1090" s="5" t="s">
        <v>901</v>
      </c>
      <c r="F1090" s="5">
        <v>11944</v>
      </c>
      <c r="I1090" s="5">
        <v>11944</v>
      </c>
      <c r="J1090" s="5">
        <f t="shared" si="64"/>
        <v>11944</v>
      </c>
      <c r="K1090" s="5">
        <v>70647.490000000005</v>
      </c>
    </row>
    <row r="1091" spans="1:11" x14ac:dyDescent="0.25">
      <c r="A1091" s="5">
        <f t="shared" ref="A1091:A1144" si="65">YEAR(C1091)</f>
        <v>2024</v>
      </c>
      <c r="B1091" s="5">
        <f t="shared" ref="B1091:B1144" si="66">MONTH(C1091)</f>
        <v>4</v>
      </c>
      <c r="C1091" s="6">
        <v>45411</v>
      </c>
      <c r="D1091" s="5" t="s">
        <v>22</v>
      </c>
      <c r="E1091" s="5" t="s">
        <v>901</v>
      </c>
      <c r="F1091" s="5">
        <v>12000</v>
      </c>
      <c r="I1091" s="5">
        <v>12000</v>
      </c>
      <c r="J1091" s="5">
        <f t="shared" ref="J1091:J1143" si="67">(F1091+H1091)</f>
        <v>12000</v>
      </c>
      <c r="K1091" s="5">
        <v>18268.78</v>
      </c>
    </row>
    <row r="1092" spans="1:11" x14ac:dyDescent="0.25">
      <c r="A1092" s="5">
        <f t="shared" si="65"/>
        <v>2024</v>
      </c>
      <c r="B1092" s="5">
        <f t="shared" si="66"/>
        <v>7</v>
      </c>
      <c r="C1092" s="6">
        <v>45475</v>
      </c>
      <c r="D1092" s="5" t="s">
        <v>22</v>
      </c>
      <c r="E1092" s="5" t="s">
        <v>901</v>
      </c>
      <c r="F1092" s="5">
        <v>12000</v>
      </c>
      <c r="I1092" s="5">
        <v>12000</v>
      </c>
      <c r="J1092" s="5">
        <f t="shared" si="67"/>
        <v>12000</v>
      </c>
      <c r="K1092" s="5">
        <v>72978.12</v>
      </c>
    </row>
    <row r="1093" spans="1:11" x14ac:dyDescent="0.25">
      <c r="A1093" s="5">
        <f t="shared" si="65"/>
        <v>2024</v>
      </c>
      <c r="B1093" s="5">
        <f t="shared" si="66"/>
        <v>12</v>
      </c>
      <c r="C1093" s="6">
        <v>45638</v>
      </c>
      <c r="D1093" s="5" t="s">
        <v>782</v>
      </c>
      <c r="E1093" s="5" t="s">
        <v>901</v>
      </c>
      <c r="F1093" s="5">
        <v>12000</v>
      </c>
      <c r="I1093" s="5">
        <v>12000</v>
      </c>
      <c r="J1093" s="5">
        <f t="shared" si="67"/>
        <v>12000</v>
      </c>
      <c r="K1093" s="5">
        <v>26397.66</v>
      </c>
    </row>
    <row r="1094" spans="1:11" x14ac:dyDescent="0.25">
      <c r="A1094" s="5">
        <f t="shared" si="65"/>
        <v>2024</v>
      </c>
      <c r="B1094" s="5">
        <f t="shared" si="66"/>
        <v>6</v>
      </c>
      <c r="C1094" s="6">
        <v>45467</v>
      </c>
      <c r="D1094" s="5" t="s">
        <v>396</v>
      </c>
      <c r="E1094" s="5" t="s">
        <v>901</v>
      </c>
      <c r="F1094" s="5">
        <v>12091</v>
      </c>
      <c r="I1094" s="5">
        <v>12091</v>
      </c>
      <c r="J1094" s="5">
        <f t="shared" si="67"/>
        <v>12091</v>
      </c>
      <c r="K1094" s="5">
        <v>65216.6</v>
      </c>
    </row>
    <row r="1095" spans="1:11" x14ac:dyDescent="0.25">
      <c r="A1095" s="5">
        <f t="shared" si="65"/>
        <v>2024</v>
      </c>
      <c r="B1095" s="5">
        <f t="shared" si="66"/>
        <v>11</v>
      </c>
      <c r="C1095" s="6">
        <v>45600</v>
      </c>
      <c r="D1095" s="5" t="s">
        <v>714</v>
      </c>
      <c r="E1095" s="5" t="s">
        <v>901</v>
      </c>
      <c r="F1095" s="5">
        <v>12121</v>
      </c>
      <c r="I1095" s="5">
        <v>12121</v>
      </c>
      <c r="J1095" s="5">
        <f t="shared" si="67"/>
        <v>12121</v>
      </c>
      <c r="K1095" s="5">
        <v>42293.120000000003</v>
      </c>
    </row>
    <row r="1096" spans="1:11" x14ac:dyDescent="0.25">
      <c r="A1096" s="5">
        <f t="shared" si="65"/>
        <v>2024</v>
      </c>
      <c r="B1096" s="5">
        <f t="shared" si="66"/>
        <v>6</v>
      </c>
      <c r="C1096" s="6">
        <v>45469</v>
      </c>
      <c r="D1096" s="5" t="s">
        <v>308</v>
      </c>
      <c r="E1096" s="5" t="s">
        <v>901</v>
      </c>
      <c r="F1096" s="5">
        <v>12146</v>
      </c>
      <c r="I1096" s="5">
        <v>12146</v>
      </c>
      <c r="J1096" s="5">
        <f t="shared" si="67"/>
        <v>12146</v>
      </c>
      <c r="K1096" s="5">
        <v>86854.46</v>
      </c>
    </row>
    <row r="1097" spans="1:11" x14ac:dyDescent="0.25">
      <c r="A1097" s="5">
        <f t="shared" si="65"/>
        <v>2025</v>
      </c>
      <c r="B1097" s="5">
        <f t="shared" si="66"/>
        <v>2</v>
      </c>
      <c r="C1097" s="6">
        <v>45694</v>
      </c>
      <c r="D1097" s="5" t="s">
        <v>785</v>
      </c>
      <c r="E1097" s="5" t="s">
        <v>901</v>
      </c>
      <c r="F1097" s="5">
        <v>12149.9</v>
      </c>
      <c r="I1097" s="5">
        <v>12149.9</v>
      </c>
      <c r="J1097" s="5">
        <f t="shared" si="67"/>
        <v>12149.9</v>
      </c>
      <c r="K1097" s="5">
        <v>67594.05</v>
      </c>
    </row>
    <row r="1098" spans="1:11" x14ac:dyDescent="0.25">
      <c r="A1098" s="5">
        <f t="shared" si="65"/>
        <v>2024</v>
      </c>
      <c r="B1098" s="5">
        <f t="shared" si="66"/>
        <v>9</v>
      </c>
      <c r="C1098" s="6">
        <v>45540</v>
      </c>
      <c r="D1098" s="5" t="s">
        <v>308</v>
      </c>
      <c r="E1098" s="5" t="s">
        <v>901</v>
      </c>
      <c r="F1098" s="5">
        <v>12268</v>
      </c>
      <c r="I1098" s="5">
        <v>12268</v>
      </c>
      <c r="J1098" s="5">
        <f t="shared" si="67"/>
        <v>12268</v>
      </c>
      <c r="K1098" s="5">
        <v>82394.92</v>
      </c>
    </row>
    <row r="1099" spans="1:11" x14ac:dyDescent="0.25">
      <c r="A1099" s="5">
        <f t="shared" si="65"/>
        <v>2024</v>
      </c>
      <c r="B1099" s="5">
        <f t="shared" si="66"/>
        <v>4</v>
      </c>
      <c r="C1099" s="6">
        <v>45397</v>
      </c>
      <c r="D1099" s="5" t="s">
        <v>279</v>
      </c>
      <c r="E1099" s="5" t="s">
        <v>901</v>
      </c>
      <c r="F1099" s="5">
        <v>12385</v>
      </c>
      <c r="I1099" s="5">
        <v>12385</v>
      </c>
      <c r="J1099" s="5">
        <f t="shared" si="67"/>
        <v>12385</v>
      </c>
      <c r="K1099" s="5">
        <v>48756.28</v>
      </c>
    </row>
    <row r="1100" spans="1:11" x14ac:dyDescent="0.25">
      <c r="A1100" s="5">
        <f t="shared" si="65"/>
        <v>2023</v>
      </c>
      <c r="B1100" s="5">
        <f t="shared" si="66"/>
        <v>11</v>
      </c>
      <c r="C1100" s="6">
        <v>45252</v>
      </c>
      <c r="D1100" s="5" t="s">
        <v>22</v>
      </c>
      <c r="E1100" s="5" t="s">
        <v>901</v>
      </c>
      <c r="F1100" s="5">
        <v>13000</v>
      </c>
      <c r="I1100" s="5">
        <v>13000</v>
      </c>
      <c r="J1100" s="5">
        <f t="shared" si="67"/>
        <v>13000</v>
      </c>
      <c r="K1100" s="5">
        <v>35615.980000000003</v>
      </c>
    </row>
    <row r="1101" spans="1:11" x14ac:dyDescent="0.25">
      <c r="A1101" s="5">
        <f t="shared" si="65"/>
        <v>2024</v>
      </c>
      <c r="B1101" s="5">
        <f t="shared" si="66"/>
        <v>7</v>
      </c>
      <c r="C1101" s="6">
        <v>45481</v>
      </c>
      <c r="D1101" s="5" t="s">
        <v>428</v>
      </c>
      <c r="E1101" s="5" t="s">
        <v>901</v>
      </c>
      <c r="F1101" s="5">
        <v>13296</v>
      </c>
      <c r="I1101" s="5">
        <v>13296</v>
      </c>
      <c r="J1101" s="5">
        <f t="shared" si="67"/>
        <v>13296</v>
      </c>
      <c r="K1101" s="5">
        <v>84834.57</v>
      </c>
    </row>
    <row r="1102" spans="1:11" x14ac:dyDescent="0.25">
      <c r="A1102" s="5">
        <f t="shared" si="65"/>
        <v>2024</v>
      </c>
      <c r="B1102" s="5">
        <f t="shared" si="66"/>
        <v>6</v>
      </c>
      <c r="C1102" s="6">
        <v>45453</v>
      </c>
      <c r="D1102" s="5" t="s">
        <v>374</v>
      </c>
      <c r="E1102" s="5" t="s">
        <v>901</v>
      </c>
      <c r="F1102" s="5">
        <v>13535</v>
      </c>
      <c r="I1102" s="5">
        <v>13535</v>
      </c>
      <c r="J1102" s="5">
        <f t="shared" si="67"/>
        <v>13535</v>
      </c>
      <c r="K1102" s="5">
        <v>38842.839999999997</v>
      </c>
    </row>
    <row r="1103" spans="1:11" x14ac:dyDescent="0.25">
      <c r="A1103" s="5">
        <f t="shared" si="65"/>
        <v>2024</v>
      </c>
      <c r="B1103" s="5">
        <f t="shared" si="66"/>
        <v>9</v>
      </c>
      <c r="C1103" s="6">
        <v>45551</v>
      </c>
      <c r="D1103" s="5" t="s">
        <v>586</v>
      </c>
      <c r="E1103" s="5" t="s">
        <v>901</v>
      </c>
      <c r="F1103" s="5">
        <v>13643</v>
      </c>
      <c r="I1103" s="5">
        <v>13643</v>
      </c>
      <c r="J1103" s="5">
        <f t="shared" si="67"/>
        <v>13643</v>
      </c>
      <c r="K1103" s="5">
        <v>87178.89</v>
      </c>
    </row>
    <row r="1104" spans="1:11" x14ac:dyDescent="0.25">
      <c r="A1104" s="5">
        <f t="shared" si="65"/>
        <v>2024</v>
      </c>
      <c r="B1104" s="5">
        <f t="shared" si="66"/>
        <v>8</v>
      </c>
      <c r="C1104" s="6">
        <v>45530</v>
      </c>
      <c r="D1104" s="5" t="s">
        <v>308</v>
      </c>
      <c r="E1104" s="5" t="s">
        <v>901</v>
      </c>
      <c r="F1104" s="5">
        <v>13858.88</v>
      </c>
      <c r="I1104" s="5">
        <v>13858.88</v>
      </c>
      <c r="J1104" s="5">
        <f t="shared" si="67"/>
        <v>13858.88</v>
      </c>
      <c r="K1104" s="5">
        <v>37732.870000000003</v>
      </c>
    </row>
    <row r="1105" spans="1:11" x14ac:dyDescent="0.25">
      <c r="A1105" s="5">
        <f t="shared" si="65"/>
        <v>2024</v>
      </c>
      <c r="B1105" s="5">
        <f t="shared" si="66"/>
        <v>1</v>
      </c>
      <c r="C1105" s="6">
        <v>45302</v>
      </c>
      <c r="D1105" s="5" t="s">
        <v>133</v>
      </c>
      <c r="E1105" s="5" t="s">
        <v>901</v>
      </c>
      <c r="F1105" s="5">
        <v>14000</v>
      </c>
      <c r="I1105" s="5">
        <v>14000</v>
      </c>
      <c r="J1105" s="5">
        <f t="shared" si="67"/>
        <v>14000</v>
      </c>
      <c r="K1105" s="5">
        <v>45933.94</v>
      </c>
    </row>
    <row r="1106" spans="1:11" x14ac:dyDescent="0.25">
      <c r="A1106" s="5">
        <f t="shared" si="65"/>
        <v>2024</v>
      </c>
      <c r="B1106" s="5">
        <f t="shared" si="66"/>
        <v>12</v>
      </c>
      <c r="C1106" s="6">
        <v>45642</v>
      </c>
      <c r="D1106" s="5" t="s">
        <v>791</v>
      </c>
      <c r="E1106" s="5" t="s">
        <v>901</v>
      </c>
      <c r="F1106" s="5">
        <v>14296</v>
      </c>
      <c r="I1106" s="5">
        <v>14296</v>
      </c>
      <c r="J1106" s="5">
        <f t="shared" si="67"/>
        <v>14296</v>
      </c>
      <c r="K1106" s="5">
        <v>70245.570000000007</v>
      </c>
    </row>
    <row r="1107" spans="1:11" x14ac:dyDescent="0.25">
      <c r="A1107" s="5">
        <f t="shared" si="65"/>
        <v>2025</v>
      </c>
      <c r="B1107" s="5">
        <f t="shared" si="66"/>
        <v>1</v>
      </c>
      <c r="C1107" s="6">
        <v>45687</v>
      </c>
      <c r="D1107" s="5" t="s">
        <v>785</v>
      </c>
      <c r="E1107" s="5" t="s">
        <v>901</v>
      </c>
      <c r="F1107" s="5">
        <v>14581.87</v>
      </c>
      <c r="I1107" s="5">
        <v>14581.87</v>
      </c>
      <c r="J1107" s="5">
        <f t="shared" si="67"/>
        <v>14581.87</v>
      </c>
      <c r="K1107" s="5">
        <v>55370.06</v>
      </c>
    </row>
    <row r="1108" spans="1:11" x14ac:dyDescent="0.25">
      <c r="A1108" s="5">
        <f t="shared" si="65"/>
        <v>2024</v>
      </c>
      <c r="B1108" s="5">
        <f t="shared" si="66"/>
        <v>5</v>
      </c>
      <c r="C1108" s="6">
        <v>45427</v>
      </c>
      <c r="D1108" s="5" t="s">
        <v>333</v>
      </c>
      <c r="E1108" s="5" t="s">
        <v>901</v>
      </c>
      <c r="F1108" s="5">
        <v>15000</v>
      </c>
      <c r="I1108" s="5">
        <v>15000</v>
      </c>
      <c r="J1108" s="5">
        <f t="shared" si="67"/>
        <v>15000</v>
      </c>
      <c r="K1108" s="5">
        <v>23675.07</v>
      </c>
    </row>
    <row r="1109" spans="1:11" x14ac:dyDescent="0.25">
      <c r="A1109" s="5">
        <f t="shared" si="65"/>
        <v>2024</v>
      </c>
      <c r="B1109" s="5">
        <f t="shared" si="66"/>
        <v>6</v>
      </c>
      <c r="C1109" s="6">
        <v>45460</v>
      </c>
      <c r="D1109" s="5" t="s">
        <v>386</v>
      </c>
      <c r="E1109" s="5" t="s">
        <v>901</v>
      </c>
      <c r="F1109" s="5">
        <v>15156</v>
      </c>
      <c r="I1109" s="5">
        <v>15156</v>
      </c>
      <c r="J1109" s="5">
        <f t="shared" si="67"/>
        <v>15156</v>
      </c>
      <c r="K1109" s="5">
        <v>34997.550000000003</v>
      </c>
    </row>
    <row r="1110" spans="1:11" x14ac:dyDescent="0.25">
      <c r="A1110" s="5">
        <f t="shared" si="65"/>
        <v>2024</v>
      </c>
      <c r="B1110" s="5">
        <f t="shared" si="66"/>
        <v>3</v>
      </c>
      <c r="C1110" s="6">
        <v>45379</v>
      </c>
      <c r="D1110" s="5" t="s">
        <v>22</v>
      </c>
      <c r="E1110" s="5" t="s">
        <v>901</v>
      </c>
      <c r="F1110" s="5">
        <v>15399</v>
      </c>
      <c r="I1110" s="5">
        <v>15399</v>
      </c>
      <c r="J1110" s="5">
        <f t="shared" si="67"/>
        <v>15399</v>
      </c>
      <c r="K1110" s="5">
        <v>22916.49</v>
      </c>
    </row>
    <row r="1111" spans="1:11" x14ac:dyDescent="0.25">
      <c r="A1111" s="5">
        <f t="shared" si="65"/>
        <v>2024</v>
      </c>
      <c r="B1111" s="5">
        <f t="shared" si="66"/>
        <v>8</v>
      </c>
      <c r="C1111" s="6">
        <v>45520</v>
      </c>
      <c r="D1111" s="5" t="s">
        <v>511</v>
      </c>
      <c r="E1111" s="5" t="s">
        <v>901</v>
      </c>
      <c r="F1111" s="5">
        <v>15928.5</v>
      </c>
      <c r="I1111" s="5">
        <v>15928.5</v>
      </c>
      <c r="J1111" s="5">
        <f t="shared" si="67"/>
        <v>15928.5</v>
      </c>
      <c r="K1111" s="5">
        <v>57001.45</v>
      </c>
    </row>
    <row r="1112" spans="1:11" x14ac:dyDescent="0.25">
      <c r="A1112" s="5">
        <f t="shared" si="65"/>
        <v>2024</v>
      </c>
      <c r="B1112" s="5">
        <f t="shared" si="66"/>
        <v>2</v>
      </c>
      <c r="C1112" s="6">
        <v>45324</v>
      </c>
      <c r="D1112" s="5" t="s">
        <v>22</v>
      </c>
      <c r="E1112" s="5" t="s">
        <v>901</v>
      </c>
      <c r="F1112" s="5">
        <v>16000</v>
      </c>
      <c r="I1112" s="5">
        <v>16000</v>
      </c>
      <c r="J1112" s="5">
        <f t="shared" si="67"/>
        <v>16000</v>
      </c>
      <c r="K1112" s="5">
        <v>36827.050000000003</v>
      </c>
    </row>
    <row r="1113" spans="1:11" x14ac:dyDescent="0.25">
      <c r="A1113" s="5">
        <f t="shared" si="65"/>
        <v>2024</v>
      </c>
      <c r="B1113" s="5">
        <f t="shared" si="66"/>
        <v>4</v>
      </c>
      <c r="C1113" s="6">
        <v>45384</v>
      </c>
      <c r="D1113" s="5" t="s">
        <v>22</v>
      </c>
      <c r="E1113" s="5" t="s">
        <v>901</v>
      </c>
      <c r="F1113" s="5">
        <v>16000</v>
      </c>
      <c r="I1113" s="5">
        <v>16000</v>
      </c>
      <c r="J1113" s="5">
        <f t="shared" si="67"/>
        <v>16000</v>
      </c>
      <c r="K1113" s="5">
        <v>35325.21</v>
      </c>
    </row>
    <row r="1114" spans="1:11" x14ac:dyDescent="0.25">
      <c r="A1114" s="5">
        <f t="shared" si="65"/>
        <v>2024</v>
      </c>
      <c r="B1114" s="5">
        <f t="shared" si="66"/>
        <v>2</v>
      </c>
      <c r="C1114" s="6">
        <v>45344</v>
      </c>
      <c r="D1114" s="5" t="s">
        <v>22</v>
      </c>
      <c r="E1114" s="5" t="s">
        <v>901</v>
      </c>
      <c r="F1114" s="5">
        <v>16255.86</v>
      </c>
      <c r="I1114" s="5">
        <v>16255.86</v>
      </c>
      <c r="J1114" s="5">
        <f t="shared" si="67"/>
        <v>16255.86</v>
      </c>
      <c r="K1114" s="5">
        <v>31849.47</v>
      </c>
    </row>
    <row r="1115" spans="1:11" x14ac:dyDescent="0.25">
      <c r="A1115" s="5">
        <f t="shared" si="65"/>
        <v>2024</v>
      </c>
      <c r="B1115" s="5">
        <f t="shared" si="66"/>
        <v>9</v>
      </c>
      <c r="C1115" s="6">
        <v>45561</v>
      </c>
      <c r="D1115" s="5" t="s">
        <v>308</v>
      </c>
      <c r="E1115" s="5" t="s">
        <v>901</v>
      </c>
      <c r="F1115" s="5">
        <v>16825</v>
      </c>
      <c r="I1115" s="5">
        <v>16825</v>
      </c>
      <c r="J1115" s="5">
        <f t="shared" si="67"/>
        <v>16825</v>
      </c>
      <c r="K1115" s="5">
        <v>83178.28</v>
      </c>
    </row>
    <row r="1116" spans="1:11" x14ac:dyDescent="0.25">
      <c r="A1116" s="5">
        <f t="shared" si="65"/>
        <v>2024</v>
      </c>
      <c r="B1116" s="5">
        <f t="shared" si="66"/>
        <v>12</v>
      </c>
      <c r="C1116" s="6">
        <v>45649</v>
      </c>
      <c r="D1116" s="5" t="s">
        <v>796</v>
      </c>
      <c r="E1116" s="5" t="s">
        <v>901</v>
      </c>
      <c r="F1116" s="5">
        <v>16882</v>
      </c>
      <c r="I1116" s="5">
        <v>16882</v>
      </c>
      <c r="J1116" s="5">
        <f t="shared" si="67"/>
        <v>16882</v>
      </c>
      <c r="K1116" s="5">
        <v>61159.01</v>
      </c>
    </row>
    <row r="1117" spans="1:11" x14ac:dyDescent="0.25">
      <c r="A1117" s="5">
        <f t="shared" si="65"/>
        <v>2025</v>
      </c>
      <c r="B1117" s="5">
        <f t="shared" si="66"/>
        <v>1</v>
      </c>
      <c r="C1117" s="6">
        <v>45680</v>
      </c>
      <c r="D1117" s="5" t="s">
        <v>22</v>
      </c>
      <c r="E1117" s="5" t="s">
        <v>901</v>
      </c>
      <c r="F1117" s="5">
        <v>16900</v>
      </c>
      <c r="I1117" s="5">
        <v>16900</v>
      </c>
      <c r="J1117" s="5">
        <f t="shared" si="67"/>
        <v>16900</v>
      </c>
      <c r="K1117" s="5">
        <v>70880.19</v>
      </c>
    </row>
    <row r="1118" spans="1:11" x14ac:dyDescent="0.25">
      <c r="A1118" s="5">
        <f t="shared" si="65"/>
        <v>2024</v>
      </c>
      <c r="B1118" s="5">
        <f t="shared" si="66"/>
        <v>4</v>
      </c>
      <c r="C1118" s="6">
        <v>45393</v>
      </c>
      <c r="D1118" s="5" t="s">
        <v>276</v>
      </c>
      <c r="E1118" s="5" t="s">
        <v>901</v>
      </c>
      <c r="F1118" s="5">
        <v>17000</v>
      </c>
      <c r="I1118" s="5">
        <v>17000</v>
      </c>
      <c r="J1118" s="5">
        <f t="shared" si="67"/>
        <v>17000</v>
      </c>
      <c r="K1118" s="5">
        <v>36720.410000000003</v>
      </c>
    </row>
    <row r="1119" spans="1:11" x14ac:dyDescent="0.25">
      <c r="A1119" s="5">
        <f t="shared" si="65"/>
        <v>2024</v>
      </c>
      <c r="B1119" s="5">
        <f t="shared" si="66"/>
        <v>3</v>
      </c>
      <c r="C1119" s="6">
        <v>45356</v>
      </c>
      <c r="D1119" s="5" t="s">
        <v>22</v>
      </c>
      <c r="E1119" s="5" t="s">
        <v>901</v>
      </c>
      <c r="F1119" s="5">
        <v>18000</v>
      </c>
      <c r="I1119" s="5">
        <v>18000</v>
      </c>
      <c r="J1119" s="5">
        <f t="shared" si="67"/>
        <v>18000</v>
      </c>
      <c r="K1119" s="5">
        <v>45871.72</v>
      </c>
    </row>
    <row r="1120" spans="1:11" x14ac:dyDescent="0.25">
      <c r="A1120" s="5">
        <f t="shared" si="65"/>
        <v>2024</v>
      </c>
      <c r="B1120" s="5">
        <f t="shared" si="66"/>
        <v>8</v>
      </c>
      <c r="C1120" s="6">
        <v>45525</v>
      </c>
      <c r="D1120" s="5" t="s">
        <v>22</v>
      </c>
      <c r="E1120" s="5" t="s">
        <v>901</v>
      </c>
      <c r="F1120" s="5">
        <v>18127.96</v>
      </c>
      <c r="I1120" s="5">
        <v>18127.96</v>
      </c>
      <c r="J1120" s="5">
        <f t="shared" si="67"/>
        <v>18127.96</v>
      </c>
      <c r="K1120" s="5">
        <v>78465.03</v>
      </c>
    </row>
    <row r="1121" spans="1:11" x14ac:dyDescent="0.25">
      <c r="A1121" s="5">
        <f t="shared" si="65"/>
        <v>2025</v>
      </c>
      <c r="B1121" s="5">
        <f t="shared" si="66"/>
        <v>2</v>
      </c>
      <c r="C1121" s="6">
        <v>45712</v>
      </c>
      <c r="D1121" s="5" t="s">
        <v>882</v>
      </c>
      <c r="E1121" s="5" t="s">
        <v>901</v>
      </c>
      <c r="F1121" s="5">
        <v>18306</v>
      </c>
      <c r="I1121" s="5">
        <v>18306</v>
      </c>
      <c r="J1121" s="5">
        <f t="shared" si="67"/>
        <v>18306</v>
      </c>
      <c r="K1121" s="5">
        <v>58317.52</v>
      </c>
    </row>
    <row r="1122" spans="1:11" x14ac:dyDescent="0.25">
      <c r="A1122" s="5">
        <f t="shared" si="65"/>
        <v>2024</v>
      </c>
      <c r="B1122" s="5">
        <f t="shared" si="66"/>
        <v>9</v>
      </c>
      <c r="C1122" s="6">
        <v>45565</v>
      </c>
      <c r="D1122" s="5" t="s">
        <v>622</v>
      </c>
      <c r="E1122" s="5" t="s">
        <v>901</v>
      </c>
      <c r="F1122" s="5">
        <v>18404</v>
      </c>
      <c r="I1122" s="5">
        <v>18404</v>
      </c>
      <c r="J1122" s="5">
        <f t="shared" si="67"/>
        <v>18404</v>
      </c>
      <c r="K1122" s="5">
        <v>94945.600000000006</v>
      </c>
    </row>
    <row r="1123" spans="1:11" x14ac:dyDescent="0.25">
      <c r="A1123" s="5">
        <f t="shared" si="65"/>
        <v>2025</v>
      </c>
      <c r="B1123" s="5">
        <f t="shared" si="66"/>
        <v>1</v>
      </c>
      <c r="C1123" s="6">
        <v>45670</v>
      </c>
      <c r="D1123" s="5" t="s">
        <v>835</v>
      </c>
      <c r="E1123" s="5" t="s">
        <v>901</v>
      </c>
      <c r="F1123" s="5">
        <v>19018</v>
      </c>
      <c r="I1123" s="5">
        <v>19018</v>
      </c>
      <c r="J1123" s="5">
        <f t="shared" si="67"/>
        <v>19018</v>
      </c>
      <c r="K1123" s="5">
        <v>55171.81</v>
      </c>
    </row>
    <row r="1124" spans="1:11" x14ac:dyDescent="0.25">
      <c r="A1124" s="5">
        <f t="shared" si="65"/>
        <v>2024</v>
      </c>
      <c r="B1124" s="5">
        <f t="shared" si="66"/>
        <v>9</v>
      </c>
      <c r="C1124" s="6">
        <v>45544</v>
      </c>
      <c r="D1124" s="5" t="s">
        <v>575</v>
      </c>
      <c r="E1124" s="5" t="s">
        <v>901</v>
      </c>
      <c r="F1124" s="5">
        <v>19333</v>
      </c>
      <c r="I1124" s="5">
        <v>19333</v>
      </c>
      <c r="J1124" s="5">
        <f t="shared" si="67"/>
        <v>19333</v>
      </c>
      <c r="K1124" s="5">
        <v>68018.81</v>
      </c>
    </row>
    <row r="1125" spans="1:11" x14ac:dyDescent="0.25">
      <c r="A1125" s="5">
        <f t="shared" si="65"/>
        <v>2024</v>
      </c>
      <c r="B1125" s="5">
        <f t="shared" si="66"/>
        <v>5</v>
      </c>
      <c r="C1125" s="6">
        <v>45442</v>
      </c>
      <c r="D1125" s="5" t="s">
        <v>357</v>
      </c>
      <c r="E1125" s="5" t="s">
        <v>901</v>
      </c>
      <c r="F1125" s="5">
        <v>20000</v>
      </c>
      <c r="I1125" s="5">
        <v>20000</v>
      </c>
      <c r="J1125" s="5">
        <f t="shared" si="67"/>
        <v>20000</v>
      </c>
      <c r="K1125" s="5">
        <v>44717.54</v>
      </c>
    </row>
    <row r="1126" spans="1:11" x14ac:dyDescent="0.25">
      <c r="A1126" s="5">
        <f t="shared" si="65"/>
        <v>2024</v>
      </c>
      <c r="B1126" s="5">
        <f t="shared" si="66"/>
        <v>6</v>
      </c>
      <c r="C1126" s="6">
        <v>45447</v>
      </c>
      <c r="D1126" s="5" t="s">
        <v>22</v>
      </c>
      <c r="E1126" s="5" t="s">
        <v>901</v>
      </c>
      <c r="F1126" s="5">
        <v>20000</v>
      </c>
      <c r="I1126" s="5">
        <v>20000</v>
      </c>
      <c r="J1126" s="5">
        <f t="shared" si="67"/>
        <v>20000</v>
      </c>
      <c r="K1126" s="5">
        <v>25918.54</v>
      </c>
    </row>
    <row r="1127" spans="1:11" x14ac:dyDescent="0.25">
      <c r="A1127" s="5">
        <f t="shared" si="65"/>
        <v>2025</v>
      </c>
      <c r="B1127" s="5">
        <f t="shared" si="66"/>
        <v>1</v>
      </c>
      <c r="C1127" s="6">
        <v>45663</v>
      </c>
      <c r="D1127" s="5" t="s">
        <v>823</v>
      </c>
      <c r="E1127" s="5" t="s">
        <v>901</v>
      </c>
      <c r="F1127" s="5">
        <v>20717</v>
      </c>
      <c r="I1127" s="5">
        <v>20717</v>
      </c>
      <c r="J1127" s="5">
        <f t="shared" si="67"/>
        <v>20717</v>
      </c>
      <c r="K1127" s="5">
        <v>107063.49</v>
      </c>
    </row>
    <row r="1128" spans="1:11" x14ac:dyDescent="0.25">
      <c r="A1128" s="5">
        <f t="shared" si="65"/>
        <v>2025</v>
      </c>
      <c r="B1128" s="5">
        <f t="shared" si="66"/>
        <v>2</v>
      </c>
      <c r="C1128" s="6">
        <v>45698</v>
      </c>
      <c r="D1128" s="5" t="s">
        <v>862</v>
      </c>
      <c r="E1128" s="5" t="s">
        <v>901</v>
      </c>
      <c r="F1128" s="5">
        <v>22337</v>
      </c>
      <c r="I1128" s="5">
        <v>22337</v>
      </c>
      <c r="J1128" s="5">
        <f t="shared" si="67"/>
        <v>22337</v>
      </c>
      <c r="K1128" s="5">
        <v>61212.69</v>
      </c>
    </row>
    <row r="1129" spans="1:11" x14ac:dyDescent="0.25">
      <c r="A1129" s="5">
        <f t="shared" si="65"/>
        <v>2023</v>
      </c>
      <c r="B1129" s="5">
        <f t="shared" si="66"/>
        <v>12</v>
      </c>
      <c r="C1129" s="6">
        <v>45282</v>
      </c>
      <c r="D1129" s="5" t="s">
        <v>22</v>
      </c>
      <c r="E1129" s="5" t="s">
        <v>901</v>
      </c>
      <c r="F1129" s="5">
        <v>23000</v>
      </c>
      <c r="I1129" s="5">
        <v>23000</v>
      </c>
      <c r="J1129" s="5">
        <f t="shared" si="67"/>
        <v>23000</v>
      </c>
      <c r="K1129" s="5">
        <v>62557.46</v>
      </c>
    </row>
    <row r="1130" spans="1:11" x14ac:dyDescent="0.25">
      <c r="A1130" s="5">
        <f t="shared" si="65"/>
        <v>2024</v>
      </c>
      <c r="B1130" s="5">
        <f t="shared" si="66"/>
        <v>6</v>
      </c>
      <c r="C1130" s="6">
        <v>45463</v>
      </c>
      <c r="D1130" s="5" t="s">
        <v>392</v>
      </c>
      <c r="E1130" s="5" t="s">
        <v>901</v>
      </c>
      <c r="F1130" s="5">
        <v>23500</v>
      </c>
      <c r="I1130" s="5">
        <v>23500</v>
      </c>
      <c r="J1130" s="5">
        <f t="shared" si="67"/>
        <v>23500</v>
      </c>
      <c r="K1130" s="5">
        <v>56142.83</v>
      </c>
    </row>
    <row r="1131" spans="1:11" x14ac:dyDescent="0.25">
      <c r="A1131" s="5">
        <f t="shared" si="65"/>
        <v>2024</v>
      </c>
      <c r="B1131" s="5">
        <f t="shared" si="66"/>
        <v>10</v>
      </c>
      <c r="C1131" s="6">
        <v>45572</v>
      </c>
      <c r="D1131" s="5" t="s">
        <v>308</v>
      </c>
      <c r="E1131" s="5" t="s">
        <v>901</v>
      </c>
      <c r="F1131" s="5">
        <v>23705.26</v>
      </c>
      <c r="I1131" s="5">
        <v>23705.26</v>
      </c>
      <c r="J1131" s="5">
        <f t="shared" si="67"/>
        <v>23705.26</v>
      </c>
      <c r="K1131" s="5">
        <v>65659.03</v>
      </c>
    </row>
    <row r="1132" spans="1:11" x14ac:dyDescent="0.25">
      <c r="A1132" s="5">
        <f t="shared" si="65"/>
        <v>2025</v>
      </c>
      <c r="B1132" s="5">
        <f t="shared" si="66"/>
        <v>3</v>
      </c>
      <c r="C1132" s="6">
        <v>45719</v>
      </c>
      <c r="D1132" s="5" t="s">
        <v>785</v>
      </c>
      <c r="E1132" s="5" t="s">
        <v>901</v>
      </c>
      <c r="F1132" s="5">
        <v>24105</v>
      </c>
      <c r="I1132" s="5">
        <v>24105</v>
      </c>
      <c r="J1132" s="5">
        <f t="shared" si="67"/>
        <v>24105</v>
      </c>
      <c r="K1132" s="5">
        <v>85384.77</v>
      </c>
    </row>
    <row r="1133" spans="1:11" x14ac:dyDescent="0.25">
      <c r="A1133" s="5">
        <f t="shared" si="65"/>
        <v>2024</v>
      </c>
      <c r="B1133" s="5">
        <f t="shared" si="66"/>
        <v>1</v>
      </c>
      <c r="C1133" s="6">
        <v>45314</v>
      </c>
      <c r="D1133" s="5" t="s">
        <v>151</v>
      </c>
      <c r="E1133" s="5" t="s">
        <v>901</v>
      </c>
      <c r="F1133" s="5">
        <v>25000</v>
      </c>
      <c r="I1133" s="5">
        <v>25000</v>
      </c>
      <c r="J1133" s="5">
        <f t="shared" si="67"/>
        <v>25000</v>
      </c>
      <c r="K1133" s="5">
        <v>42978.87</v>
      </c>
    </row>
    <row r="1134" spans="1:11" x14ac:dyDescent="0.25">
      <c r="A1134" s="5">
        <f t="shared" si="65"/>
        <v>2024</v>
      </c>
      <c r="B1134" s="5">
        <f t="shared" si="66"/>
        <v>10</v>
      </c>
      <c r="C1134" s="6">
        <v>45580</v>
      </c>
      <c r="D1134" s="5" t="s">
        <v>22</v>
      </c>
      <c r="E1134" s="5" t="s">
        <v>901</v>
      </c>
      <c r="F1134" s="5">
        <v>25000</v>
      </c>
      <c r="I1134" s="5">
        <v>25000</v>
      </c>
      <c r="J1134" s="5">
        <f t="shared" si="67"/>
        <v>25000</v>
      </c>
      <c r="K1134" s="5">
        <v>92539.71</v>
      </c>
    </row>
    <row r="1135" spans="1:11" x14ac:dyDescent="0.25">
      <c r="A1135" s="5">
        <f t="shared" si="65"/>
        <v>2025</v>
      </c>
      <c r="B1135" s="5">
        <f t="shared" si="66"/>
        <v>1</v>
      </c>
      <c r="C1135" s="6">
        <v>45663</v>
      </c>
      <c r="D1135" s="5" t="s">
        <v>785</v>
      </c>
      <c r="E1135" s="5" t="s">
        <v>901</v>
      </c>
      <c r="F1135" s="5">
        <v>26485</v>
      </c>
      <c r="I1135" s="5">
        <v>26485</v>
      </c>
      <c r="J1135" s="5">
        <f t="shared" si="67"/>
        <v>26485</v>
      </c>
      <c r="K1135" s="5">
        <v>86346.49</v>
      </c>
    </row>
    <row r="1136" spans="1:11" x14ac:dyDescent="0.25">
      <c r="A1136" s="5">
        <f t="shared" si="65"/>
        <v>2024</v>
      </c>
      <c r="B1136" s="5">
        <f t="shared" si="66"/>
        <v>1</v>
      </c>
      <c r="C1136" s="6">
        <v>45296</v>
      </c>
      <c r="D1136" s="5" t="s">
        <v>22</v>
      </c>
      <c r="E1136" s="5" t="s">
        <v>901</v>
      </c>
      <c r="F1136" s="5">
        <v>27000</v>
      </c>
      <c r="I1136" s="5">
        <v>27000</v>
      </c>
      <c r="J1136" s="5">
        <f t="shared" si="67"/>
        <v>27000</v>
      </c>
      <c r="K1136" s="5">
        <v>51055.41</v>
      </c>
    </row>
    <row r="1137" spans="1:11" x14ac:dyDescent="0.25">
      <c r="A1137" s="5">
        <f t="shared" si="65"/>
        <v>2023</v>
      </c>
      <c r="B1137" s="5">
        <f t="shared" si="66"/>
        <v>11</v>
      </c>
      <c r="C1137" s="6">
        <v>45238</v>
      </c>
      <c r="D1137" s="5" t="s">
        <v>22</v>
      </c>
      <c r="E1137" s="5" t="s">
        <v>901</v>
      </c>
      <c r="F1137" s="5">
        <v>30000</v>
      </c>
      <c r="I1137" s="5">
        <v>30000</v>
      </c>
      <c r="J1137" s="5">
        <f t="shared" si="67"/>
        <v>30000</v>
      </c>
      <c r="K1137" s="5">
        <v>41778.800000000003</v>
      </c>
    </row>
    <row r="1138" spans="1:11" x14ac:dyDescent="0.25">
      <c r="A1138" s="5">
        <f t="shared" si="65"/>
        <v>2023</v>
      </c>
      <c r="B1138" s="5">
        <f t="shared" si="66"/>
        <v>10</v>
      </c>
      <c r="C1138" s="6">
        <v>45224</v>
      </c>
      <c r="D1138" s="5" t="s">
        <v>26</v>
      </c>
      <c r="E1138" s="5" t="s">
        <v>901</v>
      </c>
      <c r="F1138" s="5">
        <v>35000</v>
      </c>
      <c r="I1138" s="5">
        <v>35000</v>
      </c>
      <c r="J1138" s="5">
        <f t="shared" si="67"/>
        <v>35000</v>
      </c>
      <c r="K1138" s="5">
        <v>37669.07</v>
      </c>
    </row>
    <row r="1139" spans="1:11" x14ac:dyDescent="0.25">
      <c r="A1139" s="5">
        <f t="shared" si="65"/>
        <v>2023</v>
      </c>
      <c r="B1139" s="5">
        <f t="shared" si="66"/>
        <v>12</v>
      </c>
      <c r="C1139" s="6">
        <v>45272</v>
      </c>
      <c r="D1139" s="5" t="s">
        <v>22</v>
      </c>
      <c r="E1139" s="5" t="s">
        <v>901</v>
      </c>
      <c r="F1139" s="5">
        <v>38000</v>
      </c>
      <c r="I1139" s="5">
        <v>38000</v>
      </c>
      <c r="J1139" s="5">
        <f t="shared" si="67"/>
        <v>38000</v>
      </c>
      <c r="K1139" s="5">
        <v>56361.23</v>
      </c>
    </row>
    <row r="1140" spans="1:11" x14ac:dyDescent="0.25">
      <c r="A1140" s="5">
        <f t="shared" si="65"/>
        <v>2024</v>
      </c>
      <c r="B1140" s="5">
        <f t="shared" si="66"/>
        <v>9</v>
      </c>
      <c r="C1140" s="6">
        <v>45538</v>
      </c>
      <c r="D1140" s="5" t="s">
        <v>546</v>
      </c>
      <c r="E1140" s="5" t="s">
        <v>901</v>
      </c>
      <c r="F1140" s="5">
        <v>40000</v>
      </c>
      <c r="I1140" s="5">
        <v>40000</v>
      </c>
      <c r="J1140" s="5">
        <f t="shared" si="67"/>
        <v>40000</v>
      </c>
      <c r="K1140" s="5">
        <v>71350.45</v>
      </c>
    </row>
    <row r="1141" spans="1:11" x14ac:dyDescent="0.25">
      <c r="A1141" s="5">
        <f t="shared" si="65"/>
        <v>2024</v>
      </c>
      <c r="B1141" s="5">
        <f t="shared" si="66"/>
        <v>12</v>
      </c>
      <c r="C1141" s="6">
        <v>45642</v>
      </c>
      <c r="D1141" s="5" t="s">
        <v>790</v>
      </c>
      <c r="E1141" s="5" t="s">
        <v>901</v>
      </c>
      <c r="F1141" s="5">
        <v>54992.73</v>
      </c>
      <c r="I1141" s="5">
        <v>54992.73</v>
      </c>
      <c r="J1141" s="5">
        <f t="shared" si="67"/>
        <v>54992.73</v>
      </c>
      <c r="K1141" s="5">
        <v>55949.57</v>
      </c>
    </row>
    <row r="1142" spans="1:11" x14ac:dyDescent="0.25">
      <c r="A1142" s="5">
        <f t="shared" si="65"/>
        <v>2024</v>
      </c>
      <c r="B1142" s="5">
        <f t="shared" si="66"/>
        <v>12</v>
      </c>
      <c r="C1142" s="6">
        <v>45656</v>
      </c>
      <c r="D1142" s="5" t="s">
        <v>802</v>
      </c>
      <c r="E1142" s="5" t="s">
        <v>901</v>
      </c>
      <c r="F1142" s="5">
        <v>64919</v>
      </c>
      <c r="I1142" s="5">
        <v>64919</v>
      </c>
      <c r="J1142" s="5">
        <f t="shared" si="67"/>
        <v>64919</v>
      </c>
      <c r="K1142" s="5">
        <v>158058.10999999999</v>
      </c>
    </row>
    <row r="1143" spans="1:11" x14ac:dyDescent="0.25">
      <c r="A1143" s="5">
        <f t="shared" si="65"/>
        <v>2024</v>
      </c>
      <c r="B1143" s="5">
        <f t="shared" si="66"/>
        <v>12</v>
      </c>
      <c r="C1143" s="6">
        <v>45652</v>
      </c>
      <c r="D1143" s="5" t="s">
        <v>785</v>
      </c>
      <c r="E1143" s="5" t="s">
        <v>901</v>
      </c>
      <c r="F1143" s="5">
        <v>79323.600000000006</v>
      </c>
      <c r="I1143" s="5">
        <v>79323.600000000006</v>
      </c>
      <c r="J1143" s="5">
        <f t="shared" si="67"/>
        <v>79323.600000000006</v>
      </c>
      <c r="K1143" s="5">
        <v>142878.71</v>
      </c>
    </row>
    <row r="1144" spans="1:11" x14ac:dyDescent="0.25">
      <c r="A1144" s="5">
        <f t="shared" si="65"/>
        <v>2024</v>
      </c>
      <c r="B1144" s="5">
        <f t="shared" si="66"/>
        <v>10</v>
      </c>
      <c r="C1144" s="6">
        <v>45580</v>
      </c>
      <c r="D1144" s="5" t="s">
        <v>670</v>
      </c>
      <c r="E1144" s="5" t="s">
        <v>902</v>
      </c>
      <c r="G1144" s="5">
        <v>-1543.76</v>
      </c>
      <c r="I1144" s="5">
        <v>1543.76</v>
      </c>
      <c r="J1144" s="5">
        <v>1543.76</v>
      </c>
    </row>
  </sheetData>
  <autoFilter ref="C1:L1144">
    <sortState xmlns:xlrd2="http://schemas.microsoft.com/office/spreadsheetml/2017/richdata2" ref="C2:L1144">
      <sortCondition ref="F1:F1144"/>
    </sortState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51"/>
  <sheetViews>
    <sheetView workbookViewId="0">
      <selection activeCell="A8" sqref="A8:XFD8"/>
    </sheetView>
  </sheetViews>
  <sheetFormatPr defaultRowHeight="15" x14ac:dyDescent="0.25"/>
  <sheetData>
    <row r="1" spans="1:4" x14ac:dyDescent="0.25">
      <c r="A1" t="s">
        <v>0</v>
      </c>
      <c r="C1" t="s">
        <v>1</v>
      </c>
    </row>
    <row r="2" spans="1:4" x14ac:dyDescent="0.25">
      <c r="A2" t="s">
        <v>2</v>
      </c>
      <c r="C2">
        <v>10100</v>
      </c>
    </row>
    <row r="3" spans="1:4" x14ac:dyDescent="0.25">
      <c r="A3" t="s">
        <v>3</v>
      </c>
      <c r="C3">
        <v>1714574.26</v>
      </c>
    </row>
    <row r="4" spans="1:4" x14ac:dyDescent="0.25">
      <c r="A4" t="s">
        <v>4</v>
      </c>
      <c r="C4">
        <v>-1647043.08</v>
      </c>
    </row>
    <row r="5" spans="1:4" x14ac:dyDescent="0.25">
      <c r="A5" t="s">
        <v>5</v>
      </c>
      <c r="C5">
        <v>77631.179999999993</v>
      </c>
    </row>
    <row r="7" spans="1:4" x14ac:dyDescent="0.25">
      <c r="A7" t="s">
        <v>6</v>
      </c>
      <c r="B7" t="s">
        <v>0</v>
      </c>
      <c r="C7" t="s">
        <v>7</v>
      </c>
      <c r="D7" t="s">
        <v>8</v>
      </c>
    </row>
    <row r="8" spans="1:4" x14ac:dyDescent="0.25">
      <c r="A8">
        <v>45176</v>
      </c>
      <c r="B8" t="s">
        <v>2</v>
      </c>
      <c r="D8">
        <v>10100</v>
      </c>
    </row>
    <row r="9" spans="1:4" x14ac:dyDescent="0.25">
      <c r="A9">
        <v>45176</v>
      </c>
      <c r="B9" t="s">
        <v>9</v>
      </c>
      <c r="C9">
        <v>-260.29000000000002</v>
      </c>
      <c r="D9">
        <v>9839.7099999999991</v>
      </c>
    </row>
    <row r="10" spans="1:4" x14ac:dyDescent="0.25">
      <c r="A10">
        <v>45177</v>
      </c>
      <c r="B10" t="s">
        <v>10</v>
      </c>
      <c r="C10">
        <v>-3233.69</v>
      </c>
      <c r="D10">
        <v>6606.02</v>
      </c>
    </row>
    <row r="11" spans="1:4" x14ac:dyDescent="0.25">
      <c r="A11">
        <v>45177</v>
      </c>
      <c r="B11" t="s">
        <v>11</v>
      </c>
      <c r="C11">
        <v>-1177</v>
      </c>
      <c r="D11">
        <v>5429.02</v>
      </c>
    </row>
    <row r="12" spans="1:4" x14ac:dyDescent="0.25">
      <c r="A12">
        <v>45180</v>
      </c>
      <c r="B12" t="s">
        <v>12</v>
      </c>
      <c r="C12">
        <v>3162.86</v>
      </c>
      <c r="D12">
        <v>8591.8799999999992</v>
      </c>
    </row>
    <row r="13" spans="1:4" x14ac:dyDescent="0.25">
      <c r="A13">
        <v>45180</v>
      </c>
      <c r="B13" t="s">
        <v>13</v>
      </c>
      <c r="C13">
        <v>-55.05</v>
      </c>
      <c r="D13">
        <v>8536.83</v>
      </c>
    </row>
    <row r="14" spans="1:4" x14ac:dyDescent="0.25">
      <c r="A14">
        <v>45183</v>
      </c>
      <c r="B14" t="s">
        <v>14</v>
      </c>
      <c r="C14">
        <v>-40.659999999999997</v>
      </c>
      <c r="D14">
        <v>8496.17</v>
      </c>
    </row>
    <row r="15" spans="1:4" x14ac:dyDescent="0.25">
      <c r="A15">
        <v>45184</v>
      </c>
      <c r="B15" t="s">
        <v>15</v>
      </c>
      <c r="C15">
        <v>-33.29</v>
      </c>
      <c r="D15">
        <v>8462.8799999999992</v>
      </c>
    </row>
    <row r="16" spans="1:4" x14ac:dyDescent="0.25">
      <c r="A16">
        <v>45184</v>
      </c>
      <c r="B16" t="s">
        <v>16</v>
      </c>
      <c r="C16">
        <v>-26.34</v>
      </c>
      <c r="D16">
        <v>8436.5400000000009</v>
      </c>
    </row>
    <row r="17" spans="1:4" x14ac:dyDescent="0.25">
      <c r="A17">
        <v>45188</v>
      </c>
      <c r="B17" t="s">
        <v>17</v>
      </c>
      <c r="C17">
        <v>-424.84</v>
      </c>
      <c r="D17">
        <v>8011.7</v>
      </c>
    </row>
    <row r="18" spans="1:4" x14ac:dyDescent="0.25">
      <c r="A18">
        <v>45188</v>
      </c>
      <c r="B18" t="s">
        <v>18</v>
      </c>
      <c r="C18">
        <v>-50</v>
      </c>
      <c r="D18">
        <v>7961.7</v>
      </c>
    </row>
    <row r="19" spans="1:4" x14ac:dyDescent="0.25">
      <c r="A19">
        <v>45190</v>
      </c>
      <c r="B19" t="s">
        <v>19</v>
      </c>
      <c r="C19">
        <v>10000</v>
      </c>
      <c r="D19">
        <v>17961.7</v>
      </c>
    </row>
    <row r="20" spans="1:4" x14ac:dyDescent="0.25">
      <c r="A20">
        <v>45190</v>
      </c>
      <c r="B20" t="s">
        <v>20</v>
      </c>
      <c r="C20">
        <v>-2989.94</v>
      </c>
      <c r="D20">
        <v>14971.76</v>
      </c>
    </row>
    <row r="21" spans="1:4" x14ac:dyDescent="0.25">
      <c r="A21">
        <v>45190</v>
      </c>
      <c r="B21" t="s">
        <v>21</v>
      </c>
      <c r="C21">
        <v>-1865.9</v>
      </c>
      <c r="D21">
        <v>13105.86</v>
      </c>
    </row>
    <row r="22" spans="1:4" x14ac:dyDescent="0.25">
      <c r="A22">
        <v>45191</v>
      </c>
      <c r="B22" t="s">
        <v>22</v>
      </c>
      <c r="C22">
        <v>1602</v>
      </c>
      <c r="D22">
        <v>14707.86</v>
      </c>
    </row>
    <row r="23" spans="1:4" x14ac:dyDescent="0.25">
      <c r="A23">
        <v>45191</v>
      </c>
      <c r="B23" t="s">
        <v>23</v>
      </c>
      <c r="C23">
        <v>-4801.0200000000004</v>
      </c>
      <c r="D23">
        <v>9906.84</v>
      </c>
    </row>
    <row r="24" spans="1:4" x14ac:dyDescent="0.25">
      <c r="A24">
        <v>45191</v>
      </c>
      <c r="B24" t="s">
        <v>24</v>
      </c>
      <c r="C24">
        <v>-150</v>
      </c>
      <c r="D24">
        <v>9756.84</v>
      </c>
    </row>
    <row r="25" spans="1:4" x14ac:dyDescent="0.25">
      <c r="A25">
        <v>45194</v>
      </c>
      <c r="B25" t="s">
        <v>25</v>
      </c>
      <c r="C25">
        <v>4801.0200000000004</v>
      </c>
      <c r="D25">
        <v>14557.86</v>
      </c>
    </row>
    <row r="26" spans="1:4" x14ac:dyDescent="0.25">
      <c r="A26">
        <v>45194</v>
      </c>
      <c r="B26" t="s">
        <v>26</v>
      </c>
      <c r="C26">
        <v>10000</v>
      </c>
      <c r="D26">
        <v>24557.86</v>
      </c>
    </row>
    <row r="27" spans="1:4" x14ac:dyDescent="0.25">
      <c r="A27">
        <v>45194</v>
      </c>
      <c r="B27" t="s">
        <v>27</v>
      </c>
      <c r="C27">
        <v>-967.7</v>
      </c>
      <c r="D27">
        <v>23590.16</v>
      </c>
    </row>
    <row r="28" spans="1:4" x14ac:dyDescent="0.25">
      <c r="A28">
        <v>45195</v>
      </c>
      <c r="B28" t="s">
        <v>28</v>
      </c>
      <c r="C28">
        <v>-114.22</v>
      </c>
      <c r="D28">
        <v>23475.94</v>
      </c>
    </row>
    <row r="29" spans="1:4" x14ac:dyDescent="0.25">
      <c r="A29">
        <v>45196</v>
      </c>
      <c r="B29" t="s">
        <v>29</v>
      </c>
      <c r="C29">
        <v>-36.979999999999997</v>
      </c>
      <c r="D29">
        <v>23438.959999999999</v>
      </c>
    </row>
    <row r="30" spans="1:4" x14ac:dyDescent="0.25">
      <c r="A30">
        <v>45202</v>
      </c>
      <c r="B30" t="s">
        <v>18</v>
      </c>
      <c r="C30">
        <v>-50</v>
      </c>
      <c r="D30">
        <v>23388.959999999999</v>
      </c>
    </row>
    <row r="31" spans="1:4" x14ac:dyDescent="0.25">
      <c r="A31">
        <v>45203</v>
      </c>
      <c r="B31" t="s">
        <v>30</v>
      </c>
      <c r="C31">
        <v>-238.04</v>
      </c>
      <c r="D31">
        <v>23150.92</v>
      </c>
    </row>
    <row r="32" spans="1:4" x14ac:dyDescent="0.25">
      <c r="A32">
        <v>45203</v>
      </c>
      <c r="B32" t="s">
        <v>31</v>
      </c>
      <c r="C32">
        <v>-9637.02</v>
      </c>
      <c r="D32">
        <v>13513.9</v>
      </c>
    </row>
    <row r="33" spans="1:4" x14ac:dyDescent="0.25">
      <c r="A33">
        <v>45203</v>
      </c>
      <c r="B33" t="s">
        <v>32</v>
      </c>
      <c r="C33">
        <v>-59</v>
      </c>
      <c r="D33">
        <v>13454.9</v>
      </c>
    </row>
    <row r="34" spans="1:4" x14ac:dyDescent="0.25">
      <c r="A34">
        <v>45203</v>
      </c>
      <c r="B34" t="s">
        <v>33</v>
      </c>
      <c r="C34">
        <v>-30</v>
      </c>
      <c r="D34">
        <v>13424.9</v>
      </c>
    </row>
    <row r="35" spans="1:4" x14ac:dyDescent="0.25">
      <c r="A35">
        <v>45204</v>
      </c>
      <c r="B35" t="s">
        <v>34</v>
      </c>
      <c r="C35">
        <v>-1488.54</v>
      </c>
      <c r="D35">
        <v>11936.36</v>
      </c>
    </row>
    <row r="36" spans="1:4" x14ac:dyDescent="0.25">
      <c r="A36">
        <v>45204</v>
      </c>
      <c r="B36" t="s">
        <v>35</v>
      </c>
      <c r="C36">
        <v>-105.77</v>
      </c>
      <c r="D36">
        <v>11830.59</v>
      </c>
    </row>
    <row r="37" spans="1:4" x14ac:dyDescent="0.25">
      <c r="A37">
        <v>45204</v>
      </c>
      <c r="B37" t="s">
        <v>36</v>
      </c>
      <c r="C37">
        <v>-705.34</v>
      </c>
      <c r="D37">
        <v>11125.25</v>
      </c>
    </row>
    <row r="38" spans="1:4" x14ac:dyDescent="0.25">
      <c r="A38">
        <v>45204</v>
      </c>
      <c r="B38" t="s">
        <v>37</v>
      </c>
      <c r="C38">
        <v>-446.52</v>
      </c>
      <c r="D38">
        <v>10678.73</v>
      </c>
    </row>
    <row r="39" spans="1:4" x14ac:dyDescent="0.25">
      <c r="A39">
        <v>45204</v>
      </c>
      <c r="B39" t="s">
        <v>38</v>
      </c>
      <c r="C39">
        <v>-7034.34</v>
      </c>
      <c r="D39">
        <v>3644.39</v>
      </c>
    </row>
    <row r="40" spans="1:4" x14ac:dyDescent="0.25">
      <c r="A40">
        <v>45204</v>
      </c>
      <c r="B40" t="s">
        <v>39</v>
      </c>
      <c r="C40">
        <v>-3046.53</v>
      </c>
      <c r="D40">
        <v>597.86</v>
      </c>
    </row>
    <row r="41" spans="1:4" x14ac:dyDescent="0.25">
      <c r="A41">
        <v>45205</v>
      </c>
      <c r="B41" t="s">
        <v>40</v>
      </c>
      <c r="C41">
        <v>5000</v>
      </c>
      <c r="D41">
        <v>5597.86</v>
      </c>
    </row>
    <row r="42" spans="1:4" x14ac:dyDescent="0.25">
      <c r="A42">
        <v>45205</v>
      </c>
      <c r="B42" t="s">
        <v>41</v>
      </c>
      <c r="C42">
        <v>-277.97000000000003</v>
      </c>
      <c r="D42">
        <v>5319.89</v>
      </c>
    </row>
    <row r="43" spans="1:4" x14ac:dyDescent="0.25">
      <c r="A43">
        <v>45205</v>
      </c>
      <c r="B43" t="s">
        <v>42</v>
      </c>
      <c r="C43">
        <v>-19.13</v>
      </c>
      <c r="D43">
        <v>5300.76</v>
      </c>
    </row>
    <row r="44" spans="1:4" x14ac:dyDescent="0.25">
      <c r="A44">
        <v>45205</v>
      </c>
      <c r="B44" t="s">
        <v>43</v>
      </c>
      <c r="C44">
        <v>-292.89999999999998</v>
      </c>
      <c r="D44">
        <v>5007.8599999999997</v>
      </c>
    </row>
    <row r="45" spans="1:4" x14ac:dyDescent="0.25">
      <c r="A45">
        <v>45205</v>
      </c>
      <c r="B45" t="s">
        <v>44</v>
      </c>
      <c r="C45">
        <v>-133.13</v>
      </c>
      <c r="D45">
        <v>4874.7299999999996</v>
      </c>
    </row>
    <row r="46" spans="1:4" x14ac:dyDescent="0.25">
      <c r="A46">
        <v>45209</v>
      </c>
      <c r="B46" t="s">
        <v>33</v>
      </c>
      <c r="C46">
        <v>-15</v>
      </c>
      <c r="D46">
        <v>4859.7299999999996</v>
      </c>
    </row>
    <row r="47" spans="1:4" x14ac:dyDescent="0.25">
      <c r="A47">
        <v>45210</v>
      </c>
      <c r="B47" t="s">
        <v>45</v>
      </c>
      <c r="C47">
        <v>-439.62</v>
      </c>
      <c r="D47">
        <v>4420.1099999999997</v>
      </c>
    </row>
    <row r="48" spans="1:4" x14ac:dyDescent="0.25">
      <c r="A48">
        <v>45210</v>
      </c>
      <c r="B48" t="s">
        <v>46</v>
      </c>
      <c r="C48">
        <v>-1259.3499999999999</v>
      </c>
      <c r="D48">
        <v>3160.76</v>
      </c>
    </row>
    <row r="49" spans="1:4" x14ac:dyDescent="0.25">
      <c r="A49">
        <v>45211</v>
      </c>
      <c r="B49" t="s">
        <v>22</v>
      </c>
      <c r="C49">
        <v>10375.49</v>
      </c>
      <c r="D49">
        <v>13536.25</v>
      </c>
    </row>
    <row r="50" spans="1:4" x14ac:dyDescent="0.25">
      <c r="A50">
        <v>45211</v>
      </c>
      <c r="B50" t="s">
        <v>22</v>
      </c>
      <c r="C50">
        <v>460</v>
      </c>
      <c r="D50">
        <v>13996.25</v>
      </c>
    </row>
    <row r="51" spans="1:4" x14ac:dyDescent="0.25">
      <c r="A51">
        <v>45212</v>
      </c>
      <c r="B51" t="s">
        <v>47</v>
      </c>
      <c r="C51">
        <v>-66.459999999999994</v>
      </c>
      <c r="D51">
        <v>13929.79</v>
      </c>
    </row>
    <row r="52" spans="1:4" x14ac:dyDescent="0.25">
      <c r="A52">
        <v>45215</v>
      </c>
      <c r="B52" t="s">
        <v>48</v>
      </c>
      <c r="C52">
        <v>-238.01</v>
      </c>
      <c r="D52">
        <v>13691.78</v>
      </c>
    </row>
    <row r="53" spans="1:4" x14ac:dyDescent="0.25">
      <c r="A53">
        <v>45215</v>
      </c>
      <c r="B53" t="s">
        <v>49</v>
      </c>
      <c r="C53">
        <v>-46.7</v>
      </c>
      <c r="D53">
        <v>13645.08</v>
      </c>
    </row>
    <row r="54" spans="1:4" x14ac:dyDescent="0.25">
      <c r="A54">
        <v>45217</v>
      </c>
      <c r="B54" t="s">
        <v>50</v>
      </c>
      <c r="C54">
        <v>-265.72000000000003</v>
      </c>
      <c r="D54">
        <v>13379.36</v>
      </c>
    </row>
    <row r="55" spans="1:4" x14ac:dyDescent="0.25">
      <c r="A55">
        <v>45217</v>
      </c>
      <c r="B55" t="s">
        <v>51</v>
      </c>
      <c r="C55">
        <v>-14.5</v>
      </c>
      <c r="D55">
        <v>13364.86</v>
      </c>
    </row>
    <row r="56" spans="1:4" x14ac:dyDescent="0.25">
      <c r="A56">
        <v>45218</v>
      </c>
      <c r="B56" t="s">
        <v>52</v>
      </c>
      <c r="C56">
        <v>-254.05</v>
      </c>
      <c r="D56">
        <v>13110.81</v>
      </c>
    </row>
    <row r="57" spans="1:4" x14ac:dyDescent="0.25">
      <c r="A57">
        <v>45219</v>
      </c>
      <c r="B57" t="s">
        <v>53</v>
      </c>
      <c r="C57">
        <v>-7557.43</v>
      </c>
      <c r="D57">
        <v>5553.38</v>
      </c>
    </row>
    <row r="58" spans="1:4" x14ac:dyDescent="0.25">
      <c r="A58">
        <v>45219</v>
      </c>
      <c r="B58" t="s">
        <v>54</v>
      </c>
      <c r="C58">
        <v>-2884.31</v>
      </c>
      <c r="D58">
        <v>2669.07</v>
      </c>
    </row>
    <row r="59" spans="1:4" x14ac:dyDescent="0.25">
      <c r="A59">
        <v>45224</v>
      </c>
      <c r="B59" t="s">
        <v>26</v>
      </c>
      <c r="C59">
        <v>35000</v>
      </c>
      <c r="D59">
        <v>37669.07</v>
      </c>
    </row>
    <row r="60" spans="1:4" x14ac:dyDescent="0.25">
      <c r="A60">
        <v>45224</v>
      </c>
      <c r="B60" t="s">
        <v>22</v>
      </c>
      <c r="C60">
        <v>5.5</v>
      </c>
      <c r="D60">
        <v>37674.57</v>
      </c>
    </row>
    <row r="61" spans="1:4" x14ac:dyDescent="0.25">
      <c r="A61">
        <v>45226</v>
      </c>
      <c r="B61" t="s">
        <v>55</v>
      </c>
      <c r="C61">
        <v>-112.96</v>
      </c>
      <c r="D61">
        <v>37561.61</v>
      </c>
    </row>
    <row r="62" spans="1:4" x14ac:dyDescent="0.25">
      <c r="A62">
        <v>45229</v>
      </c>
      <c r="B62" t="s">
        <v>18</v>
      </c>
      <c r="C62">
        <v>-50</v>
      </c>
      <c r="D62">
        <v>37511.61</v>
      </c>
    </row>
    <row r="63" spans="1:4" x14ac:dyDescent="0.25">
      <c r="A63">
        <v>45231</v>
      </c>
      <c r="B63" t="s">
        <v>56</v>
      </c>
      <c r="C63">
        <v>-4801</v>
      </c>
      <c r="D63">
        <v>32710.61</v>
      </c>
    </row>
    <row r="64" spans="1:4" x14ac:dyDescent="0.25">
      <c r="A64">
        <v>45231</v>
      </c>
      <c r="B64" t="s">
        <v>57</v>
      </c>
      <c r="C64">
        <v>-8087.07</v>
      </c>
      <c r="D64">
        <v>24623.54</v>
      </c>
    </row>
    <row r="65" spans="1:4" x14ac:dyDescent="0.25">
      <c r="A65">
        <v>45231</v>
      </c>
      <c r="B65" t="s">
        <v>58</v>
      </c>
      <c r="C65">
        <v>-59</v>
      </c>
      <c r="D65">
        <v>24564.54</v>
      </c>
    </row>
    <row r="66" spans="1:4" x14ac:dyDescent="0.25">
      <c r="A66">
        <v>45232</v>
      </c>
      <c r="B66" t="s">
        <v>59</v>
      </c>
      <c r="C66">
        <v>-19.13</v>
      </c>
      <c r="D66">
        <v>24545.41</v>
      </c>
    </row>
    <row r="67" spans="1:4" x14ac:dyDescent="0.25">
      <c r="A67">
        <v>45232</v>
      </c>
      <c r="B67" t="s">
        <v>60</v>
      </c>
      <c r="C67">
        <v>-8967.16</v>
      </c>
      <c r="D67">
        <v>15578.25</v>
      </c>
    </row>
    <row r="68" spans="1:4" x14ac:dyDescent="0.25">
      <c r="A68">
        <v>45232</v>
      </c>
      <c r="B68" t="s">
        <v>61</v>
      </c>
      <c r="C68">
        <v>-3051.21</v>
      </c>
      <c r="D68">
        <v>12527.04</v>
      </c>
    </row>
    <row r="69" spans="1:4" x14ac:dyDescent="0.25">
      <c r="A69">
        <v>45232</v>
      </c>
      <c r="B69" t="s">
        <v>62</v>
      </c>
      <c r="C69">
        <v>-34.799999999999997</v>
      </c>
      <c r="D69">
        <v>12492.24</v>
      </c>
    </row>
    <row r="70" spans="1:4" x14ac:dyDescent="0.25">
      <c r="A70">
        <v>45232</v>
      </c>
      <c r="B70" t="s">
        <v>63</v>
      </c>
      <c r="C70">
        <v>-1</v>
      </c>
      <c r="D70">
        <v>12491.24</v>
      </c>
    </row>
    <row r="71" spans="1:4" x14ac:dyDescent="0.25">
      <c r="A71">
        <v>45233</v>
      </c>
      <c r="B71" t="s">
        <v>64</v>
      </c>
      <c r="C71">
        <v>-42.49</v>
      </c>
      <c r="D71">
        <v>12448.75</v>
      </c>
    </row>
    <row r="72" spans="1:4" x14ac:dyDescent="0.25">
      <c r="A72">
        <v>45236</v>
      </c>
      <c r="B72" t="s">
        <v>64</v>
      </c>
      <c r="C72">
        <v>-372.19</v>
      </c>
      <c r="D72">
        <v>12076.56</v>
      </c>
    </row>
    <row r="73" spans="1:4" x14ac:dyDescent="0.25">
      <c r="A73">
        <v>45236</v>
      </c>
      <c r="B73" t="s">
        <v>65</v>
      </c>
      <c r="C73">
        <v>-247.76</v>
      </c>
      <c r="D73">
        <v>11828.8</v>
      </c>
    </row>
    <row r="74" spans="1:4" x14ac:dyDescent="0.25">
      <c r="A74">
        <v>45237</v>
      </c>
      <c r="B74" t="s">
        <v>18</v>
      </c>
      <c r="C74">
        <v>-50</v>
      </c>
      <c r="D74">
        <v>11778.8</v>
      </c>
    </row>
    <row r="75" spans="1:4" x14ac:dyDescent="0.25">
      <c r="A75">
        <v>45238</v>
      </c>
      <c r="B75" t="s">
        <v>22</v>
      </c>
      <c r="C75">
        <v>30000</v>
      </c>
      <c r="D75">
        <v>41778.800000000003</v>
      </c>
    </row>
    <row r="76" spans="1:4" x14ac:dyDescent="0.25">
      <c r="A76">
        <v>45238</v>
      </c>
      <c r="B76" t="s">
        <v>44</v>
      </c>
      <c r="C76">
        <v>-99.86</v>
      </c>
      <c r="D76">
        <v>41678.94</v>
      </c>
    </row>
    <row r="77" spans="1:4" x14ac:dyDescent="0.25">
      <c r="A77">
        <v>45239</v>
      </c>
      <c r="B77" t="s">
        <v>66</v>
      </c>
      <c r="C77">
        <v>-71.010000000000005</v>
      </c>
      <c r="D77">
        <v>41607.93</v>
      </c>
    </row>
    <row r="78" spans="1:4" x14ac:dyDescent="0.25">
      <c r="A78">
        <v>45240</v>
      </c>
      <c r="B78" t="s">
        <v>67</v>
      </c>
      <c r="C78">
        <v>-1615</v>
      </c>
      <c r="D78">
        <v>39992.93</v>
      </c>
    </row>
    <row r="79" spans="1:4" x14ac:dyDescent="0.25">
      <c r="A79">
        <v>45240</v>
      </c>
      <c r="B79" t="s">
        <v>68</v>
      </c>
      <c r="C79">
        <v>-398.9</v>
      </c>
      <c r="D79">
        <v>39594.03</v>
      </c>
    </row>
    <row r="80" spans="1:4" x14ac:dyDescent="0.25">
      <c r="A80">
        <v>45244</v>
      </c>
      <c r="B80" t="s">
        <v>18</v>
      </c>
      <c r="C80">
        <v>-50</v>
      </c>
      <c r="D80">
        <v>39544.03</v>
      </c>
    </row>
    <row r="81" spans="1:4" x14ac:dyDescent="0.25">
      <c r="A81">
        <v>45245</v>
      </c>
      <c r="B81" t="s">
        <v>69</v>
      </c>
      <c r="C81">
        <v>-1669.58</v>
      </c>
      <c r="D81">
        <v>37874.449999999997</v>
      </c>
    </row>
    <row r="82" spans="1:4" x14ac:dyDescent="0.25">
      <c r="A82">
        <v>45246</v>
      </c>
      <c r="B82" t="s">
        <v>70</v>
      </c>
      <c r="C82">
        <v>-9391.5400000000009</v>
      </c>
      <c r="D82">
        <v>28482.91</v>
      </c>
    </row>
    <row r="83" spans="1:4" x14ac:dyDescent="0.25">
      <c r="A83">
        <v>45246</v>
      </c>
      <c r="B83" t="s">
        <v>71</v>
      </c>
      <c r="C83">
        <v>-3063.53</v>
      </c>
      <c r="D83">
        <v>25419.38</v>
      </c>
    </row>
    <row r="84" spans="1:4" x14ac:dyDescent="0.25">
      <c r="A84">
        <v>45247</v>
      </c>
      <c r="B84" t="s">
        <v>72</v>
      </c>
      <c r="C84">
        <v>-264.56</v>
      </c>
      <c r="D84">
        <v>25154.82</v>
      </c>
    </row>
    <row r="85" spans="1:4" x14ac:dyDescent="0.25">
      <c r="A85">
        <v>45247</v>
      </c>
      <c r="B85" t="s">
        <v>73</v>
      </c>
      <c r="C85">
        <v>-512.54999999999995</v>
      </c>
      <c r="D85">
        <v>24642.27</v>
      </c>
    </row>
    <row r="86" spans="1:4" x14ac:dyDescent="0.25">
      <c r="A86">
        <v>45250</v>
      </c>
      <c r="B86" t="s">
        <v>74</v>
      </c>
      <c r="C86">
        <v>-67.55</v>
      </c>
      <c r="D86">
        <v>24574.720000000001</v>
      </c>
    </row>
    <row r="87" spans="1:4" x14ac:dyDescent="0.25">
      <c r="A87">
        <v>45250</v>
      </c>
      <c r="B87" t="s">
        <v>75</v>
      </c>
      <c r="C87">
        <v>-903.49</v>
      </c>
      <c r="D87">
        <v>23671.23</v>
      </c>
    </row>
    <row r="88" spans="1:4" x14ac:dyDescent="0.25">
      <c r="A88">
        <v>45250</v>
      </c>
      <c r="B88" t="s">
        <v>76</v>
      </c>
      <c r="C88">
        <v>-819.72</v>
      </c>
      <c r="D88">
        <v>22851.51</v>
      </c>
    </row>
    <row r="89" spans="1:4" x14ac:dyDescent="0.25">
      <c r="A89">
        <v>45250</v>
      </c>
      <c r="B89" t="s">
        <v>77</v>
      </c>
      <c r="C89">
        <v>-235.53</v>
      </c>
      <c r="D89">
        <v>22615.98</v>
      </c>
    </row>
    <row r="90" spans="1:4" x14ac:dyDescent="0.25">
      <c r="A90">
        <v>45252</v>
      </c>
      <c r="B90" t="s">
        <v>22</v>
      </c>
      <c r="C90">
        <v>13000</v>
      </c>
      <c r="D90">
        <v>35615.980000000003</v>
      </c>
    </row>
    <row r="91" spans="1:4" x14ac:dyDescent="0.25">
      <c r="A91">
        <v>45252</v>
      </c>
      <c r="B91" t="s">
        <v>78</v>
      </c>
      <c r="C91">
        <v>-140.38</v>
      </c>
      <c r="D91">
        <v>35475.599999999999</v>
      </c>
    </row>
    <row r="92" spans="1:4" x14ac:dyDescent="0.25">
      <c r="A92">
        <v>45258</v>
      </c>
      <c r="B92" t="s">
        <v>79</v>
      </c>
      <c r="C92">
        <v>-1969.72</v>
      </c>
      <c r="D92">
        <v>33505.879999999997</v>
      </c>
    </row>
    <row r="93" spans="1:4" x14ac:dyDescent="0.25">
      <c r="A93">
        <v>45258</v>
      </c>
      <c r="B93" t="s">
        <v>18</v>
      </c>
      <c r="C93">
        <v>-50</v>
      </c>
      <c r="D93">
        <v>33455.879999999997</v>
      </c>
    </row>
    <row r="94" spans="1:4" x14ac:dyDescent="0.25">
      <c r="A94">
        <v>45259</v>
      </c>
      <c r="B94" t="s">
        <v>80</v>
      </c>
      <c r="C94">
        <v>-1</v>
      </c>
      <c r="D94">
        <v>33454.879999999997</v>
      </c>
    </row>
    <row r="95" spans="1:4" x14ac:dyDescent="0.25">
      <c r="A95">
        <v>45260</v>
      </c>
      <c r="B95" t="s">
        <v>81</v>
      </c>
      <c r="C95">
        <v>-85.75</v>
      </c>
      <c r="D95">
        <v>33369.129999999997</v>
      </c>
    </row>
    <row r="96" spans="1:4" x14ac:dyDescent="0.25">
      <c r="A96">
        <v>45260</v>
      </c>
      <c r="B96" t="s">
        <v>82</v>
      </c>
      <c r="C96">
        <v>-45</v>
      </c>
      <c r="D96">
        <v>33324.129999999997</v>
      </c>
    </row>
    <row r="97" spans="1:4" x14ac:dyDescent="0.25">
      <c r="A97">
        <v>45261</v>
      </c>
      <c r="B97" t="s">
        <v>22</v>
      </c>
      <c r="C97">
        <v>3935</v>
      </c>
      <c r="D97">
        <v>37259.129999999997</v>
      </c>
    </row>
    <row r="98" spans="1:4" x14ac:dyDescent="0.25">
      <c r="A98">
        <v>45261</v>
      </c>
      <c r="B98" t="s">
        <v>22</v>
      </c>
      <c r="C98">
        <v>200</v>
      </c>
      <c r="D98">
        <v>37459.129999999997</v>
      </c>
    </row>
    <row r="99" spans="1:4" x14ac:dyDescent="0.25">
      <c r="A99">
        <v>45261</v>
      </c>
      <c r="B99" t="s">
        <v>83</v>
      </c>
      <c r="C99">
        <v>-4801</v>
      </c>
      <c r="D99">
        <v>32658.13</v>
      </c>
    </row>
    <row r="100" spans="1:4" x14ac:dyDescent="0.25">
      <c r="A100">
        <v>45261</v>
      </c>
      <c r="B100" t="s">
        <v>84</v>
      </c>
      <c r="C100">
        <v>-9995.92</v>
      </c>
      <c r="D100">
        <v>22662.21</v>
      </c>
    </row>
    <row r="101" spans="1:4" x14ac:dyDescent="0.25">
      <c r="A101">
        <v>45261</v>
      </c>
      <c r="B101" t="s">
        <v>85</v>
      </c>
      <c r="C101">
        <v>-3183.48</v>
      </c>
      <c r="D101">
        <v>19478.73</v>
      </c>
    </row>
    <row r="102" spans="1:4" x14ac:dyDescent="0.25">
      <c r="A102">
        <v>45264</v>
      </c>
      <c r="B102" t="s">
        <v>86</v>
      </c>
      <c r="C102">
        <v>-19.13</v>
      </c>
      <c r="D102">
        <v>19459.599999999999</v>
      </c>
    </row>
    <row r="103" spans="1:4" x14ac:dyDescent="0.25">
      <c r="A103">
        <v>45264</v>
      </c>
      <c r="B103" t="s">
        <v>87</v>
      </c>
      <c r="C103">
        <v>-247.76</v>
      </c>
      <c r="D103">
        <v>19211.84</v>
      </c>
    </row>
    <row r="104" spans="1:4" x14ac:dyDescent="0.25">
      <c r="A104">
        <v>45264</v>
      </c>
      <c r="B104" t="s">
        <v>88</v>
      </c>
      <c r="C104">
        <v>-33.85</v>
      </c>
      <c r="D104">
        <v>19177.990000000002</v>
      </c>
    </row>
    <row r="105" spans="1:4" x14ac:dyDescent="0.25">
      <c r="A105">
        <v>45264</v>
      </c>
      <c r="B105" t="s">
        <v>89</v>
      </c>
      <c r="C105">
        <v>-1</v>
      </c>
      <c r="D105">
        <v>19176.990000000002</v>
      </c>
    </row>
    <row r="106" spans="1:4" x14ac:dyDescent="0.25">
      <c r="A106">
        <v>45266</v>
      </c>
      <c r="B106" t="s">
        <v>90</v>
      </c>
      <c r="C106">
        <v>-118.41</v>
      </c>
      <c r="D106">
        <v>19058.580000000002</v>
      </c>
    </row>
    <row r="107" spans="1:4" x14ac:dyDescent="0.25">
      <c r="A107">
        <v>45267</v>
      </c>
      <c r="B107" t="s">
        <v>91</v>
      </c>
      <c r="C107">
        <v>-265.29000000000002</v>
      </c>
      <c r="D107">
        <v>18793.29</v>
      </c>
    </row>
    <row r="108" spans="1:4" x14ac:dyDescent="0.25">
      <c r="A108">
        <v>45268</v>
      </c>
      <c r="B108" t="s">
        <v>92</v>
      </c>
      <c r="C108">
        <v>-52.99</v>
      </c>
      <c r="D108">
        <v>18740.3</v>
      </c>
    </row>
    <row r="109" spans="1:4" x14ac:dyDescent="0.25">
      <c r="A109">
        <v>45268</v>
      </c>
      <c r="B109" t="s">
        <v>93</v>
      </c>
      <c r="C109">
        <v>-39.76</v>
      </c>
      <c r="D109">
        <v>18700.54</v>
      </c>
    </row>
    <row r="110" spans="1:4" x14ac:dyDescent="0.25">
      <c r="A110">
        <v>45268</v>
      </c>
      <c r="B110" t="s">
        <v>44</v>
      </c>
      <c r="C110">
        <v>-99.86</v>
      </c>
      <c r="D110">
        <v>18600.68</v>
      </c>
    </row>
    <row r="111" spans="1:4" x14ac:dyDescent="0.25">
      <c r="A111">
        <v>45271</v>
      </c>
      <c r="B111" t="s">
        <v>94</v>
      </c>
      <c r="C111">
        <v>-219.81</v>
      </c>
      <c r="D111">
        <v>18380.87</v>
      </c>
    </row>
    <row r="112" spans="1:4" x14ac:dyDescent="0.25">
      <c r="A112">
        <v>45271</v>
      </c>
      <c r="B112" t="s">
        <v>95</v>
      </c>
      <c r="C112">
        <v>-19.64</v>
      </c>
      <c r="D112">
        <v>18361.23</v>
      </c>
    </row>
    <row r="113" spans="1:4" x14ac:dyDescent="0.25">
      <c r="A113">
        <v>45272</v>
      </c>
      <c r="B113" t="s">
        <v>22</v>
      </c>
      <c r="C113">
        <v>38000</v>
      </c>
      <c r="D113">
        <v>56361.23</v>
      </c>
    </row>
    <row r="114" spans="1:4" x14ac:dyDescent="0.25">
      <c r="A114">
        <v>45272</v>
      </c>
      <c r="B114" t="s">
        <v>96</v>
      </c>
      <c r="C114">
        <v>-294.48</v>
      </c>
      <c r="D114">
        <v>56066.75</v>
      </c>
    </row>
    <row r="115" spans="1:4" x14ac:dyDescent="0.25">
      <c r="A115">
        <v>45272</v>
      </c>
      <c r="B115" t="s">
        <v>18</v>
      </c>
      <c r="C115">
        <v>-50</v>
      </c>
      <c r="D115">
        <v>56016.75</v>
      </c>
    </row>
    <row r="116" spans="1:4" x14ac:dyDescent="0.25">
      <c r="A116">
        <v>45274</v>
      </c>
      <c r="B116" t="s">
        <v>97</v>
      </c>
      <c r="C116">
        <v>-867.5</v>
      </c>
      <c r="D116">
        <v>55149.25</v>
      </c>
    </row>
    <row r="117" spans="1:4" x14ac:dyDescent="0.25">
      <c r="A117">
        <v>45274</v>
      </c>
      <c r="B117" t="s">
        <v>98</v>
      </c>
      <c r="C117">
        <v>-993</v>
      </c>
      <c r="D117">
        <v>54156.25</v>
      </c>
    </row>
    <row r="118" spans="1:4" x14ac:dyDescent="0.25">
      <c r="A118">
        <v>45274</v>
      </c>
      <c r="B118" t="s">
        <v>99</v>
      </c>
      <c r="C118">
        <v>-7614.31</v>
      </c>
      <c r="D118">
        <v>46541.94</v>
      </c>
    </row>
    <row r="119" spans="1:4" x14ac:dyDescent="0.25">
      <c r="A119">
        <v>45274</v>
      </c>
      <c r="B119" t="s">
        <v>100</v>
      </c>
      <c r="C119">
        <v>-2228.0700000000002</v>
      </c>
      <c r="D119">
        <v>44313.87</v>
      </c>
    </row>
    <row r="120" spans="1:4" x14ac:dyDescent="0.25">
      <c r="A120">
        <v>45275</v>
      </c>
      <c r="B120" t="s">
        <v>101</v>
      </c>
      <c r="C120">
        <v>-914</v>
      </c>
      <c r="D120">
        <v>43399.87</v>
      </c>
    </row>
    <row r="121" spans="1:4" x14ac:dyDescent="0.25">
      <c r="A121">
        <v>45278</v>
      </c>
      <c r="B121" t="s">
        <v>102</v>
      </c>
      <c r="C121">
        <v>-275.86</v>
      </c>
      <c r="D121">
        <v>43124.01</v>
      </c>
    </row>
    <row r="122" spans="1:4" x14ac:dyDescent="0.25">
      <c r="A122">
        <v>45279</v>
      </c>
      <c r="B122" t="s">
        <v>103</v>
      </c>
      <c r="C122">
        <v>-246.19</v>
      </c>
      <c r="D122">
        <v>42877.82</v>
      </c>
    </row>
    <row r="123" spans="1:4" x14ac:dyDescent="0.25">
      <c r="A123">
        <v>45279</v>
      </c>
      <c r="B123" t="s">
        <v>104</v>
      </c>
      <c r="C123">
        <v>-407.39</v>
      </c>
      <c r="D123">
        <v>42470.43</v>
      </c>
    </row>
    <row r="124" spans="1:4" x14ac:dyDescent="0.25">
      <c r="A124">
        <v>45279</v>
      </c>
      <c r="B124" t="s">
        <v>104</v>
      </c>
      <c r="C124">
        <v>-723.48</v>
      </c>
      <c r="D124">
        <v>41746.949999999997</v>
      </c>
    </row>
    <row r="125" spans="1:4" x14ac:dyDescent="0.25">
      <c r="A125">
        <v>45279</v>
      </c>
      <c r="B125" t="s">
        <v>104</v>
      </c>
      <c r="C125">
        <v>-649.99</v>
      </c>
      <c r="D125">
        <v>41096.959999999999</v>
      </c>
    </row>
    <row r="126" spans="1:4" x14ac:dyDescent="0.25">
      <c r="A126">
        <v>45279</v>
      </c>
      <c r="B126" t="s">
        <v>105</v>
      </c>
      <c r="C126">
        <v>-309.92</v>
      </c>
      <c r="D126">
        <v>40787.040000000001</v>
      </c>
    </row>
    <row r="127" spans="1:4" x14ac:dyDescent="0.25">
      <c r="A127">
        <v>45280</v>
      </c>
      <c r="B127" t="s">
        <v>106</v>
      </c>
      <c r="C127">
        <v>-59.88</v>
      </c>
      <c r="D127">
        <v>40727.160000000003</v>
      </c>
    </row>
    <row r="128" spans="1:4" x14ac:dyDescent="0.25">
      <c r="A128">
        <v>45280</v>
      </c>
      <c r="B128" t="s">
        <v>107</v>
      </c>
      <c r="C128">
        <v>-70.319999999999993</v>
      </c>
      <c r="D128">
        <v>40656.839999999997</v>
      </c>
    </row>
    <row r="129" spans="1:4" x14ac:dyDescent="0.25">
      <c r="A129">
        <v>45280</v>
      </c>
      <c r="B129" t="s">
        <v>108</v>
      </c>
      <c r="C129">
        <v>-716.51</v>
      </c>
      <c r="D129">
        <v>39940.33</v>
      </c>
    </row>
    <row r="130" spans="1:4" x14ac:dyDescent="0.25">
      <c r="A130">
        <v>45280</v>
      </c>
      <c r="B130" t="s">
        <v>109</v>
      </c>
      <c r="C130">
        <v>-382.87</v>
      </c>
      <c r="D130">
        <v>39557.46</v>
      </c>
    </row>
    <row r="131" spans="1:4" x14ac:dyDescent="0.25">
      <c r="A131">
        <v>45282</v>
      </c>
      <c r="B131" t="s">
        <v>22</v>
      </c>
      <c r="C131">
        <v>23000</v>
      </c>
      <c r="D131">
        <v>62557.46</v>
      </c>
    </row>
    <row r="132" spans="1:4" x14ac:dyDescent="0.25">
      <c r="A132">
        <v>45286</v>
      </c>
      <c r="B132" t="s">
        <v>110</v>
      </c>
      <c r="C132">
        <v>-50</v>
      </c>
      <c r="D132">
        <v>62507.46</v>
      </c>
    </row>
    <row r="133" spans="1:4" x14ac:dyDescent="0.25">
      <c r="A133">
        <v>45288</v>
      </c>
      <c r="B133" t="s">
        <v>111</v>
      </c>
      <c r="C133">
        <v>-182.65</v>
      </c>
      <c r="D133">
        <v>62324.81</v>
      </c>
    </row>
    <row r="134" spans="1:4" x14ac:dyDescent="0.25">
      <c r="A134">
        <v>45288</v>
      </c>
      <c r="B134" t="s">
        <v>112</v>
      </c>
      <c r="C134">
        <v>-15000</v>
      </c>
      <c r="D134">
        <v>47324.81</v>
      </c>
    </row>
    <row r="135" spans="1:4" x14ac:dyDescent="0.25">
      <c r="A135">
        <v>45288</v>
      </c>
      <c r="B135" t="s">
        <v>113</v>
      </c>
      <c r="C135">
        <v>-9859.36</v>
      </c>
      <c r="D135">
        <v>37465.449999999997</v>
      </c>
    </row>
    <row r="136" spans="1:4" x14ac:dyDescent="0.25">
      <c r="A136">
        <v>45288</v>
      </c>
      <c r="B136" t="s">
        <v>114</v>
      </c>
      <c r="C136">
        <v>-3173.8</v>
      </c>
      <c r="D136">
        <v>34291.65</v>
      </c>
    </row>
    <row r="137" spans="1:4" x14ac:dyDescent="0.25">
      <c r="A137">
        <v>45288</v>
      </c>
      <c r="B137" t="s">
        <v>115</v>
      </c>
      <c r="C137">
        <v>-603.75</v>
      </c>
      <c r="D137">
        <v>33687.9</v>
      </c>
    </row>
    <row r="138" spans="1:4" x14ac:dyDescent="0.25">
      <c r="A138">
        <v>45288</v>
      </c>
      <c r="B138" t="s">
        <v>33</v>
      </c>
      <c r="C138">
        <v>-30</v>
      </c>
      <c r="D138">
        <v>33657.9</v>
      </c>
    </row>
    <row r="139" spans="1:4" x14ac:dyDescent="0.25">
      <c r="A139">
        <v>45293</v>
      </c>
      <c r="B139" t="s">
        <v>116</v>
      </c>
      <c r="C139">
        <v>-35.67</v>
      </c>
      <c r="D139">
        <v>33622.230000000003</v>
      </c>
    </row>
    <row r="140" spans="1:4" x14ac:dyDescent="0.25">
      <c r="A140">
        <v>45293</v>
      </c>
      <c r="B140" t="s">
        <v>117</v>
      </c>
      <c r="C140">
        <v>-114.17</v>
      </c>
      <c r="D140">
        <v>33508.06</v>
      </c>
    </row>
    <row r="141" spans="1:4" x14ac:dyDescent="0.25">
      <c r="A141">
        <v>45293</v>
      </c>
      <c r="B141" t="s">
        <v>118</v>
      </c>
      <c r="C141">
        <v>-19.13</v>
      </c>
      <c r="D141">
        <v>33488.93</v>
      </c>
    </row>
    <row r="142" spans="1:4" x14ac:dyDescent="0.25">
      <c r="A142">
        <v>45293</v>
      </c>
      <c r="B142" t="s">
        <v>119</v>
      </c>
      <c r="C142">
        <v>-4801</v>
      </c>
      <c r="D142">
        <v>28687.93</v>
      </c>
    </row>
    <row r="143" spans="1:4" x14ac:dyDescent="0.25">
      <c r="A143">
        <v>45293</v>
      </c>
      <c r="B143" t="s">
        <v>120</v>
      </c>
      <c r="C143">
        <v>-34.6</v>
      </c>
      <c r="D143">
        <v>28653.33</v>
      </c>
    </row>
    <row r="144" spans="1:4" x14ac:dyDescent="0.25">
      <c r="A144">
        <v>45294</v>
      </c>
      <c r="B144" t="s">
        <v>121</v>
      </c>
      <c r="C144">
        <v>-303.83</v>
      </c>
      <c r="D144">
        <v>28349.5</v>
      </c>
    </row>
    <row r="145" spans="1:4" x14ac:dyDescent="0.25">
      <c r="A145">
        <v>45294</v>
      </c>
      <c r="B145" t="s">
        <v>122</v>
      </c>
      <c r="C145">
        <v>-1</v>
      </c>
      <c r="D145">
        <v>28348.5</v>
      </c>
    </row>
    <row r="146" spans="1:4" x14ac:dyDescent="0.25">
      <c r="A146">
        <v>45295</v>
      </c>
      <c r="B146" t="s">
        <v>123</v>
      </c>
      <c r="C146">
        <v>-248.54</v>
      </c>
      <c r="D146">
        <v>28099.96</v>
      </c>
    </row>
    <row r="147" spans="1:4" x14ac:dyDescent="0.25">
      <c r="A147">
        <v>45295</v>
      </c>
      <c r="B147" t="s">
        <v>124</v>
      </c>
      <c r="C147">
        <v>-1050.6099999999999</v>
      </c>
      <c r="D147">
        <v>27049.35</v>
      </c>
    </row>
    <row r="148" spans="1:4" x14ac:dyDescent="0.25">
      <c r="A148">
        <v>45295</v>
      </c>
      <c r="B148" t="s">
        <v>125</v>
      </c>
      <c r="C148">
        <v>-2993.94</v>
      </c>
      <c r="D148">
        <v>24055.41</v>
      </c>
    </row>
    <row r="149" spans="1:4" x14ac:dyDescent="0.25">
      <c r="A149">
        <v>45296</v>
      </c>
      <c r="B149" t="s">
        <v>22</v>
      </c>
      <c r="C149">
        <v>27000</v>
      </c>
      <c r="D149">
        <v>51055.41</v>
      </c>
    </row>
    <row r="150" spans="1:4" x14ac:dyDescent="0.25">
      <c r="A150">
        <v>45296</v>
      </c>
      <c r="B150" t="s">
        <v>126</v>
      </c>
      <c r="C150">
        <v>-118.41</v>
      </c>
      <c r="D150">
        <v>50937</v>
      </c>
    </row>
    <row r="151" spans="1:4" x14ac:dyDescent="0.25">
      <c r="A151">
        <v>45296</v>
      </c>
      <c r="B151" t="s">
        <v>127</v>
      </c>
      <c r="C151">
        <v>-34</v>
      </c>
      <c r="D151">
        <v>50903</v>
      </c>
    </row>
    <row r="152" spans="1:4" x14ac:dyDescent="0.25">
      <c r="A152">
        <v>45299</v>
      </c>
      <c r="B152" t="s">
        <v>128</v>
      </c>
      <c r="C152">
        <v>-354</v>
      </c>
      <c r="D152">
        <v>50549</v>
      </c>
    </row>
    <row r="153" spans="1:4" x14ac:dyDescent="0.25">
      <c r="A153">
        <v>45299</v>
      </c>
      <c r="B153" t="s">
        <v>128</v>
      </c>
      <c r="C153">
        <v>-21.72</v>
      </c>
      <c r="D153">
        <v>50527.28</v>
      </c>
    </row>
    <row r="154" spans="1:4" x14ac:dyDescent="0.25">
      <c r="A154">
        <v>45299</v>
      </c>
      <c r="B154" t="s">
        <v>129</v>
      </c>
      <c r="C154">
        <v>-55.86</v>
      </c>
      <c r="D154">
        <v>50471.42</v>
      </c>
    </row>
    <row r="155" spans="1:4" x14ac:dyDescent="0.25">
      <c r="A155">
        <v>45300</v>
      </c>
      <c r="B155" t="s">
        <v>130</v>
      </c>
      <c r="C155">
        <v>-2255</v>
      </c>
      <c r="D155">
        <v>48216.42</v>
      </c>
    </row>
    <row r="156" spans="1:4" x14ac:dyDescent="0.25">
      <c r="A156">
        <v>45300</v>
      </c>
      <c r="B156" t="s">
        <v>131</v>
      </c>
      <c r="C156">
        <v>-1076.05</v>
      </c>
      <c r="D156">
        <v>47140.37</v>
      </c>
    </row>
    <row r="157" spans="1:4" x14ac:dyDescent="0.25">
      <c r="A157">
        <v>45300</v>
      </c>
      <c r="B157" t="s">
        <v>110</v>
      </c>
      <c r="C157">
        <v>-50</v>
      </c>
      <c r="D157">
        <v>47090.37</v>
      </c>
    </row>
    <row r="158" spans="1:4" x14ac:dyDescent="0.25">
      <c r="A158">
        <v>45301</v>
      </c>
      <c r="B158" t="s">
        <v>132</v>
      </c>
      <c r="C158">
        <v>-15000</v>
      </c>
      <c r="D158">
        <v>32090.37</v>
      </c>
    </row>
    <row r="159" spans="1:4" x14ac:dyDescent="0.25">
      <c r="A159">
        <v>45301</v>
      </c>
      <c r="B159" t="s">
        <v>44</v>
      </c>
      <c r="C159">
        <v>-126.43</v>
      </c>
      <c r="D159">
        <v>31963.94</v>
      </c>
    </row>
    <row r="160" spans="1:4" x14ac:dyDescent="0.25">
      <c r="A160">
        <v>45301</v>
      </c>
      <c r="B160" t="s">
        <v>33</v>
      </c>
      <c r="C160">
        <v>-30</v>
      </c>
      <c r="D160">
        <v>31933.94</v>
      </c>
    </row>
    <row r="161" spans="1:4" x14ac:dyDescent="0.25">
      <c r="A161">
        <v>45302</v>
      </c>
      <c r="B161" t="s">
        <v>133</v>
      </c>
      <c r="C161">
        <v>14000</v>
      </c>
      <c r="D161">
        <v>45933.94</v>
      </c>
    </row>
    <row r="162" spans="1:4" x14ac:dyDescent="0.25">
      <c r="A162">
        <v>45302</v>
      </c>
      <c r="B162" t="s">
        <v>134</v>
      </c>
      <c r="C162">
        <v>-515.63</v>
      </c>
      <c r="D162">
        <v>45418.31</v>
      </c>
    </row>
    <row r="163" spans="1:4" x14ac:dyDescent="0.25">
      <c r="A163">
        <v>45302</v>
      </c>
      <c r="B163" t="s">
        <v>135</v>
      </c>
      <c r="C163">
        <v>-8099.74</v>
      </c>
      <c r="D163">
        <v>37318.57</v>
      </c>
    </row>
    <row r="164" spans="1:4" x14ac:dyDescent="0.25">
      <c r="A164">
        <v>45302</v>
      </c>
      <c r="B164" t="s">
        <v>136</v>
      </c>
      <c r="C164">
        <v>-342.5</v>
      </c>
      <c r="D164">
        <v>36976.07</v>
      </c>
    </row>
    <row r="165" spans="1:4" x14ac:dyDescent="0.25">
      <c r="A165">
        <v>45302</v>
      </c>
      <c r="B165" t="s">
        <v>137</v>
      </c>
      <c r="C165">
        <v>-2968.53</v>
      </c>
      <c r="D165">
        <v>34007.54</v>
      </c>
    </row>
    <row r="166" spans="1:4" x14ac:dyDescent="0.25">
      <c r="A166">
        <v>45303</v>
      </c>
      <c r="B166" t="s">
        <v>138</v>
      </c>
      <c r="C166">
        <v>-300</v>
      </c>
      <c r="D166">
        <v>33707.54</v>
      </c>
    </row>
    <row r="167" spans="1:4" x14ac:dyDescent="0.25">
      <c r="A167">
        <v>45303</v>
      </c>
      <c r="B167" t="s">
        <v>139</v>
      </c>
      <c r="C167">
        <v>-9448.3700000000008</v>
      </c>
      <c r="D167">
        <v>24259.17</v>
      </c>
    </row>
    <row r="168" spans="1:4" x14ac:dyDescent="0.25">
      <c r="A168">
        <v>45303</v>
      </c>
      <c r="B168" t="s">
        <v>140</v>
      </c>
      <c r="C168">
        <v>-3368</v>
      </c>
      <c r="D168">
        <v>20891.169999999998</v>
      </c>
    </row>
    <row r="169" spans="1:4" x14ac:dyDescent="0.25">
      <c r="A169">
        <v>45307</v>
      </c>
      <c r="B169" t="s">
        <v>141</v>
      </c>
      <c r="C169">
        <v>-480.3</v>
      </c>
      <c r="D169">
        <v>20410.87</v>
      </c>
    </row>
    <row r="170" spans="1:4" x14ac:dyDescent="0.25">
      <c r="A170">
        <v>45307</v>
      </c>
      <c r="B170" t="s">
        <v>142</v>
      </c>
      <c r="C170">
        <v>-29.99</v>
      </c>
      <c r="D170">
        <v>20380.88</v>
      </c>
    </row>
    <row r="171" spans="1:4" x14ac:dyDescent="0.25">
      <c r="A171">
        <v>45307</v>
      </c>
      <c r="B171" t="s">
        <v>143</v>
      </c>
      <c r="C171">
        <v>-70.319999999999993</v>
      </c>
      <c r="D171">
        <v>20310.560000000001</v>
      </c>
    </row>
    <row r="172" spans="1:4" x14ac:dyDescent="0.25">
      <c r="A172">
        <v>45307</v>
      </c>
      <c r="B172" t="s">
        <v>144</v>
      </c>
      <c r="C172">
        <v>-12.55</v>
      </c>
      <c r="D172">
        <v>20298.009999999998</v>
      </c>
    </row>
    <row r="173" spans="1:4" x14ac:dyDescent="0.25">
      <c r="A173">
        <v>45307</v>
      </c>
      <c r="B173" t="s">
        <v>145</v>
      </c>
      <c r="C173">
        <v>-304.45999999999998</v>
      </c>
      <c r="D173">
        <v>19993.55</v>
      </c>
    </row>
    <row r="174" spans="1:4" x14ac:dyDescent="0.25">
      <c r="A174">
        <v>45308</v>
      </c>
      <c r="B174" t="s">
        <v>146</v>
      </c>
      <c r="C174">
        <v>-488.71</v>
      </c>
      <c r="D174">
        <v>19504.84</v>
      </c>
    </row>
    <row r="175" spans="1:4" x14ac:dyDescent="0.25">
      <c r="A175">
        <v>45308</v>
      </c>
      <c r="B175" t="s">
        <v>147</v>
      </c>
      <c r="C175">
        <v>-135</v>
      </c>
      <c r="D175">
        <v>19369.84</v>
      </c>
    </row>
    <row r="176" spans="1:4" x14ac:dyDescent="0.25">
      <c r="A176">
        <v>45309</v>
      </c>
      <c r="B176" t="s">
        <v>148</v>
      </c>
      <c r="C176">
        <v>-985.16</v>
      </c>
      <c r="D176">
        <v>18384.68</v>
      </c>
    </row>
    <row r="177" spans="1:4" x14ac:dyDescent="0.25">
      <c r="A177">
        <v>45310</v>
      </c>
      <c r="B177" t="s">
        <v>149</v>
      </c>
      <c r="C177">
        <v>-249.37</v>
      </c>
      <c r="D177">
        <v>18135.310000000001</v>
      </c>
    </row>
    <row r="178" spans="1:4" x14ac:dyDescent="0.25">
      <c r="A178">
        <v>45313</v>
      </c>
      <c r="B178" t="s">
        <v>150</v>
      </c>
      <c r="C178">
        <v>-132.44</v>
      </c>
      <c r="D178">
        <v>18002.87</v>
      </c>
    </row>
    <row r="179" spans="1:4" x14ac:dyDescent="0.25">
      <c r="A179">
        <v>45313</v>
      </c>
      <c r="B179" t="s">
        <v>127</v>
      </c>
      <c r="C179">
        <v>-24</v>
      </c>
      <c r="D179">
        <v>17978.87</v>
      </c>
    </row>
    <row r="180" spans="1:4" x14ac:dyDescent="0.25">
      <c r="A180">
        <v>45314</v>
      </c>
      <c r="B180" t="s">
        <v>151</v>
      </c>
      <c r="C180">
        <v>25000</v>
      </c>
      <c r="D180">
        <v>42978.87</v>
      </c>
    </row>
    <row r="181" spans="1:4" x14ac:dyDescent="0.25">
      <c r="A181">
        <v>45314</v>
      </c>
      <c r="B181" t="s">
        <v>110</v>
      </c>
      <c r="C181">
        <v>-50</v>
      </c>
      <c r="D181">
        <v>42928.87</v>
      </c>
    </row>
    <row r="182" spans="1:4" x14ac:dyDescent="0.25">
      <c r="A182">
        <v>45315</v>
      </c>
      <c r="B182" t="s">
        <v>152</v>
      </c>
      <c r="C182">
        <v>-24.43</v>
      </c>
      <c r="D182">
        <v>42904.44</v>
      </c>
    </row>
    <row r="183" spans="1:4" x14ac:dyDescent="0.25">
      <c r="A183">
        <v>45315</v>
      </c>
      <c r="B183" t="s">
        <v>153</v>
      </c>
      <c r="C183">
        <v>-865.87</v>
      </c>
      <c r="D183">
        <v>42038.57</v>
      </c>
    </row>
    <row r="184" spans="1:4" x14ac:dyDescent="0.25">
      <c r="A184">
        <v>45315</v>
      </c>
      <c r="B184" t="s">
        <v>154</v>
      </c>
      <c r="C184">
        <v>-724.56</v>
      </c>
      <c r="D184">
        <v>41314.01</v>
      </c>
    </row>
    <row r="185" spans="1:4" x14ac:dyDescent="0.25">
      <c r="A185">
        <v>45316</v>
      </c>
      <c r="B185" t="s">
        <v>155</v>
      </c>
      <c r="C185">
        <v>-10202.219999999999</v>
      </c>
      <c r="D185">
        <v>31111.79</v>
      </c>
    </row>
    <row r="186" spans="1:4" x14ac:dyDescent="0.25">
      <c r="A186">
        <v>45316</v>
      </c>
      <c r="B186" t="s">
        <v>156</v>
      </c>
      <c r="C186">
        <v>-3699.89</v>
      </c>
      <c r="D186">
        <v>27411.9</v>
      </c>
    </row>
    <row r="187" spans="1:4" x14ac:dyDescent="0.25">
      <c r="A187">
        <v>45317</v>
      </c>
      <c r="B187" t="s">
        <v>157</v>
      </c>
      <c r="C187">
        <v>-246.17</v>
      </c>
      <c r="D187">
        <v>27165.73</v>
      </c>
    </row>
    <row r="188" spans="1:4" x14ac:dyDescent="0.25">
      <c r="A188">
        <v>45317</v>
      </c>
      <c r="B188" t="s">
        <v>158</v>
      </c>
      <c r="C188">
        <v>-5.79</v>
      </c>
      <c r="D188">
        <v>27159.94</v>
      </c>
    </row>
    <row r="189" spans="1:4" x14ac:dyDescent="0.25">
      <c r="A189">
        <v>45320</v>
      </c>
      <c r="B189" t="s">
        <v>159</v>
      </c>
      <c r="C189">
        <v>-567.53</v>
      </c>
      <c r="D189">
        <v>26592.41</v>
      </c>
    </row>
    <row r="190" spans="1:4" x14ac:dyDescent="0.25">
      <c r="A190">
        <v>45320</v>
      </c>
      <c r="B190" t="s">
        <v>160</v>
      </c>
      <c r="C190">
        <v>-14.99</v>
      </c>
      <c r="D190">
        <v>26577.42</v>
      </c>
    </row>
    <row r="191" spans="1:4" x14ac:dyDescent="0.25">
      <c r="A191">
        <v>45320</v>
      </c>
      <c r="B191" t="s">
        <v>161</v>
      </c>
      <c r="C191">
        <v>-93.46</v>
      </c>
      <c r="D191">
        <v>26483.96</v>
      </c>
    </row>
    <row r="192" spans="1:4" x14ac:dyDescent="0.25">
      <c r="A192">
        <v>45320</v>
      </c>
      <c r="B192" t="s">
        <v>162</v>
      </c>
      <c r="C192">
        <v>-10</v>
      </c>
      <c r="D192">
        <v>26473.96</v>
      </c>
    </row>
    <row r="193" spans="1:4" x14ac:dyDescent="0.25">
      <c r="A193">
        <v>45321</v>
      </c>
      <c r="B193" t="s">
        <v>163</v>
      </c>
      <c r="C193">
        <v>-169.58</v>
      </c>
      <c r="D193">
        <v>26304.38</v>
      </c>
    </row>
    <row r="194" spans="1:4" x14ac:dyDescent="0.25">
      <c r="A194">
        <v>45321</v>
      </c>
      <c r="B194" t="s">
        <v>164</v>
      </c>
      <c r="C194">
        <v>-272.22000000000003</v>
      </c>
      <c r="D194">
        <v>26032.16</v>
      </c>
    </row>
    <row r="195" spans="1:4" x14ac:dyDescent="0.25">
      <c r="A195">
        <v>45321</v>
      </c>
      <c r="B195" t="s">
        <v>165</v>
      </c>
      <c r="C195">
        <v>-254.16</v>
      </c>
      <c r="D195">
        <v>25778</v>
      </c>
    </row>
    <row r="196" spans="1:4" x14ac:dyDescent="0.25">
      <c r="A196">
        <v>45322</v>
      </c>
      <c r="B196" t="s">
        <v>166</v>
      </c>
      <c r="C196">
        <v>-149.94999999999999</v>
      </c>
      <c r="D196">
        <v>25628.05</v>
      </c>
    </row>
    <row r="197" spans="1:4" x14ac:dyDescent="0.25">
      <c r="A197">
        <v>45323</v>
      </c>
      <c r="B197" t="s">
        <v>167</v>
      </c>
      <c r="C197">
        <v>-4801</v>
      </c>
      <c r="D197">
        <v>20827.05</v>
      </c>
    </row>
    <row r="198" spans="1:4" x14ac:dyDescent="0.25">
      <c r="A198">
        <v>45324</v>
      </c>
      <c r="B198" t="s">
        <v>22</v>
      </c>
      <c r="C198">
        <v>16000</v>
      </c>
      <c r="D198">
        <v>36827.050000000003</v>
      </c>
    </row>
    <row r="199" spans="1:4" x14ac:dyDescent="0.25">
      <c r="A199">
        <v>45324</v>
      </c>
      <c r="B199" t="s">
        <v>168</v>
      </c>
      <c r="C199">
        <v>-251.76</v>
      </c>
      <c r="D199">
        <v>36575.29</v>
      </c>
    </row>
    <row r="200" spans="1:4" x14ac:dyDescent="0.25">
      <c r="A200">
        <v>45324</v>
      </c>
      <c r="B200" t="s">
        <v>169</v>
      </c>
      <c r="C200">
        <v>-19.13</v>
      </c>
      <c r="D200">
        <v>36556.160000000003</v>
      </c>
    </row>
    <row r="201" spans="1:4" x14ac:dyDescent="0.25">
      <c r="A201">
        <v>45324</v>
      </c>
      <c r="B201" t="s">
        <v>170</v>
      </c>
      <c r="C201">
        <v>-15.56</v>
      </c>
      <c r="D201">
        <v>36540.6</v>
      </c>
    </row>
    <row r="202" spans="1:4" x14ac:dyDescent="0.25">
      <c r="A202">
        <v>45324</v>
      </c>
      <c r="B202" t="s">
        <v>171</v>
      </c>
      <c r="C202">
        <v>-35.700000000000003</v>
      </c>
      <c r="D202">
        <v>36504.9</v>
      </c>
    </row>
    <row r="203" spans="1:4" x14ac:dyDescent="0.25">
      <c r="A203">
        <v>45324</v>
      </c>
      <c r="B203" t="s">
        <v>172</v>
      </c>
      <c r="C203">
        <v>-1</v>
      </c>
      <c r="D203">
        <v>36503.9</v>
      </c>
    </row>
    <row r="204" spans="1:4" x14ac:dyDescent="0.25">
      <c r="A204">
        <v>45327</v>
      </c>
      <c r="B204" t="s">
        <v>173</v>
      </c>
      <c r="C204">
        <v>-1311.14</v>
      </c>
      <c r="D204">
        <v>35192.76</v>
      </c>
    </row>
    <row r="205" spans="1:4" x14ac:dyDescent="0.25">
      <c r="A205">
        <v>45327</v>
      </c>
      <c r="B205" t="s">
        <v>174</v>
      </c>
      <c r="C205">
        <v>-126.56</v>
      </c>
      <c r="D205">
        <v>35066.199999999997</v>
      </c>
    </row>
    <row r="206" spans="1:4" x14ac:dyDescent="0.25">
      <c r="A206">
        <v>45327</v>
      </c>
      <c r="B206" t="s">
        <v>175</v>
      </c>
      <c r="C206">
        <v>-248.54</v>
      </c>
      <c r="D206">
        <v>34817.660000000003</v>
      </c>
    </row>
    <row r="207" spans="1:4" x14ac:dyDescent="0.25">
      <c r="A207">
        <v>45327</v>
      </c>
      <c r="B207" t="s">
        <v>110</v>
      </c>
      <c r="C207">
        <v>-50</v>
      </c>
      <c r="D207">
        <v>34767.660000000003</v>
      </c>
    </row>
    <row r="208" spans="1:4" x14ac:dyDescent="0.25">
      <c r="A208">
        <v>45329</v>
      </c>
      <c r="B208" t="s">
        <v>44</v>
      </c>
      <c r="C208">
        <v>-126.43</v>
      </c>
      <c r="D208">
        <v>34641.230000000003</v>
      </c>
    </row>
    <row r="209" spans="1:4" x14ac:dyDescent="0.25">
      <c r="A209">
        <v>45330</v>
      </c>
      <c r="B209" t="s">
        <v>176</v>
      </c>
      <c r="C209">
        <v>-121.14</v>
      </c>
      <c r="D209">
        <v>34520.089999999997</v>
      </c>
    </row>
    <row r="210" spans="1:4" x14ac:dyDescent="0.25">
      <c r="A210">
        <v>45330</v>
      </c>
      <c r="B210" t="s">
        <v>177</v>
      </c>
      <c r="C210">
        <v>-32.06</v>
      </c>
      <c r="D210">
        <v>34488.03</v>
      </c>
    </row>
    <row r="211" spans="1:4" x14ac:dyDescent="0.25">
      <c r="A211">
        <v>45330</v>
      </c>
      <c r="B211" t="s">
        <v>178</v>
      </c>
      <c r="C211">
        <v>-55.86</v>
      </c>
      <c r="D211">
        <v>34432.17</v>
      </c>
    </row>
    <row r="212" spans="1:4" x14ac:dyDescent="0.25">
      <c r="A212">
        <v>45330</v>
      </c>
      <c r="B212" t="s">
        <v>179</v>
      </c>
      <c r="C212">
        <v>-10482.81</v>
      </c>
      <c r="D212">
        <v>23949.360000000001</v>
      </c>
    </row>
    <row r="213" spans="1:4" x14ac:dyDescent="0.25">
      <c r="A213">
        <v>45330</v>
      </c>
      <c r="B213" t="s">
        <v>180</v>
      </c>
      <c r="C213">
        <v>-3772.27</v>
      </c>
      <c r="D213">
        <v>20177.09</v>
      </c>
    </row>
    <row r="214" spans="1:4" x14ac:dyDescent="0.25">
      <c r="A214">
        <v>45334</v>
      </c>
      <c r="B214" t="s">
        <v>181</v>
      </c>
      <c r="C214">
        <v>-50</v>
      </c>
      <c r="D214">
        <v>20127.09</v>
      </c>
    </row>
    <row r="215" spans="1:4" x14ac:dyDescent="0.25">
      <c r="A215">
        <v>45335</v>
      </c>
      <c r="B215" t="s">
        <v>182</v>
      </c>
      <c r="C215">
        <v>-330.86</v>
      </c>
      <c r="D215">
        <v>19796.23</v>
      </c>
    </row>
    <row r="216" spans="1:4" x14ac:dyDescent="0.25">
      <c r="A216">
        <v>45335</v>
      </c>
      <c r="B216" t="s">
        <v>183</v>
      </c>
      <c r="C216">
        <v>-1677.56</v>
      </c>
      <c r="D216">
        <v>18118.669999999998</v>
      </c>
    </row>
    <row r="217" spans="1:4" x14ac:dyDescent="0.25">
      <c r="A217">
        <v>45335</v>
      </c>
      <c r="B217" t="s">
        <v>184</v>
      </c>
      <c r="C217">
        <v>-1120</v>
      </c>
      <c r="D217">
        <v>16998.669999999998</v>
      </c>
    </row>
    <row r="218" spans="1:4" x14ac:dyDescent="0.25">
      <c r="A218">
        <v>45336</v>
      </c>
      <c r="B218" t="s">
        <v>185</v>
      </c>
      <c r="C218">
        <v>-244.36</v>
      </c>
      <c r="D218">
        <v>16754.310000000001</v>
      </c>
    </row>
    <row r="219" spans="1:4" x14ac:dyDescent="0.25">
      <c r="A219">
        <v>45337</v>
      </c>
      <c r="B219" t="s">
        <v>186</v>
      </c>
      <c r="C219">
        <v>-200</v>
      </c>
      <c r="D219">
        <v>16554.310000000001</v>
      </c>
    </row>
    <row r="220" spans="1:4" x14ac:dyDescent="0.25">
      <c r="A220">
        <v>45337</v>
      </c>
      <c r="B220" t="s">
        <v>187</v>
      </c>
      <c r="C220">
        <v>-1022.45</v>
      </c>
      <c r="D220">
        <v>15531.86</v>
      </c>
    </row>
    <row r="221" spans="1:4" x14ac:dyDescent="0.25">
      <c r="A221">
        <v>45338</v>
      </c>
      <c r="B221" t="s">
        <v>188</v>
      </c>
      <c r="C221">
        <v>602.59</v>
      </c>
      <c r="D221">
        <v>16134.45</v>
      </c>
    </row>
    <row r="222" spans="1:4" x14ac:dyDescent="0.25">
      <c r="A222">
        <v>45342</v>
      </c>
      <c r="B222" t="s">
        <v>188</v>
      </c>
      <c r="C222">
        <v>288.89</v>
      </c>
      <c r="D222">
        <v>16423.34</v>
      </c>
    </row>
    <row r="223" spans="1:4" x14ac:dyDescent="0.25">
      <c r="A223">
        <v>45342</v>
      </c>
      <c r="B223" t="s">
        <v>189</v>
      </c>
      <c r="C223">
        <v>-180.36</v>
      </c>
      <c r="D223">
        <v>16242.98</v>
      </c>
    </row>
    <row r="224" spans="1:4" x14ac:dyDescent="0.25">
      <c r="A224">
        <v>45342</v>
      </c>
      <c r="B224" t="s">
        <v>190</v>
      </c>
      <c r="C224">
        <v>-249.37</v>
      </c>
      <c r="D224">
        <v>15993.61</v>
      </c>
    </row>
    <row r="225" spans="1:4" x14ac:dyDescent="0.25">
      <c r="A225">
        <v>45343</v>
      </c>
      <c r="B225" t="s">
        <v>191</v>
      </c>
      <c r="C225">
        <v>-350</v>
      </c>
      <c r="D225">
        <v>15643.61</v>
      </c>
    </row>
    <row r="226" spans="1:4" x14ac:dyDescent="0.25">
      <c r="A226">
        <v>45343</v>
      </c>
      <c r="B226" t="s">
        <v>110</v>
      </c>
      <c r="C226">
        <v>-50</v>
      </c>
      <c r="D226">
        <v>15593.61</v>
      </c>
    </row>
    <row r="227" spans="1:4" x14ac:dyDescent="0.25">
      <c r="A227">
        <v>45344</v>
      </c>
      <c r="B227" t="s">
        <v>22</v>
      </c>
      <c r="C227">
        <v>16255.86</v>
      </c>
      <c r="D227">
        <v>31849.47</v>
      </c>
    </row>
    <row r="228" spans="1:4" x14ac:dyDescent="0.25">
      <c r="A228">
        <v>45344</v>
      </c>
      <c r="B228" t="s">
        <v>192</v>
      </c>
      <c r="C228">
        <v>-10326.18</v>
      </c>
      <c r="D228">
        <v>21523.29</v>
      </c>
    </row>
    <row r="229" spans="1:4" x14ac:dyDescent="0.25">
      <c r="A229">
        <v>45344</v>
      </c>
      <c r="B229" t="s">
        <v>193</v>
      </c>
      <c r="C229">
        <v>-3636.51</v>
      </c>
      <c r="D229">
        <v>17886.78</v>
      </c>
    </row>
    <row r="230" spans="1:4" x14ac:dyDescent="0.25">
      <c r="A230">
        <v>45345</v>
      </c>
      <c r="B230" t="s">
        <v>194</v>
      </c>
      <c r="C230">
        <v>-11.68</v>
      </c>
      <c r="D230">
        <v>17875.099999999999</v>
      </c>
    </row>
    <row r="231" spans="1:4" x14ac:dyDescent="0.25">
      <c r="A231">
        <v>45345</v>
      </c>
      <c r="B231" t="s">
        <v>195</v>
      </c>
      <c r="C231">
        <v>-421.48</v>
      </c>
      <c r="D231">
        <v>17453.62</v>
      </c>
    </row>
    <row r="232" spans="1:4" x14ac:dyDescent="0.25">
      <c r="A232">
        <v>45348</v>
      </c>
      <c r="B232" t="s">
        <v>196</v>
      </c>
      <c r="C232">
        <v>8933</v>
      </c>
      <c r="D232">
        <v>26386.62</v>
      </c>
    </row>
    <row r="233" spans="1:4" x14ac:dyDescent="0.25">
      <c r="A233">
        <v>45349</v>
      </c>
      <c r="B233" t="s">
        <v>197</v>
      </c>
      <c r="C233">
        <v>-1384.18</v>
      </c>
      <c r="D233">
        <v>25002.44</v>
      </c>
    </row>
    <row r="234" spans="1:4" x14ac:dyDescent="0.25">
      <c r="A234">
        <v>45349</v>
      </c>
      <c r="B234" t="s">
        <v>197</v>
      </c>
      <c r="C234">
        <v>-756.25</v>
      </c>
      <c r="D234">
        <v>24246.19</v>
      </c>
    </row>
    <row r="235" spans="1:4" x14ac:dyDescent="0.25">
      <c r="A235">
        <v>45349</v>
      </c>
      <c r="B235" t="s">
        <v>197</v>
      </c>
      <c r="C235">
        <v>-80.040000000000006</v>
      </c>
      <c r="D235">
        <v>24166.15</v>
      </c>
    </row>
    <row r="236" spans="1:4" x14ac:dyDescent="0.25">
      <c r="A236">
        <v>45349</v>
      </c>
      <c r="B236" t="s">
        <v>198</v>
      </c>
      <c r="C236">
        <v>-14.99</v>
      </c>
      <c r="D236">
        <v>24151.16</v>
      </c>
    </row>
    <row r="237" spans="1:4" x14ac:dyDescent="0.25">
      <c r="A237">
        <v>45349</v>
      </c>
      <c r="B237" t="s">
        <v>199</v>
      </c>
      <c r="C237">
        <v>-1388.76</v>
      </c>
      <c r="D237">
        <v>22762.400000000001</v>
      </c>
    </row>
    <row r="238" spans="1:4" x14ac:dyDescent="0.25">
      <c r="A238">
        <v>45349</v>
      </c>
      <c r="B238" t="s">
        <v>200</v>
      </c>
      <c r="C238">
        <v>-33</v>
      </c>
      <c r="D238">
        <v>22729.4</v>
      </c>
    </row>
    <row r="239" spans="1:4" x14ac:dyDescent="0.25">
      <c r="A239">
        <v>45350</v>
      </c>
      <c r="B239" t="s">
        <v>22</v>
      </c>
      <c r="C239">
        <v>7093</v>
      </c>
      <c r="D239">
        <v>29822.400000000001</v>
      </c>
    </row>
    <row r="240" spans="1:4" x14ac:dyDescent="0.25">
      <c r="A240">
        <v>45350</v>
      </c>
      <c r="B240" t="s">
        <v>201</v>
      </c>
      <c r="C240">
        <v>-500</v>
      </c>
      <c r="D240">
        <v>29322.400000000001</v>
      </c>
    </row>
    <row r="241" spans="1:4" x14ac:dyDescent="0.25">
      <c r="A241">
        <v>45351</v>
      </c>
      <c r="B241" t="s">
        <v>202</v>
      </c>
      <c r="C241">
        <v>-222.36</v>
      </c>
      <c r="D241">
        <v>29100.04</v>
      </c>
    </row>
    <row r="242" spans="1:4" x14ac:dyDescent="0.25">
      <c r="A242">
        <v>45352</v>
      </c>
      <c r="B242" t="s">
        <v>203</v>
      </c>
      <c r="C242">
        <v>-4801</v>
      </c>
      <c r="D242">
        <v>24299.040000000001</v>
      </c>
    </row>
    <row r="243" spans="1:4" x14ac:dyDescent="0.25">
      <c r="A243">
        <v>45355</v>
      </c>
      <c r="B243" t="s">
        <v>204</v>
      </c>
      <c r="C243">
        <v>4510</v>
      </c>
      <c r="D243">
        <v>28809.040000000001</v>
      </c>
    </row>
    <row r="244" spans="1:4" x14ac:dyDescent="0.25">
      <c r="A244">
        <v>45355</v>
      </c>
      <c r="B244" t="s">
        <v>205</v>
      </c>
      <c r="C244">
        <v>-251.75</v>
      </c>
      <c r="D244">
        <v>28557.29</v>
      </c>
    </row>
    <row r="245" spans="1:4" x14ac:dyDescent="0.25">
      <c r="A245">
        <v>45355</v>
      </c>
      <c r="B245" t="s">
        <v>206</v>
      </c>
      <c r="C245">
        <v>-181.24</v>
      </c>
      <c r="D245">
        <v>28376.05</v>
      </c>
    </row>
    <row r="246" spans="1:4" x14ac:dyDescent="0.25">
      <c r="A246">
        <v>45355</v>
      </c>
      <c r="B246" t="s">
        <v>207</v>
      </c>
      <c r="C246">
        <v>-19.13</v>
      </c>
      <c r="D246">
        <v>28356.92</v>
      </c>
    </row>
    <row r="247" spans="1:4" x14ac:dyDescent="0.25">
      <c r="A247">
        <v>45355</v>
      </c>
      <c r="B247" t="s">
        <v>208</v>
      </c>
      <c r="C247">
        <v>-200.06</v>
      </c>
      <c r="D247">
        <v>28156.86</v>
      </c>
    </row>
    <row r="248" spans="1:4" x14ac:dyDescent="0.25">
      <c r="A248">
        <v>45355</v>
      </c>
      <c r="B248" t="s">
        <v>209</v>
      </c>
      <c r="C248">
        <v>-248.54</v>
      </c>
      <c r="D248">
        <v>27908.32</v>
      </c>
    </row>
    <row r="249" spans="1:4" x14ac:dyDescent="0.25">
      <c r="A249">
        <v>45355</v>
      </c>
      <c r="B249" t="s">
        <v>210</v>
      </c>
      <c r="C249">
        <v>-35.6</v>
      </c>
      <c r="D249">
        <v>27872.720000000001</v>
      </c>
    </row>
    <row r="250" spans="1:4" x14ac:dyDescent="0.25">
      <c r="A250">
        <v>45355</v>
      </c>
      <c r="B250" t="s">
        <v>211</v>
      </c>
      <c r="C250">
        <v>-1</v>
      </c>
      <c r="D250">
        <v>27871.72</v>
      </c>
    </row>
    <row r="251" spans="1:4" x14ac:dyDescent="0.25">
      <c r="A251">
        <v>45356</v>
      </c>
      <c r="B251" t="s">
        <v>22</v>
      </c>
      <c r="C251">
        <v>18000</v>
      </c>
      <c r="D251">
        <v>45871.72</v>
      </c>
    </row>
    <row r="252" spans="1:4" x14ac:dyDescent="0.25">
      <c r="A252">
        <v>45356</v>
      </c>
      <c r="B252" t="s">
        <v>110</v>
      </c>
      <c r="C252">
        <v>-50</v>
      </c>
      <c r="D252">
        <v>45821.72</v>
      </c>
    </row>
    <row r="253" spans="1:4" x14ac:dyDescent="0.25">
      <c r="A253">
        <v>45357</v>
      </c>
      <c r="B253" t="s">
        <v>212</v>
      </c>
      <c r="C253">
        <v>-6.36</v>
      </c>
      <c r="D253">
        <v>45815.360000000001</v>
      </c>
    </row>
    <row r="254" spans="1:4" x14ac:dyDescent="0.25">
      <c r="A254">
        <v>45358</v>
      </c>
      <c r="B254" t="s">
        <v>22</v>
      </c>
      <c r="C254">
        <v>920.41</v>
      </c>
      <c r="D254">
        <v>46735.77</v>
      </c>
    </row>
    <row r="255" spans="1:4" x14ac:dyDescent="0.25">
      <c r="A255">
        <v>45358</v>
      </c>
      <c r="B255" t="s">
        <v>213</v>
      </c>
      <c r="C255">
        <v>-20656.77</v>
      </c>
      <c r="D255">
        <v>26079</v>
      </c>
    </row>
    <row r="256" spans="1:4" x14ac:dyDescent="0.25">
      <c r="A256">
        <v>45358</v>
      </c>
      <c r="B256" t="s">
        <v>214</v>
      </c>
      <c r="C256">
        <v>-4326.83</v>
      </c>
      <c r="D256">
        <v>21752.17</v>
      </c>
    </row>
    <row r="257" spans="1:4" x14ac:dyDescent="0.25">
      <c r="A257">
        <v>45359</v>
      </c>
      <c r="B257" t="s">
        <v>215</v>
      </c>
      <c r="C257">
        <v>-126.56</v>
      </c>
      <c r="D257">
        <v>21625.61</v>
      </c>
    </row>
    <row r="258" spans="1:4" x14ac:dyDescent="0.25">
      <c r="A258">
        <v>45359</v>
      </c>
      <c r="B258" t="s">
        <v>216</v>
      </c>
      <c r="C258">
        <v>-55.86</v>
      </c>
      <c r="D258">
        <v>21569.75</v>
      </c>
    </row>
    <row r="259" spans="1:4" x14ac:dyDescent="0.25">
      <c r="A259">
        <v>45359</v>
      </c>
      <c r="B259" t="s">
        <v>217</v>
      </c>
      <c r="C259">
        <v>-24.14</v>
      </c>
      <c r="D259">
        <v>21545.61</v>
      </c>
    </row>
    <row r="260" spans="1:4" x14ac:dyDescent="0.25">
      <c r="A260">
        <v>45359</v>
      </c>
      <c r="B260" t="s">
        <v>218</v>
      </c>
      <c r="C260">
        <v>-1014</v>
      </c>
      <c r="D260">
        <v>20531.61</v>
      </c>
    </row>
    <row r="261" spans="1:4" x14ac:dyDescent="0.25">
      <c r="A261">
        <v>45359</v>
      </c>
      <c r="B261" t="s">
        <v>44</v>
      </c>
      <c r="C261">
        <v>-126.43</v>
      </c>
      <c r="D261">
        <v>20405.18</v>
      </c>
    </row>
    <row r="262" spans="1:4" x14ac:dyDescent="0.25">
      <c r="A262">
        <v>45359</v>
      </c>
      <c r="B262" t="s">
        <v>219</v>
      </c>
      <c r="C262">
        <v>-115.22</v>
      </c>
      <c r="D262">
        <v>20289.96</v>
      </c>
    </row>
    <row r="263" spans="1:4" x14ac:dyDescent="0.25">
      <c r="A263">
        <v>45359</v>
      </c>
      <c r="B263" t="s">
        <v>220</v>
      </c>
      <c r="C263">
        <v>-50</v>
      </c>
      <c r="D263">
        <v>20239.96</v>
      </c>
    </row>
    <row r="264" spans="1:4" x14ac:dyDescent="0.25">
      <c r="A264">
        <v>45359</v>
      </c>
      <c r="B264" t="s">
        <v>221</v>
      </c>
      <c r="C264">
        <v>-21</v>
      </c>
      <c r="D264">
        <v>20218.96</v>
      </c>
    </row>
    <row r="265" spans="1:4" x14ac:dyDescent="0.25">
      <c r="A265">
        <v>45362</v>
      </c>
      <c r="B265" t="s">
        <v>222</v>
      </c>
      <c r="C265">
        <v>8391</v>
      </c>
      <c r="D265">
        <v>28609.96</v>
      </c>
    </row>
    <row r="266" spans="1:4" x14ac:dyDescent="0.25">
      <c r="A266">
        <v>45362</v>
      </c>
      <c r="B266" t="s">
        <v>223</v>
      </c>
      <c r="C266">
        <v>-948</v>
      </c>
      <c r="D266">
        <v>27661.96</v>
      </c>
    </row>
    <row r="267" spans="1:4" x14ac:dyDescent="0.25">
      <c r="A267">
        <v>45362</v>
      </c>
      <c r="B267" t="s">
        <v>224</v>
      </c>
      <c r="C267">
        <v>-118.1</v>
      </c>
      <c r="D267">
        <v>27543.86</v>
      </c>
    </row>
    <row r="268" spans="1:4" x14ac:dyDescent="0.25">
      <c r="A268">
        <v>45362</v>
      </c>
      <c r="B268" t="s">
        <v>225</v>
      </c>
      <c r="C268">
        <v>-165.87</v>
      </c>
      <c r="D268">
        <v>27377.99</v>
      </c>
    </row>
    <row r="269" spans="1:4" x14ac:dyDescent="0.25">
      <c r="A269">
        <v>45362</v>
      </c>
      <c r="B269" t="s">
        <v>226</v>
      </c>
      <c r="C269">
        <v>-200.07</v>
      </c>
      <c r="D269">
        <v>27177.919999999998</v>
      </c>
    </row>
    <row r="270" spans="1:4" x14ac:dyDescent="0.25">
      <c r="A270">
        <v>45362</v>
      </c>
      <c r="B270" t="s">
        <v>227</v>
      </c>
      <c r="C270">
        <v>-141.26</v>
      </c>
      <c r="D270">
        <v>27036.66</v>
      </c>
    </row>
    <row r="271" spans="1:4" x14ac:dyDescent="0.25">
      <c r="A271">
        <v>45363</v>
      </c>
      <c r="B271" t="s">
        <v>228</v>
      </c>
      <c r="C271">
        <v>-500</v>
      </c>
      <c r="D271">
        <v>26536.66</v>
      </c>
    </row>
    <row r="272" spans="1:4" x14ac:dyDescent="0.25">
      <c r="A272">
        <v>45364</v>
      </c>
      <c r="B272" t="s">
        <v>229</v>
      </c>
      <c r="C272">
        <v>-103.7</v>
      </c>
      <c r="D272">
        <v>26432.959999999999</v>
      </c>
    </row>
    <row r="273" spans="1:4" x14ac:dyDescent="0.25">
      <c r="A273">
        <v>45366</v>
      </c>
      <c r="B273" t="s">
        <v>230</v>
      </c>
      <c r="C273">
        <v>-456</v>
      </c>
      <c r="D273">
        <v>25976.959999999999</v>
      </c>
    </row>
    <row r="274" spans="1:4" x14ac:dyDescent="0.25">
      <c r="A274">
        <v>45366</v>
      </c>
      <c r="B274" t="s">
        <v>231</v>
      </c>
      <c r="C274">
        <v>-348</v>
      </c>
      <c r="D274">
        <v>25628.959999999999</v>
      </c>
    </row>
    <row r="275" spans="1:4" x14ac:dyDescent="0.25">
      <c r="A275">
        <v>45369</v>
      </c>
      <c r="B275" t="s">
        <v>232</v>
      </c>
      <c r="C275">
        <v>3368</v>
      </c>
      <c r="D275">
        <v>28996.959999999999</v>
      </c>
    </row>
    <row r="276" spans="1:4" x14ac:dyDescent="0.25">
      <c r="A276">
        <v>45369</v>
      </c>
      <c r="B276" t="s">
        <v>233</v>
      </c>
      <c r="C276">
        <v>-194.16</v>
      </c>
      <c r="D276">
        <v>28802.799999999999</v>
      </c>
    </row>
    <row r="277" spans="1:4" x14ac:dyDescent="0.25">
      <c r="A277">
        <v>45369</v>
      </c>
      <c r="B277" t="s">
        <v>234</v>
      </c>
      <c r="C277">
        <v>-28.26</v>
      </c>
      <c r="D277">
        <v>28774.54</v>
      </c>
    </row>
    <row r="278" spans="1:4" x14ac:dyDescent="0.25">
      <c r="A278">
        <v>45369</v>
      </c>
      <c r="B278" t="s">
        <v>235</v>
      </c>
      <c r="C278">
        <v>-990.74</v>
      </c>
      <c r="D278">
        <v>27783.8</v>
      </c>
    </row>
    <row r="279" spans="1:4" x14ac:dyDescent="0.25">
      <c r="A279">
        <v>45370</v>
      </c>
      <c r="B279" t="s">
        <v>236</v>
      </c>
      <c r="C279">
        <v>-76.040000000000006</v>
      </c>
      <c r="D279">
        <v>27707.759999999998</v>
      </c>
    </row>
    <row r="280" spans="1:4" x14ac:dyDescent="0.25">
      <c r="A280">
        <v>45370</v>
      </c>
      <c r="B280" t="s">
        <v>237</v>
      </c>
      <c r="C280">
        <v>-249.37</v>
      </c>
      <c r="D280">
        <v>27458.39</v>
      </c>
    </row>
    <row r="281" spans="1:4" x14ac:dyDescent="0.25">
      <c r="A281">
        <v>45370</v>
      </c>
      <c r="B281" t="s">
        <v>110</v>
      </c>
      <c r="C281">
        <v>-50</v>
      </c>
      <c r="D281">
        <v>27408.39</v>
      </c>
    </row>
    <row r="282" spans="1:4" x14ac:dyDescent="0.25">
      <c r="A282">
        <v>45372</v>
      </c>
      <c r="B282" t="s">
        <v>238</v>
      </c>
      <c r="C282">
        <v>-18760.060000000001</v>
      </c>
      <c r="D282">
        <v>8648.33</v>
      </c>
    </row>
    <row r="283" spans="1:4" x14ac:dyDescent="0.25">
      <c r="A283">
        <v>45372</v>
      </c>
      <c r="B283" t="s">
        <v>239</v>
      </c>
      <c r="C283">
        <v>-3779.49</v>
      </c>
      <c r="D283">
        <v>4868.84</v>
      </c>
    </row>
    <row r="284" spans="1:4" x14ac:dyDescent="0.25">
      <c r="A284">
        <v>45373</v>
      </c>
      <c r="B284" t="s">
        <v>240</v>
      </c>
      <c r="C284">
        <v>-87.82</v>
      </c>
      <c r="D284">
        <v>4781.0200000000004</v>
      </c>
    </row>
    <row r="285" spans="1:4" x14ac:dyDescent="0.25">
      <c r="A285">
        <v>45376</v>
      </c>
      <c r="B285" t="s">
        <v>241</v>
      </c>
      <c r="C285">
        <v>5402</v>
      </c>
      <c r="D285">
        <v>10183.02</v>
      </c>
    </row>
    <row r="286" spans="1:4" x14ac:dyDescent="0.25">
      <c r="A286">
        <v>45376</v>
      </c>
      <c r="B286" t="s">
        <v>242</v>
      </c>
      <c r="C286">
        <v>-543.55999999999995</v>
      </c>
      <c r="D286">
        <v>9639.4599999999991</v>
      </c>
    </row>
    <row r="287" spans="1:4" x14ac:dyDescent="0.25">
      <c r="A287">
        <v>45376</v>
      </c>
      <c r="B287" t="s">
        <v>243</v>
      </c>
      <c r="C287">
        <v>-2053.81</v>
      </c>
      <c r="D287">
        <v>7585.65</v>
      </c>
    </row>
    <row r="288" spans="1:4" x14ac:dyDescent="0.25">
      <c r="A288">
        <v>45376</v>
      </c>
      <c r="B288" t="s">
        <v>244</v>
      </c>
      <c r="C288">
        <v>-16</v>
      </c>
      <c r="D288">
        <v>7569.65</v>
      </c>
    </row>
    <row r="289" spans="1:4" x14ac:dyDescent="0.25">
      <c r="A289">
        <v>45378</v>
      </c>
      <c r="B289" t="s">
        <v>245</v>
      </c>
      <c r="C289">
        <v>-14.99</v>
      </c>
      <c r="D289">
        <v>7554.66</v>
      </c>
    </row>
    <row r="290" spans="1:4" x14ac:dyDescent="0.25">
      <c r="A290">
        <v>45378</v>
      </c>
      <c r="B290" t="s">
        <v>246</v>
      </c>
      <c r="C290">
        <v>-37.17</v>
      </c>
      <c r="D290">
        <v>7517.49</v>
      </c>
    </row>
    <row r="291" spans="1:4" x14ac:dyDescent="0.25">
      <c r="A291">
        <v>45379</v>
      </c>
      <c r="B291" t="s">
        <v>22</v>
      </c>
      <c r="C291">
        <v>15399</v>
      </c>
      <c r="D291">
        <v>22916.49</v>
      </c>
    </row>
    <row r="292" spans="1:4" x14ac:dyDescent="0.25">
      <c r="A292">
        <v>45379</v>
      </c>
      <c r="B292" t="s">
        <v>247</v>
      </c>
      <c r="C292">
        <v>-147.69</v>
      </c>
      <c r="D292">
        <v>22768.799999999999</v>
      </c>
    </row>
    <row r="293" spans="1:4" x14ac:dyDescent="0.25">
      <c r="A293">
        <v>45379</v>
      </c>
      <c r="B293" t="s">
        <v>248</v>
      </c>
      <c r="C293">
        <v>-76.56</v>
      </c>
      <c r="D293">
        <v>22692.240000000002</v>
      </c>
    </row>
    <row r="294" spans="1:4" x14ac:dyDescent="0.25">
      <c r="A294">
        <v>45379</v>
      </c>
      <c r="B294" t="s">
        <v>249</v>
      </c>
      <c r="C294">
        <v>-116.96</v>
      </c>
      <c r="D294">
        <v>22575.279999999999</v>
      </c>
    </row>
    <row r="295" spans="1:4" x14ac:dyDescent="0.25">
      <c r="A295">
        <v>45379</v>
      </c>
      <c r="B295" t="s">
        <v>250</v>
      </c>
      <c r="C295">
        <v>-8.5</v>
      </c>
      <c r="D295">
        <v>22566.78</v>
      </c>
    </row>
    <row r="296" spans="1:4" x14ac:dyDescent="0.25">
      <c r="A296">
        <v>45379</v>
      </c>
      <c r="B296" t="s">
        <v>251</v>
      </c>
      <c r="C296">
        <v>-86.92</v>
      </c>
      <c r="D296">
        <v>22479.86</v>
      </c>
    </row>
    <row r="297" spans="1:4" x14ac:dyDescent="0.25">
      <c r="A297">
        <v>45379</v>
      </c>
      <c r="B297" t="s">
        <v>252</v>
      </c>
      <c r="C297">
        <v>-10.06</v>
      </c>
      <c r="D297">
        <v>22469.8</v>
      </c>
    </row>
    <row r="298" spans="1:4" x14ac:dyDescent="0.25">
      <c r="A298">
        <v>45379</v>
      </c>
      <c r="B298" t="s">
        <v>252</v>
      </c>
      <c r="C298">
        <v>-457.41</v>
      </c>
      <c r="D298">
        <v>22012.39</v>
      </c>
    </row>
    <row r="299" spans="1:4" x14ac:dyDescent="0.25">
      <c r="A299">
        <v>45379</v>
      </c>
      <c r="B299" t="s">
        <v>253</v>
      </c>
      <c r="C299">
        <v>-316.58</v>
      </c>
      <c r="D299">
        <v>21695.81</v>
      </c>
    </row>
    <row r="300" spans="1:4" x14ac:dyDescent="0.25">
      <c r="A300">
        <v>45379</v>
      </c>
      <c r="B300" t="s">
        <v>254</v>
      </c>
      <c r="C300">
        <v>-186.25</v>
      </c>
      <c r="D300">
        <v>21509.56</v>
      </c>
    </row>
    <row r="301" spans="1:4" x14ac:dyDescent="0.25">
      <c r="A301">
        <v>45379</v>
      </c>
      <c r="B301" t="s">
        <v>255</v>
      </c>
      <c r="C301">
        <v>-33</v>
      </c>
      <c r="D301">
        <v>21476.560000000001</v>
      </c>
    </row>
    <row r="302" spans="1:4" x14ac:dyDescent="0.25">
      <c r="A302">
        <v>45380</v>
      </c>
      <c r="B302" t="s">
        <v>256</v>
      </c>
      <c r="C302">
        <v>-17.010000000000002</v>
      </c>
      <c r="D302">
        <v>21459.55</v>
      </c>
    </row>
    <row r="303" spans="1:4" x14ac:dyDescent="0.25">
      <c r="A303">
        <v>45383</v>
      </c>
      <c r="B303" t="s">
        <v>257</v>
      </c>
      <c r="C303">
        <v>2877</v>
      </c>
      <c r="D303">
        <v>24336.55</v>
      </c>
    </row>
    <row r="304" spans="1:4" x14ac:dyDescent="0.25">
      <c r="A304">
        <v>45383</v>
      </c>
      <c r="B304" t="s">
        <v>258</v>
      </c>
      <c r="C304">
        <v>-210.34</v>
      </c>
      <c r="D304">
        <v>24126.21</v>
      </c>
    </row>
    <row r="305" spans="1:4" x14ac:dyDescent="0.25">
      <c r="A305">
        <v>45383</v>
      </c>
      <c r="B305" t="s">
        <v>259</v>
      </c>
      <c r="C305">
        <v>-4801</v>
      </c>
      <c r="D305">
        <v>19325.21</v>
      </c>
    </row>
    <row r="306" spans="1:4" x14ac:dyDescent="0.25">
      <c r="A306">
        <v>45384</v>
      </c>
      <c r="B306" t="s">
        <v>22</v>
      </c>
      <c r="C306">
        <v>16000</v>
      </c>
      <c r="D306">
        <v>35325.21</v>
      </c>
    </row>
    <row r="307" spans="1:4" x14ac:dyDescent="0.25">
      <c r="A307">
        <v>45384</v>
      </c>
      <c r="B307" t="s">
        <v>260</v>
      </c>
      <c r="C307">
        <v>-178.37</v>
      </c>
      <c r="D307">
        <v>35146.839999999997</v>
      </c>
    </row>
    <row r="308" spans="1:4" x14ac:dyDescent="0.25">
      <c r="A308">
        <v>45384</v>
      </c>
      <c r="B308" t="s">
        <v>261</v>
      </c>
      <c r="C308">
        <v>-251.75</v>
      </c>
      <c r="D308">
        <v>34895.089999999997</v>
      </c>
    </row>
    <row r="309" spans="1:4" x14ac:dyDescent="0.25">
      <c r="A309">
        <v>45384</v>
      </c>
      <c r="B309" t="s">
        <v>262</v>
      </c>
      <c r="C309">
        <v>-20.23</v>
      </c>
      <c r="D309">
        <v>34874.86</v>
      </c>
    </row>
    <row r="310" spans="1:4" x14ac:dyDescent="0.25">
      <c r="A310">
        <v>45384</v>
      </c>
      <c r="B310" t="s">
        <v>263</v>
      </c>
      <c r="C310">
        <v>-68.05</v>
      </c>
      <c r="D310">
        <v>34806.81</v>
      </c>
    </row>
    <row r="311" spans="1:4" x14ac:dyDescent="0.25">
      <c r="A311">
        <v>45384</v>
      </c>
      <c r="B311" t="s">
        <v>110</v>
      </c>
      <c r="C311">
        <v>-50</v>
      </c>
      <c r="D311">
        <v>34756.81</v>
      </c>
    </row>
    <row r="312" spans="1:4" x14ac:dyDescent="0.25">
      <c r="A312">
        <v>45384</v>
      </c>
      <c r="B312" t="s">
        <v>264</v>
      </c>
      <c r="C312">
        <v>-35.65</v>
      </c>
      <c r="D312">
        <v>34721.160000000003</v>
      </c>
    </row>
    <row r="313" spans="1:4" x14ac:dyDescent="0.25">
      <c r="A313">
        <v>45384</v>
      </c>
      <c r="B313" t="s">
        <v>265</v>
      </c>
      <c r="C313">
        <v>-1</v>
      </c>
      <c r="D313">
        <v>34720.160000000003</v>
      </c>
    </row>
    <row r="314" spans="1:4" x14ac:dyDescent="0.25">
      <c r="A314">
        <v>45386</v>
      </c>
      <c r="B314" t="s">
        <v>266</v>
      </c>
      <c r="C314">
        <v>-250.1</v>
      </c>
      <c r="D314">
        <v>34470.06</v>
      </c>
    </row>
    <row r="315" spans="1:4" x14ac:dyDescent="0.25">
      <c r="A315">
        <v>45386</v>
      </c>
      <c r="B315" t="s">
        <v>267</v>
      </c>
      <c r="C315">
        <v>-76.81</v>
      </c>
      <c r="D315">
        <v>34393.25</v>
      </c>
    </row>
    <row r="316" spans="1:4" x14ac:dyDescent="0.25">
      <c r="A316">
        <v>45387</v>
      </c>
      <c r="B316" t="s">
        <v>268</v>
      </c>
      <c r="C316">
        <v>-18562.080000000002</v>
      </c>
      <c r="D316">
        <v>15831.17</v>
      </c>
    </row>
    <row r="317" spans="1:4" x14ac:dyDescent="0.25">
      <c r="A317">
        <v>45387</v>
      </c>
      <c r="B317" t="s">
        <v>269</v>
      </c>
      <c r="C317">
        <v>-3671.32</v>
      </c>
      <c r="D317">
        <v>12159.85</v>
      </c>
    </row>
    <row r="318" spans="1:4" x14ac:dyDescent="0.25">
      <c r="A318">
        <v>45387</v>
      </c>
      <c r="B318" t="s">
        <v>270</v>
      </c>
      <c r="C318">
        <v>-75.510000000000005</v>
      </c>
      <c r="D318">
        <v>12084.34</v>
      </c>
    </row>
    <row r="319" spans="1:4" x14ac:dyDescent="0.25">
      <c r="A319">
        <v>45387</v>
      </c>
      <c r="B319" t="s">
        <v>271</v>
      </c>
      <c r="C319">
        <v>-14</v>
      </c>
      <c r="D319">
        <v>12070.34</v>
      </c>
    </row>
    <row r="320" spans="1:4" x14ac:dyDescent="0.25">
      <c r="A320">
        <v>45390</v>
      </c>
      <c r="B320" t="s">
        <v>272</v>
      </c>
      <c r="C320">
        <v>8044</v>
      </c>
      <c r="D320">
        <v>20114.34</v>
      </c>
    </row>
    <row r="321" spans="1:4" x14ac:dyDescent="0.25">
      <c r="A321">
        <v>45390</v>
      </c>
      <c r="B321" t="s">
        <v>273</v>
      </c>
      <c r="C321">
        <v>-126.56</v>
      </c>
      <c r="D321">
        <v>19987.78</v>
      </c>
    </row>
    <row r="322" spans="1:4" x14ac:dyDescent="0.25">
      <c r="A322">
        <v>45390</v>
      </c>
      <c r="B322" t="s">
        <v>274</v>
      </c>
      <c r="C322">
        <v>-85.08</v>
      </c>
      <c r="D322">
        <v>19902.7</v>
      </c>
    </row>
    <row r="323" spans="1:4" x14ac:dyDescent="0.25">
      <c r="A323">
        <v>45390</v>
      </c>
      <c r="B323" t="s">
        <v>275</v>
      </c>
      <c r="C323">
        <v>-55.86</v>
      </c>
      <c r="D323">
        <v>19846.84</v>
      </c>
    </row>
    <row r="324" spans="1:4" x14ac:dyDescent="0.25">
      <c r="A324">
        <v>45390</v>
      </c>
      <c r="B324" t="s">
        <v>44</v>
      </c>
      <c r="C324">
        <v>-126.43</v>
      </c>
      <c r="D324">
        <v>19720.41</v>
      </c>
    </row>
    <row r="325" spans="1:4" x14ac:dyDescent="0.25">
      <c r="A325">
        <v>45393</v>
      </c>
      <c r="B325" t="s">
        <v>276</v>
      </c>
      <c r="C325">
        <v>17000</v>
      </c>
      <c r="D325">
        <v>36720.410000000003</v>
      </c>
    </row>
    <row r="326" spans="1:4" x14ac:dyDescent="0.25">
      <c r="A326">
        <v>45393</v>
      </c>
      <c r="B326" t="s">
        <v>277</v>
      </c>
      <c r="C326">
        <v>-13.13</v>
      </c>
      <c r="D326">
        <v>36707.279999999999</v>
      </c>
    </row>
    <row r="327" spans="1:4" x14ac:dyDescent="0.25">
      <c r="A327">
        <v>45394</v>
      </c>
      <c r="B327" t="s">
        <v>278</v>
      </c>
      <c r="C327">
        <v>-336</v>
      </c>
      <c r="D327">
        <v>36371.279999999999</v>
      </c>
    </row>
    <row r="328" spans="1:4" x14ac:dyDescent="0.25">
      <c r="A328">
        <v>45397</v>
      </c>
      <c r="B328" t="s">
        <v>279</v>
      </c>
      <c r="C328">
        <v>12385</v>
      </c>
      <c r="D328">
        <v>48756.28</v>
      </c>
    </row>
    <row r="329" spans="1:4" x14ac:dyDescent="0.25">
      <c r="A329">
        <v>45397</v>
      </c>
      <c r="B329" t="s">
        <v>280</v>
      </c>
      <c r="C329">
        <v>-549.52</v>
      </c>
      <c r="D329">
        <v>48206.76</v>
      </c>
    </row>
    <row r="330" spans="1:4" x14ac:dyDescent="0.25">
      <c r="A330">
        <v>45397</v>
      </c>
      <c r="B330" t="s">
        <v>281</v>
      </c>
      <c r="C330">
        <v>-984</v>
      </c>
      <c r="D330">
        <v>47222.76</v>
      </c>
    </row>
    <row r="331" spans="1:4" x14ac:dyDescent="0.25">
      <c r="A331">
        <v>45398</v>
      </c>
      <c r="B331" t="s">
        <v>110</v>
      </c>
      <c r="C331">
        <v>-50</v>
      </c>
      <c r="D331">
        <v>47172.76</v>
      </c>
    </row>
    <row r="332" spans="1:4" x14ac:dyDescent="0.25">
      <c r="A332">
        <v>45399</v>
      </c>
      <c r="B332" t="s">
        <v>282</v>
      </c>
      <c r="C332">
        <v>-20000</v>
      </c>
      <c r="D332">
        <v>27172.76</v>
      </c>
    </row>
    <row r="333" spans="1:4" x14ac:dyDescent="0.25">
      <c r="A333">
        <v>45400</v>
      </c>
      <c r="B333" t="s">
        <v>283</v>
      </c>
      <c r="C333">
        <v>-44.68</v>
      </c>
      <c r="D333">
        <v>27128.080000000002</v>
      </c>
    </row>
    <row r="334" spans="1:4" x14ac:dyDescent="0.25">
      <c r="A334">
        <v>45400</v>
      </c>
      <c r="B334" t="s">
        <v>284</v>
      </c>
      <c r="C334">
        <v>-15.37</v>
      </c>
      <c r="D334">
        <v>27112.71</v>
      </c>
    </row>
    <row r="335" spans="1:4" x14ac:dyDescent="0.25">
      <c r="A335">
        <v>45400</v>
      </c>
      <c r="B335" t="s">
        <v>285</v>
      </c>
      <c r="C335">
        <v>-18207.28</v>
      </c>
      <c r="D335">
        <v>8905.43</v>
      </c>
    </row>
    <row r="336" spans="1:4" x14ac:dyDescent="0.25">
      <c r="A336">
        <v>45400</v>
      </c>
      <c r="B336" t="s">
        <v>286</v>
      </c>
      <c r="C336">
        <v>-3502.97</v>
      </c>
      <c r="D336">
        <v>5402.46</v>
      </c>
    </row>
    <row r="337" spans="1:4" x14ac:dyDescent="0.25">
      <c r="A337">
        <v>45400</v>
      </c>
      <c r="B337" t="s">
        <v>287</v>
      </c>
      <c r="C337">
        <v>-1076.3</v>
      </c>
      <c r="D337">
        <v>4326.16</v>
      </c>
    </row>
    <row r="338" spans="1:4" x14ac:dyDescent="0.25">
      <c r="A338">
        <v>45401</v>
      </c>
      <c r="B338" t="s">
        <v>288</v>
      </c>
      <c r="C338">
        <v>4700</v>
      </c>
      <c r="D338">
        <v>9026.16</v>
      </c>
    </row>
    <row r="339" spans="1:4" x14ac:dyDescent="0.25">
      <c r="A339">
        <v>45401</v>
      </c>
      <c r="B339" t="s">
        <v>22</v>
      </c>
      <c r="C339">
        <v>2662.03</v>
      </c>
      <c r="D339">
        <v>11688.19</v>
      </c>
    </row>
    <row r="340" spans="1:4" x14ac:dyDescent="0.25">
      <c r="A340">
        <v>45401</v>
      </c>
      <c r="B340" t="s">
        <v>289</v>
      </c>
      <c r="C340">
        <v>-3088</v>
      </c>
      <c r="D340">
        <v>8600.19</v>
      </c>
    </row>
    <row r="341" spans="1:4" x14ac:dyDescent="0.25">
      <c r="A341">
        <v>45401</v>
      </c>
      <c r="B341" t="s">
        <v>290</v>
      </c>
      <c r="C341">
        <v>-75.680000000000007</v>
      </c>
      <c r="D341">
        <v>8524.51</v>
      </c>
    </row>
    <row r="342" spans="1:4" x14ac:dyDescent="0.25">
      <c r="A342">
        <v>45404</v>
      </c>
      <c r="B342" t="s">
        <v>291</v>
      </c>
      <c r="C342">
        <v>5416</v>
      </c>
      <c r="D342">
        <v>13940.51</v>
      </c>
    </row>
    <row r="343" spans="1:4" x14ac:dyDescent="0.25">
      <c r="A343">
        <v>45404</v>
      </c>
      <c r="B343" t="s">
        <v>292</v>
      </c>
      <c r="C343">
        <v>-249.37</v>
      </c>
      <c r="D343">
        <v>13691.14</v>
      </c>
    </row>
    <row r="344" spans="1:4" x14ac:dyDescent="0.25">
      <c r="A344">
        <v>45404</v>
      </c>
      <c r="B344" t="s">
        <v>293</v>
      </c>
      <c r="C344">
        <v>-132.56</v>
      </c>
      <c r="D344">
        <v>13558.58</v>
      </c>
    </row>
    <row r="345" spans="1:4" x14ac:dyDescent="0.25">
      <c r="A345">
        <v>45404</v>
      </c>
      <c r="B345" t="s">
        <v>294</v>
      </c>
      <c r="C345">
        <v>-32.68</v>
      </c>
      <c r="D345">
        <v>13525.9</v>
      </c>
    </row>
    <row r="346" spans="1:4" x14ac:dyDescent="0.25">
      <c r="A346">
        <v>45405</v>
      </c>
      <c r="B346" t="s">
        <v>295</v>
      </c>
      <c r="C346">
        <v>-1317.99</v>
      </c>
      <c r="D346">
        <v>12207.91</v>
      </c>
    </row>
    <row r="347" spans="1:4" x14ac:dyDescent="0.25">
      <c r="A347">
        <v>45405</v>
      </c>
      <c r="B347" t="s">
        <v>296</v>
      </c>
      <c r="C347">
        <v>-14</v>
      </c>
      <c r="D347">
        <v>12193.91</v>
      </c>
    </row>
    <row r="348" spans="1:4" x14ac:dyDescent="0.25">
      <c r="A348">
        <v>45406</v>
      </c>
      <c r="B348" t="s">
        <v>297</v>
      </c>
      <c r="C348">
        <v>-55.86</v>
      </c>
      <c r="D348">
        <v>12138.05</v>
      </c>
    </row>
    <row r="349" spans="1:4" x14ac:dyDescent="0.25">
      <c r="A349">
        <v>45407</v>
      </c>
      <c r="B349" t="s">
        <v>298</v>
      </c>
      <c r="C349">
        <v>-333.36</v>
      </c>
      <c r="D349">
        <v>11804.69</v>
      </c>
    </row>
    <row r="350" spans="1:4" x14ac:dyDescent="0.25">
      <c r="A350">
        <v>45407</v>
      </c>
      <c r="B350" t="s">
        <v>299</v>
      </c>
      <c r="C350">
        <v>-5000</v>
      </c>
      <c r="D350">
        <v>6804.69</v>
      </c>
    </row>
    <row r="351" spans="1:4" x14ac:dyDescent="0.25">
      <c r="A351">
        <v>45408</v>
      </c>
      <c r="B351" t="s">
        <v>300</v>
      </c>
      <c r="C351">
        <v>-535.91</v>
      </c>
      <c r="D351">
        <v>6268.78</v>
      </c>
    </row>
    <row r="352" spans="1:4" x14ac:dyDescent="0.25">
      <c r="A352">
        <v>45411</v>
      </c>
      <c r="B352" t="s">
        <v>22</v>
      </c>
      <c r="C352">
        <v>12000</v>
      </c>
      <c r="D352">
        <v>18268.78</v>
      </c>
    </row>
    <row r="353" spans="1:4" x14ac:dyDescent="0.25">
      <c r="A353">
        <v>45411</v>
      </c>
      <c r="B353" t="s">
        <v>301</v>
      </c>
      <c r="C353">
        <v>3932</v>
      </c>
      <c r="D353">
        <v>22200.78</v>
      </c>
    </row>
    <row r="354" spans="1:4" x14ac:dyDescent="0.25">
      <c r="A354">
        <v>45411</v>
      </c>
      <c r="B354" t="s">
        <v>302</v>
      </c>
      <c r="C354">
        <v>-165.87</v>
      </c>
      <c r="D354">
        <v>22034.91</v>
      </c>
    </row>
    <row r="355" spans="1:4" x14ac:dyDescent="0.25">
      <c r="A355">
        <v>45411</v>
      </c>
      <c r="B355" t="s">
        <v>303</v>
      </c>
      <c r="C355">
        <v>-147.69</v>
      </c>
      <c r="D355">
        <v>21887.22</v>
      </c>
    </row>
    <row r="356" spans="1:4" x14ac:dyDescent="0.25">
      <c r="A356">
        <v>45411</v>
      </c>
      <c r="B356" t="s">
        <v>304</v>
      </c>
      <c r="C356">
        <v>-14.99</v>
      </c>
      <c r="D356">
        <v>21872.23</v>
      </c>
    </row>
    <row r="357" spans="1:4" x14ac:dyDescent="0.25">
      <c r="A357">
        <v>45411</v>
      </c>
      <c r="B357" t="s">
        <v>305</v>
      </c>
      <c r="C357">
        <v>-1248.1199999999999</v>
      </c>
      <c r="D357">
        <v>20624.11</v>
      </c>
    </row>
    <row r="358" spans="1:4" x14ac:dyDescent="0.25">
      <c r="A358">
        <v>45412</v>
      </c>
      <c r="B358" t="s">
        <v>306</v>
      </c>
      <c r="C358">
        <v>-31.8</v>
      </c>
      <c r="D358">
        <v>20592.310000000001</v>
      </c>
    </row>
    <row r="359" spans="1:4" x14ac:dyDescent="0.25">
      <c r="A359">
        <v>45412</v>
      </c>
      <c r="B359" t="s">
        <v>110</v>
      </c>
      <c r="C359">
        <v>-50</v>
      </c>
      <c r="D359">
        <v>20542.310000000001</v>
      </c>
    </row>
    <row r="360" spans="1:4" x14ac:dyDescent="0.25">
      <c r="A360">
        <v>45413</v>
      </c>
      <c r="B360" t="s">
        <v>307</v>
      </c>
      <c r="C360">
        <v>-4801</v>
      </c>
      <c r="D360">
        <v>15741.31</v>
      </c>
    </row>
    <row r="361" spans="1:4" x14ac:dyDescent="0.25">
      <c r="A361">
        <v>45413</v>
      </c>
      <c r="B361" t="s">
        <v>308</v>
      </c>
      <c r="C361">
        <v>-7.0000000000000007E-2</v>
      </c>
      <c r="D361">
        <v>15741.24</v>
      </c>
    </row>
    <row r="362" spans="1:4" x14ac:dyDescent="0.25">
      <c r="A362">
        <v>45414</v>
      </c>
      <c r="B362" t="s">
        <v>309</v>
      </c>
      <c r="C362">
        <v>7200</v>
      </c>
      <c r="D362">
        <v>22941.24</v>
      </c>
    </row>
    <row r="363" spans="1:4" x14ac:dyDescent="0.25">
      <c r="A363">
        <v>45414</v>
      </c>
      <c r="B363" t="s">
        <v>22</v>
      </c>
      <c r="C363">
        <v>4900</v>
      </c>
      <c r="D363">
        <v>27841.24</v>
      </c>
    </row>
    <row r="364" spans="1:4" x14ac:dyDescent="0.25">
      <c r="A364">
        <v>45414</v>
      </c>
      <c r="B364" t="s">
        <v>308</v>
      </c>
      <c r="C364">
        <v>32.01</v>
      </c>
      <c r="D364">
        <v>27873.25</v>
      </c>
    </row>
    <row r="365" spans="1:4" x14ac:dyDescent="0.25">
      <c r="A365">
        <v>45414</v>
      </c>
      <c r="B365" t="s">
        <v>310</v>
      </c>
      <c r="C365">
        <v>-204</v>
      </c>
      <c r="D365">
        <v>27669.25</v>
      </c>
    </row>
    <row r="366" spans="1:4" x14ac:dyDescent="0.25">
      <c r="A366">
        <v>45414</v>
      </c>
      <c r="B366" t="s">
        <v>311</v>
      </c>
      <c r="C366">
        <v>-251.75</v>
      </c>
      <c r="D366">
        <v>27417.5</v>
      </c>
    </row>
    <row r="367" spans="1:4" x14ac:dyDescent="0.25">
      <c r="A367">
        <v>45414</v>
      </c>
      <c r="B367" t="s">
        <v>312</v>
      </c>
      <c r="C367">
        <v>-123.29</v>
      </c>
      <c r="D367">
        <v>27294.21</v>
      </c>
    </row>
    <row r="368" spans="1:4" x14ac:dyDescent="0.25">
      <c r="A368">
        <v>45414</v>
      </c>
      <c r="B368" t="s">
        <v>313</v>
      </c>
      <c r="C368">
        <v>-22.95</v>
      </c>
      <c r="D368">
        <v>27271.26</v>
      </c>
    </row>
    <row r="369" spans="1:4" x14ac:dyDescent="0.25">
      <c r="A369">
        <v>45414</v>
      </c>
      <c r="B369" t="s">
        <v>314</v>
      </c>
      <c r="C369">
        <v>-35.9</v>
      </c>
      <c r="D369">
        <v>27235.360000000001</v>
      </c>
    </row>
    <row r="370" spans="1:4" x14ac:dyDescent="0.25">
      <c r="A370">
        <v>45414</v>
      </c>
      <c r="B370" t="s">
        <v>315</v>
      </c>
      <c r="C370">
        <v>-1</v>
      </c>
      <c r="D370">
        <v>27234.36</v>
      </c>
    </row>
    <row r="371" spans="1:4" x14ac:dyDescent="0.25">
      <c r="A371">
        <v>45415</v>
      </c>
      <c r="B371" t="s">
        <v>316</v>
      </c>
      <c r="C371">
        <v>-18575.29</v>
      </c>
      <c r="D371">
        <v>8659.07</v>
      </c>
    </row>
    <row r="372" spans="1:4" x14ac:dyDescent="0.25">
      <c r="A372">
        <v>45415</v>
      </c>
      <c r="B372" t="s">
        <v>317</v>
      </c>
      <c r="C372">
        <v>-3635.83</v>
      </c>
      <c r="D372">
        <v>5023.24</v>
      </c>
    </row>
    <row r="373" spans="1:4" x14ac:dyDescent="0.25">
      <c r="A373">
        <v>45415</v>
      </c>
      <c r="B373" t="s">
        <v>318</v>
      </c>
      <c r="C373">
        <v>-76.77</v>
      </c>
      <c r="D373">
        <v>4946.47</v>
      </c>
    </row>
    <row r="374" spans="1:4" x14ac:dyDescent="0.25">
      <c r="A374">
        <v>45418</v>
      </c>
      <c r="B374" t="s">
        <v>319</v>
      </c>
      <c r="C374">
        <v>5431</v>
      </c>
      <c r="D374">
        <v>10377.469999999999</v>
      </c>
    </row>
    <row r="375" spans="1:4" x14ac:dyDescent="0.25">
      <c r="A375">
        <v>45418</v>
      </c>
      <c r="B375" t="s">
        <v>320</v>
      </c>
      <c r="C375">
        <v>-250.1</v>
      </c>
      <c r="D375">
        <v>10127.370000000001</v>
      </c>
    </row>
    <row r="376" spans="1:4" x14ac:dyDescent="0.25">
      <c r="A376">
        <v>45418</v>
      </c>
      <c r="B376" t="s">
        <v>321</v>
      </c>
      <c r="C376">
        <v>-6.36</v>
      </c>
      <c r="D376">
        <v>10121.01</v>
      </c>
    </row>
    <row r="377" spans="1:4" x14ac:dyDescent="0.25">
      <c r="A377">
        <v>45418</v>
      </c>
      <c r="B377" t="s">
        <v>322</v>
      </c>
      <c r="C377">
        <v>-514.01</v>
      </c>
      <c r="D377">
        <v>9607</v>
      </c>
    </row>
    <row r="378" spans="1:4" x14ac:dyDescent="0.25">
      <c r="A378">
        <v>45418</v>
      </c>
      <c r="B378" t="s">
        <v>323</v>
      </c>
      <c r="C378">
        <v>-126.56</v>
      </c>
      <c r="D378">
        <v>9480.44</v>
      </c>
    </row>
    <row r="379" spans="1:4" x14ac:dyDescent="0.25">
      <c r="A379">
        <v>45418</v>
      </c>
      <c r="B379" t="s">
        <v>324</v>
      </c>
      <c r="C379">
        <v>-2000</v>
      </c>
      <c r="D379">
        <v>7480.44</v>
      </c>
    </row>
    <row r="380" spans="1:4" x14ac:dyDescent="0.25">
      <c r="A380">
        <v>45418</v>
      </c>
      <c r="B380" t="s">
        <v>325</v>
      </c>
      <c r="C380">
        <v>-52.96</v>
      </c>
      <c r="D380">
        <v>7427.48</v>
      </c>
    </row>
    <row r="381" spans="1:4" x14ac:dyDescent="0.25">
      <c r="A381">
        <v>45419</v>
      </c>
      <c r="B381" t="s">
        <v>326</v>
      </c>
      <c r="C381">
        <v>-14</v>
      </c>
      <c r="D381">
        <v>7413.48</v>
      </c>
    </row>
    <row r="382" spans="1:4" x14ac:dyDescent="0.25">
      <c r="A382">
        <v>45420</v>
      </c>
      <c r="B382" t="s">
        <v>327</v>
      </c>
      <c r="C382">
        <v>-55.86</v>
      </c>
      <c r="D382">
        <v>7357.62</v>
      </c>
    </row>
    <row r="383" spans="1:4" x14ac:dyDescent="0.25">
      <c r="A383">
        <v>45421</v>
      </c>
      <c r="B383" t="s">
        <v>328</v>
      </c>
      <c r="C383">
        <v>-80.150000000000006</v>
      </c>
      <c r="D383">
        <v>7277.47</v>
      </c>
    </row>
    <row r="384" spans="1:4" x14ac:dyDescent="0.25">
      <c r="A384">
        <v>45421</v>
      </c>
      <c r="B384" t="s">
        <v>44</v>
      </c>
      <c r="C384">
        <v>-126.43</v>
      </c>
      <c r="D384">
        <v>7151.04</v>
      </c>
    </row>
    <row r="385" spans="1:4" x14ac:dyDescent="0.25">
      <c r="A385">
        <v>45422</v>
      </c>
      <c r="B385" t="s">
        <v>329</v>
      </c>
      <c r="C385">
        <v>-172.37</v>
      </c>
      <c r="D385">
        <v>6978.67</v>
      </c>
    </row>
    <row r="386" spans="1:4" x14ac:dyDescent="0.25">
      <c r="A386">
        <v>45422</v>
      </c>
      <c r="B386" t="s">
        <v>330</v>
      </c>
      <c r="C386">
        <v>-336</v>
      </c>
      <c r="D386">
        <v>6642.67</v>
      </c>
    </row>
    <row r="387" spans="1:4" x14ac:dyDescent="0.25">
      <c r="A387">
        <v>45425</v>
      </c>
      <c r="B387" t="s">
        <v>331</v>
      </c>
      <c r="C387">
        <v>2195</v>
      </c>
      <c r="D387">
        <v>8837.67</v>
      </c>
    </row>
    <row r="388" spans="1:4" x14ac:dyDescent="0.25">
      <c r="A388">
        <v>45425</v>
      </c>
      <c r="B388" t="s">
        <v>332</v>
      </c>
      <c r="C388">
        <v>-112.6</v>
      </c>
      <c r="D388">
        <v>8725.07</v>
      </c>
    </row>
    <row r="389" spans="1:4" x14ac:dyDescent="0.25">
      <c r="A389">
        <v>45426</v>
      </c>
      <c r="B389" t="s">
        <v>110</v>
      </c>
      <c r="C389">
        <v>-50</v>
      </c>
      <c r="D389">
        <v>8675.07</v>
      </c>
    </row>
    <row r="390" spans="1:4" x14ac:dyDescent="0.25">
      <c r="A390">
        <v>45427</v>
      </c>
      <c r="B390" t="s">
        <v>333</v>
      </c>
      <c r="C390">
        <v>15000</v>
      </c>
      <c r="D390">
        <v>23675.07</v>
      </c>
    </row>
    <row r="391" spans="1:4" x14ac:dyDescent="0.25">
      <c r="A391">
        <v>45427</v>
      </c>
      <c r="B391" t="s">
        <v>334</v>
      </c>
      <c r="C391">
        <v>2000</v>
      </c>
      <c r="D391">
        <v>25675.07</v>
      </c>
    </row>
    <row r="392" spans="1:4" x14ac:dyDescent="0.25">
      <c r="A392">
        <v>45427</v>
      </c>
      <c r="B392" t="s">
        <v>335</v>
      </c>
      <c r="C392">
        <v>-108.43</v>
      </c>
      <c r="D392">
        <v>25566.639999999999</v>
      </c>
    </row>
    <row r="393" spans="1:4" x14ac:dyDescent="0.25">
      <c r="A393">
        <v>45429</v>
      </c>
      <c r="B393" t="s">
        <v>336</v>
      </c>
      <c r="C393">
        <v>4880</v>
      </c>
      <c r="D393">
        <v>30446.639999999999</v>
      </c>
    </row>
    <row r="394" spans="1:4" x14ac:dyDescent="0.25">
      <c r="A394">
        <v>45429</v>
      </c>
      <c r="B394" t="s">
        <v>337</v>
      </c>
      <c r="C394">
        <v>-26.1</v>
      </c>
      <c r="D394">
        <v>30420.54</v>
      </c>
    </row>
    <row r="395" spans="1:4" x14ac:dyDescent="0.25">
      <c r="A395">
        <v>45429</v>
      </c>
      <c r="B395" t="s">
        <v>338</v>
      </c>
      <c r="C395">
        <v>-17952.7</v>
      </c>
      <c r="D395">
        <v>12467.84</v>
      </c>
    </row>
    <row r="396" spans="1:4" x14ac:dyDescent="0.25">
      <c r="A396">
        <v>45429</v>
      </c>
      <c r="B396" t="s">
        <v>339</v>
      </c>
      <c r="C396">
        <v>-3280.27</v>
      </c>
      <c r="D396">
        <v>9187.57</v>
      </c>
    </row>
    <row r="397" spans="1:4" x14ac:dyDescent="0.25">
      <c r="A397">
        <v>45429</v>
      </c>
      <c r="B397" t="s">
        <v>340</v>
      </c>
      <c r="C397">
        <v>-1054.1300000000001</v>
      </c>
      <c r="D397">
        <v>8133.44</v>
      </c>
    </row>
    <row r="398" spans="1:4" x14ac:dyDescent="0.25">
      <c r="A398">
        <v>45429</v>
      </c>
      <c r="B398" t="s">
        <v>341</v>
      </c>
      <c r="C398">
        <v>-93.94</v>
      </c>
      <c r="D398">
        <v>8039.5</v>
      </c>
    </row>
    <row r="399" spans="1:4" x14ac:dyDescent="0.25">
      <c r="A399">
        <v>45432</v>
      </c>
      <c r="B399" t="s">
        <v>342</v>
      </c>
      <c r="C399">
        <v>10190</v>
      </c>
      <c r="D399">
        <v>18229.5</v>
      </c>
    </row>
    <row r="400" spans="1:4" x14ac:dyDescent="0.25">
      <c r="A400">
        <v>45432</v>
      </c>
      <c r="B400" t="s">
        <v>343</v>
      </c>
      <c r="C400">
        <v>-249.37</v>
      </c>
      <c r="D400">
        <v>17980.13</v>
      </c>
    </row>
    <row r="401" spans="1:4" x14ac:dyDescent="0.25">
      <c r="A401">
        <v>45432</v>
      </c>
      <c r="B401" t="s">
        <v>344</v>
      </c>
      <c r="C401">
        <v>-26</v>
      </c>
      <c r="D401">
        <v>17954.13</v>
      </c>
    </row>
    <row r="402" spans="1:4" x14ac:dyDescent="0.25">
      <c r="A402">
        <v>45434</v>
      </c>
      <c r="B402" t="s">
        <v>22</v>
      </c>
      <c r="C402">
        <v>617</v>
      </c>
      <c r="D402">
        <v>18571.13</v>
      </c>
    </row>
    <row r="403" spans="1:4" x14ac:dyDescent="0.25">
      <c r="A403">
        <v>45435</v>
      </c>
      <c r="B403" t="s">
        <v>345</v>
      </c>
      <c r="C403">
        <v>-64.52</v>
      </c>
      <c r="D403">
        <v>18506.61</v>
      </c>
    </row>
    <row r="404" spans="1:4" x14ac:dyDescent="0.25">
      <c r="A404">
        <v>45436</v>
      </c>
      <c r="B404" t="s">
        <v>346</v>
      </c>
      <c r="C404">
        <v>28.26</v>
      </c>
      <c r="D404">
        <v>18534.87</v>
      </c>
    </row>
    <row r="405" spans="1:4" x14ac:dyDescent="0.25">
      <c r="A405">
        <v>45436</v>
      </c>
      <c r="B405" t="s">
        <v>347</v>
      </c>
      <c r="C405">
        <v>-1280.52</v>
      </c>
      <c r="D405">
        <v>17254.349999999999</v>
      </c>
    </row>
    <row r="406" spans="1:4" x14ac:dyDescent="0.25">
      <c r="A406">
        <v>45440</v>
      </c>
      <c r="B406" t="s">
        <v>348</v>
      </c>
      <c r="C406">
        <v>10701</v>
      </c>
      <c r="D406">
        <v>27955.35</v>
      </c>
    </row>
    <row r="407" spans="1:4" x14ac:dyDescent="0.25">
      <c r="A407">
        <v>45440</v>
      </c>
      <c r="B407" t="s">
        <v>349</v>
      </c>
      <c r="C407">
        <v>-139.56</v>
      </c>
      <c r="D407">
        <v>27815.79</v>
      </c>
    </row>
    <row r="408" spans="1:4" x14ac:dyDescent="0.25">
      <c r="A408">
        <v>45440</v>
      </c>
      <c r="B408" t="s">
        <v>350</v>
      </c>
      <c r="C408">
        <v>-21.4</v>
      </c>
      <c r="D408">
        <v>27794.39</v>
      </c>
    </row>
    <row r="409" spans="1:4" x14ac:dyDescent="0.25">
      <c r="A409">
        <v>45440</v>
      </c>
      <c r="B409" t="s">
        <v>351</v>
      </c>
      <c r="C409">
        <v>-724.85</v>
      </c>
      <c r="D409">
        <v>27069.54</v>
      </c>
    </row>
    <row r="410" spans="1:4" x14ac:dyDescent="0.25">
      <c r="A410">
        <v>45440</v>
      </c>
      <c r="B410" t="s">
        <v>352</v>
      </c>
      <c r="C410">
        <v>-168.79</v>
      </c>
      <c r="D410">
        <v>26900.75</v>
      </c>
    </row>
    <row r="411" spans="1:4" x14ac:dyDescent="0.25">
      <c r="A411">
        <v>45440</v>
      </c>
      <c r="B411" t="s">
        <v>353</v>
      </c>
      <c r="C411">
        <v>-542.53</v>
      </c>
      <c r="D411">
        <v>26358.22</v>
      </c>
    </row>
    <row r="412" spans="1:4" x14ac:dyDescent="0.25">
      <c r="A412">
        <v>45440</v>
      </c>
      <c r="B412" t="s">
        <v>354</v>
      </c>
      <c r="C412">
        <v>-147.69</v>
      </c>
      <c r="D412">
        <v>26210.53</v>
      </c>
    </row>
    <row r="413" spans="1:4" x14ac:dyDescent="0.25">
      <c r="A413">
        <v>45440</v>
      </c>
      <c r="B413" t="s">
        <v>355</v>
      </c>
      <c r="C413">
        <v>-14.99</v>
      </c>
      <c r="D413">
        <v>26195.54</v>
      </c>
    </row>
    <row r="414" spans="1:4" x14ac:dyDescent="0.25">
      <c r="A414">
        <v>45440</v>
      </c>
      <c r="B414" t="s">
        <v>110</v>
      </c>
      <c r="C414">
        <v>-50</v>
      </c>
      <c r="D414">
        <v>26145.54</v>
      </c>
    </row>
    <row r="415" spans="1:4" x14ac:dyDescent="0.25">
      <c r="A415">
        <v>45441</v>
      </c>
      <c r="B415" t="s">
        <v>356</v>
      </c>
      <c r="C415">
        <v>-1428</v>
      </c>
      <c r="D415">
        <v>24717.54</v>
      </c>
    </row>
    <row r="416" spans="1:4" x14ac:dyDescent="0.25">
      <c r="A416">
        <v>45442</v>
      </c>
      <c r="B416" t="s">
        <v>357</v>
      </c>
      <c r="C416">
        <v>20000</v>
      </c>
      <c r="D416">
        <v>44717.54</v>
      </c>
    </row>
    <row r="417" spans="1:4" x14ac:dyDescent="0.25">
      <c r="A417">
        <v>45442</v>
      </c>
      <c r="B417" t="s">
        <v>22</v>
      </c>
      <c r="C417">
        <v>635.57000000000005</v>
      </c>
      <c r="D417">
        <v>45353.11</v>
      </c>
    </row>
    <row r="418" spans="1:4" x14ac:dyDescent="0.25">
      <c r="A418">
        <v>45443</v>
      </c>
      <c r="B418" t="s">
        <v>358</v>
      </c>
      <c r="C418">
        <v>-11588.83</v>
      </c>
      <c r="D418">
        <v>33764.28</v>
      </c>
    </row>
    <row r="419" spans="1:4" x14ac:dyDescent="0.25">
      <c r="A419">
        <v>45443</v>
      </c>
      <c r="B419" t="s">
        <v>359</v>
      </c>
      <c r="C419">
        <v>-18944.400000000001</v>
      </c>
      <c r="D419">
        <v>14819.88</v>
      </c>
    </row>
    <row r="420" spans="1:4" x14ac:dyDescent="0.25">
      <c r="A420">
        <v>45443</v>
      </c>
      <c r="B420" t="s">
        <v>360</v>
      </c>
      <c r="C420">
        <v>-3707.96</v>
      </c>
      <c r="D420">
        <v>11111.92</v>
      </c>
    </row>
    <row r="421" spans="1:4" x14ac:dyDescent="0.25">
      <c r="A421">
        <v>45443</v>
      </c>
      <c r="B421" t="s">
        <v>361</v>
      </c>
      <c r="C421">
        <v>-95.67</v>
      </c>
      <c r="D421">
        <v>11016.25</v>
      </c>
    </row>
    <row r="422" spans="1:4" x14ac:dyDescent="0.25">
      <c r="A422">
        <v>45446</v>
      </c>
      <c r="B422" t="s">
        <v>362</v>
      </c>
      <c r="C422">
        <v>-98.32</v>
      </c>
      <c r="D422">
        <v>10917.93</v>
      </c>
    </row>
    <row r="423" spans="1:4" x14ac:dyDescent="0.25">
      <c r="A423">
        <v>45446</v>
      </c>
      <c r="B423" t="s">
        <v>363</v>
      </c>
      <c r="C423">
        <v>-22.95</v>
      </c>
      <c r="D423">
        <v>10894.98</v>
      </c>
    </row>
    <row r="424" spans="1:4" x14ac:dyDescent="0.25">
      <c r="A424">
        <v>45446</v>
      </c>
      <c r="B424" t="s">
        <v>364</v>
      </c>
      <c r="C424">
        <v>-134.83000000000001</v>
      </c>
      <c r="D424">
        <v>10760.15</v>
      </c>
    </row>
    <row r="425" spans="1:4" x14ac:dyDescent="0.25">
      <c r="A425">
        <v>45446</v>
      </c>
      <c r="B425" t="s">
        <v>365</v>
      </c>
      <c r="C425">
        <v>-4801</v>
      </c>
      <c r="D425">
        <v>5959.15</v>
      </c>
    </row>
    <row r="426" spans="1:4" x14ac:dyDescent="0.25">
      <c r="A426">
        <v>45446</v>
      </c>
      <c r="B426" t="s">
        <v>308</v>
      </c>
      <c r="C426">
        <v>-26.61</v>
      </c>
      <c r="D426">
        <v>5932.54</v>
      </c>
    </row>
    <row r="427" spans="1:4" x14ac:dyDescent="0.25">
      <c r="A427">
        <v>45446</v>
      </c>
      <c r="B427" t="s">
        <v>366</v>
      </c>
      <c r="C427">
        <v>-14</v>
      </c>
      <c r="D427">
        <v>5918.54</v>
      </c>
    </row>
    <row r="428" spans="1:4" x14ac:dyDescent="0.25">
      <c r="A428">
        <v>45447</v>
      </c>
      <c r="B428" t="s">
        <v>22</v>
      </c>
      <c r="C428">
        <v>20000</v>
      </c>
      <c r="D428">
        <v>25918.54</v>
      </c>
    </row>
    <row r="429" spans="1:4" x14ac:dyDescent="0.25">
      <c r="A429">
        <v>45447</v>
      </c>
      <c r="B429" t="s">
        <v>308</v>
      </c>
      <c r="C429">
        <v>42.24</v>
      </c>
      <c r="D429">
        <v>25960.78</v>
      </c>
    </row>
    <row r="430" spans="1:4" x14ac:dyDescent="0.25">
      <c r="A430">
        <v>45447</v>
      </c>
      <c r="B430" t="s">
        <v>367</v>
      </c>
      <c r="C430">
        <v>-81.52</v>
      </c>
      <c r="D430">
        <v>25879.26</v>
      </c>
    </row>
    <row r="431" spans="1:4" x14ac:dyDescent="0.25">
      <c r="A431">
        <v>45447</v>
      </c>
      <c r="B431" t="s">
        <v>368</v>
      </c>
      <c r="C431">
        <v>-250.1</v>
      </c>
      <c r="D431">
        <v>25629.16</v>
      </c>
    </row>
    <row r="432" spans="1:4" x14ac:dyDescent="0.25">
      <c r="A432">
        <v>45447</v>
      </c>
      <c r="B432" t="s">
        <v>369</v>
      </c>
      <c r="C432">
        <v>-251.75</v>
      </c>
      <c r="D432">
        <v>25377.41</v>
      </c>
    </row>
    <row r="433" spans="1:4" x14ac:dyDescent="0.25">
      <c r="A433">
        <v>45447</v>
      </c>
      <c r="B433" t="s">
        <v>370</v>
      </c>
      <c r="C433">
        <v>-34.65</v>
      </c>
      <c r="D433">
        <v>25342.76</v>
      </c>
    </row>
    <row r="434" spans="1:4" x14ac:dyDescent="0.25">
      <c r="A434">
        <v>45447</v>
      </c>
      <c r="B434" t="s">
        <v>371</v>
      </c>
      <c r="C434">
        <v>-1</v>
      </c>
      <c r="D434">
        <v>25341.759999999998</v>
      </c>
    </row>
    <row r="435" spans="1:4" x14ac:dyDescent="0.25">
      <c r="A435">
        <v>45449</v>
      </c>
      <c r="B435" t="s">
        <v>372</v>
      </c>
      <c r="C435">
        <v>-6.36</v>
      </c>
      <c r="D435">
        <v>25335.4</v>
      </c>
    </row>
    <row r="436" spans="1:4" x14ac:dyDescent="0.25">
      <c r="A436">
        <v>45450</v>
      </c>
      <c r="B436" t="s">
        <v>308</v>
      </c>
      <c r="C436">
        <v>99</v>
      </c>
      <c r="D436">
        <v>25434.400000000001</v>
      </c>
    </row>
    <row r="437" spans="1:4" x14ac:dyDescent="0.25">
      <c r="A437">
        <v>45450</v>
      </c>
      <c r="B437" t="s">
        <v>373</v>
      </c>
      <c r="C437">
        <v>-126.56</v>
      </c>
      <c r="D437">
        <v>25307.84</v>
      </c>
    </row>
    <row r="438" spans="1:4" x14ac:dyDescent="0.25">
      <c r="A438">
        <v>45453</v>
      </c>
      <c r="B438" t="s">
        <v>374</v>
      </c>
      <c r="C438">
        <v>13535</v>
      </c>
      <c r="D438">
        <v>38842.839999999997</v>
      </c>
    </row>
    <row r="439" spans="1:4" x14ac:dyDescent="0.25">
      <c r="A439">
        <v>45453</v>
      </c>
      <c r="B439" t="s">
        <v>308</v>
      </c>
      <c r="C439">
        <v>596</v>
      </c>
      <c r="D439">
        <v>39438.839999999997</v>
      </c>
    </row>
    <row r="440" spans="1:4" x14ac:dyDescent="0.25">
      <c r="A440">
        <v>45453</v>
      </c>
      <c r="B440" t="s">
        <v>22</v>
      </c>
      <c r="C440">
        <v>327</v>
      </c>
      <c r="D440">
        <v>39765.839999999997</v>
      </c>
    </row>
    <row r="441" spans="1:4" x14ac:dyDescent="0.25">
      <c r="A441">
        <v>45453</v>
      </c>
      <c r="B441" t="s">
        <v>375</v>
      </c>
      <c r="C441">
        <v>-55.86</v>
      </c>
      <c r="D441">
        <v>39709.980000000003</v>
      </c>
    </row>
    <row r="442" spans="1:4" x14ac:dyDescent="0.25">
      <c r="A442">
        <v>45453</v>
      </c>
      <c r="B442" t="s">
        <v>376</v>
      </c>
      <c r="C442">
        <v>-44.17</v>
      </c>
      <c r="D442">
        <v>39665.81</v>
      </c>
    </row>
    <row r="443" spans="1:4" x14ac:dyDescent="0.25">
      <c r="A443">
        <v>45453</v>
      </c>
      <c r="B443" t="s">
        <v>44</v>
      </c>
      <c r="C443">
        <v>-126.43</v>
      </c>
      <c r="D443">
        <v>39539.379999999997</v>
      </c>
    </row>
    <row r="444" spans="1:4" x14ac:dyDescent="0.25">
      <c r="A444">
        <v>45454</v>
      </c>
      <c r="B444" t="s">
        <v>110</v>
      </c>
      <c r="C444">
        <v>-50</v>
      </c>
      <c r="D444">
        <v>39489.379999999997</v>
      </c>
    </row>
    <row r="445" spans="1:4" x14ac:dyDescent="0.25">
      <c r="A445">
        <v>45455</v>
      </c>
      <c r="B445" t="s">
        <v>308</v>
      </c>
      <c r="C445">
        <v>8140</v>
      </c>
      <c r="D445">
        <v>47629.38</v>
      </c>
    </row>
    <row r="446" spans="1:4" x14ac:dyDescent="0.25">
      <c r="A446">
        <v>45456</v>
      </c>
      <c r="B446" t="s">
        <v>377</v>
      </c>
      <c r="C446">
        <v>-27.08</v>
      </c>
      <c r="D446">
        <v>47602.3</v>
      </c>
    </row>
    <row r="447" spans="1:4" x14ac:dyDescent="0.25">
      <c r="A447">
        <v>45456</v>
      </c>
      <c r="B447" t="s">
        <v>378</v>
      </c>
      <c r="C447">
        <v>-2722.64</v>
      </c>
      <c r="D447">
        <v>44879.66</v>
      </c>
    </row>
    <row r="448" spans="1:4" x14ac:dyDescent="0.25">
      <c r="A448">
        <v>45456</v>
      </c>
      <c r="B448" t="s">
        <v>379</v>
      </c>
      <c r="C448">
        <v>-1484.4</v>
      </c>
      <c r="D448">
        <v>43395.26</v>
      </c>
    </row>
    <row r="449" spans="1:4" x14ac:dyDescent="0.25">
      <c r="A449">
        <v>45456</v>
      </c>
      <c r="B449" t="s">
        <v>380</v>
      </c>
      <c r="C449">
        <v>-18897.11</v>
      </c>
      <c r="D449">
        <v>24498.15</v>
      </c>
    </row>
    <row r="450" spans="1:4" x14ac:dyDescent="0.25">
      <c r="A450">
        <v>45456</v>
      </c>
      <c r="B450" t="s">
        <v>381</v>
      </c>
      <c r="C450">
        <v>-3748.21</v>
      </c>
      <c r="D450">
        <v>20749.939999999999</v>
      </c>
    </row>
    <row r="451" spans="1:4" x14ac:dyDescent="0.25">
      <c r="A451">
        <v>45457</v>
      </c>
      <c r="B451" t="s">
        <v>308</v>
      </c>
      <c r="C451">
        <v>300</v>
      </c>
      <c r="D451">
        <v>21049.94</v>
      </c>
    </row>
    <row r="452" spans="1:4" x14ac:dyDescent="0.25">
      <c r="A452">
        <v>45457</v>
      </c>
      <c r="B452" t="s">
        <v>382</v>
      </c>
      <c r="C452">
        <v>-753.4</v>
      </c>
      <c r="D452">
        <v>20296.54</v>
      </c>
    </row>
    <row r="453" spans="1:4" x14ac:dyDescent="0.25">
      <c r="A453">
        <v>45457</v>
      </c>
      <c r="B453" t="s">
        <v>383</v>
      </c>
      <c r="C453">
        <v>-342</v>
      </c>
      <c r="D453">
        <v>19954.54</v>
      </c>
    </row>
    <row r="454" spans="1:4" x14ac:dyDescent="0.25">
      <c r="A454">
        <v>45457</v>
      </c>
      <c r="B454" t="s">
        <v>384</v>
      </c>
      <c r="C454">
        <v>-98.99</v>
      </c>
      <c r="D454">
        <v>19855.55</v>
      </c>
    </row>
    <row r="455" spans="1:4" x14ac:dyDescent="0.25">
      <c r="A455">
        <v>45457</v>
      </c>
      <c r="B455" t="s">
        <v>385</v>
      </c>
      <c r="C455">
        <v>-14</v>
      </c>
      <c r="D455">
        <v>19841.55</v>
      </c>
    </row>
    <row r="456" spans="1:4" x14ac:dyDescent="0.25">
      <c r="A456">
        <v>45460</v>
      </c>
      <c r="B456" t="s">
        <v>386</v>
      </c>
      <c r="C456">
        <v>15156</v>
      </c>
      <c r="D456">
        <v>34997.550000000003</v>
      </c>
    </row>
    <row r="457" spans="1:4" x14ac:dyDescent="0.25">
      <c r="A457">
        <v>45460</v>
      </c>
      <c r="B457" t="s">
        <v>387</v>
      </c>
      <c r="C457">
        <v>-98.09</v>
      </c>
      <c r="D457">
        <v>34899.46</v>
      </c>
    </row>
    <row r="458" spans="1:4" x14ac:dyDescent="0.25">
      <c r="A458">
        <v>45460</v>
      </c>
      <c r="B458" t="s">
        <v>388</v>
      </c>
      <c r="C458">
        <v>-500</v>
      </c>
      <c r="D458">
        <v>34399.46</v>
      </c>
    </row>
    <row r="459" spans="1:4" x14ac:dyDescent="0.25">
      <c r="A459">
        <v>45460</v>
      </c>
      <c r="B459" t="s">
        <v>389</v>
      </c>
      <c r="C459">
        <v>-1261.74</v>
      </c>
      <c r="D459">
        <v>33137.72</v>
      </c>
    </row>
    <row r="460" spans="1:4" x14ac:dyDescent="0.25">
      <c r="A460">
        <v>45461</v>
      </c>
      <c r="B460" t="s">
        <v>308</v>
      </c>
      <c r="C460">
        <v>102.2</v>
      </c>
      <c r="D460">
        <v>33239.919999999998</v>
      </c>
    </row>
    <row r="461" spans="1:4" x14ac:dyDescent="0.25">
      <c r="A461">
        <v>45461</v>
      </c>
      <c r="B461" t="s">
        <v>390</v>
      </c>
      <c r="C461">
        <v>-544.13</v>
      </c>
      <c r="D461">
        <v>32695.79</v>
      </c>
    </row>
    <row r="462" spans="1:4" x14ac:dyDescent="0.25">
      <c r="A462">
        <v>45461</v>
      </c>
      <c r="B462" t="s">
        <v>391</v>
      </c>
      <c r="C462">
        <v>-52.96</v>
      </c>
      <c r="D462">
        <v>32642.83</v>
      </c>
    </row>
    <row r="463" spans="1:4" x14ac:dyDescent="0.25">
      <c r="A463">
        <v>45463</v>
      </c>
      <c r="B463" t="s">
        <v>392</v>
      </c>
      <c r="C463">
        <v>23500</v>
      </c>
      <c r="D463">
        <v>56142.83</v>
      </c>
    </row>
    <row r="464" spans="1:4" x14ac:dyDescent="0.25">
      <c r="A464">
        <v>45463</v>
      </c>
      <c r="B464" t="s">
        <v>393</v>
      </c>
      <c r="C464">
        <v>-249.37</v>
      </c>
      <c r="D464">
        <v>55893.46</v>
      </c>
    </row>
    <row r="465" spans="1:4" x14ac:dyDescent="0.25">
      <c r="A465">
        <v>45463</v>
      </c>
      <c r="B465" t="s">
        <v>394</v>
      </c>
      <c r="C465">
        <v>-67.86</v>
      </c>
      <c r="D465">
        <v>55825.599999999999</v>
      </c>
    </row>
    <row r="466" spans="1:4" x14ac:dyDescent="0.25">
      <c r="A466">
        <v>45463</v>
      </c>
      <c r="B466" t="s">
        <v>395</v>
      </c>
      <c r="C466">
        <v>-2700</v>
      </c>
      <c r="D466">
        <v>53125.599999999999</v>
      </c>
    </row>
    <row r="467" spans="1:4" x14ac:dyDescent="0.25">
      <c r="A467">
        <v>45467</v>
      </c>
      <c r="B467" t="s">
        <v>396</v>
      </c>
      <c r="C467">
        <v>12091</v>
      </c>
      <c r="D467">
        <v>65216.6</v>
      </c>
    </row>
    <row r="468" spans="1:4" x14ac:dyDescent="0.25">
      <c r="A468">
        <v>45467</v>
      </c>
      <c r="B468" t="s">
        <v>308</v>
      </c>
      <c r="C468">
        <v>10041.86</v>
      </c>
      <c r="D468">
        <v>75258.460000000006</v>
      </c>
    </row>
    <row r="469" spans="1:4" x14ac:dyDescent="0.25">
      <c r="A469">
        <v>45467</v>
      </c>
      <c r="B469" t="s">
        <v>397</v>
      </c>
      <c r="C469">
        <v>-500</v>
      </c>
      <c r="D469">
        <v>74758.460000000006</v>
      </c>
    </row>
    <row r="470" spans="1:4" x14ac:dyDescent="0.25">
      <c r="A470">
        <v>45468</v>
      </c>
      <c r="B470" t="s">
        <v>110</v>
      </c>
      <c r="C470">
        <v>-50</v>
      </c>
      <c r="D470">
        <v>74708.460000000006</v>
      </c>
    </row>
    <row r="471" spans="1:4" x14ac:dyDescent="0.25">
      <c r="A471">
        <v>45469</v>
      </c>
      <c r="B471" t="s">
        <v>308</v>
      </c>
      <c r="C471">
        <v>12146</v>
      </c>
      <c r="D471">
        <v>86854.46</v>
      </c>
    </row>
    <row r="472" spans="1:4" x14ac:dyDescent="0.25">
      <c r="A472">
        <v>45469</v>
      </c>
      <c r="B472" t="s">
        <v>398</v>
      </c>
      <c r="C472">
        <v>-542.44000000000005</v>
      </c>
      <c r="D472">
        <v>86312.02</v>
      </c>
    </row>
    <row r="473" spans="1:4" x14ac:dyDescent="0.25">
      <c r="A473">
        <v>45469</v>
      </c>
      <c r="B473" t="s">
        <v>399</v>
      </c>
      <c r="C473">
        <v>-509.35</v>
      </c>
      <c r="D473">
        <v>85802.67</v>
      </c>
    </row>
    <row r="474" spans="1:4" x14ac:dyDescent="0.25">
      <c r="A474">
        <v>45470</v>
      </c>
      <c r="B474" t="s">
        <v>400</v>
      </c>
      <c r="C474">
        <v>-5405.5</v>
      </c>
      <c r="D474">
        <v>80397.17</v>
      </c>
    </row>
    <row r="475" spans="1:4" x14ac:dyDescent="0.25">
      <c r="A475">
        <v>45470</v>
      </c>
      <c r="B475" t="s">
        <v>401</v>
      </c>
      <c r="C475">
        <v>-1478</v>
      </c>
      <c r="D475">
        <v>78919.17</v>
      </c>
    </row>
    <row r="476" spans="1:4" x14ac:dyDescent="0.25">
      <c r="A476">
        <v>45470</v>
      </c>
      <c r="B476" t="s">
        <v>402</v>
      </c>
      <c r="C476">
        <v>-495.82</v>
      </c>
      <c r="D476">
        <v>78423.350000000006</v>
      </c>
    </row>
    <row r="477" spans="1:4" x14ac:dyDescent="0.25">
      <c r="A477">
        <v>45470</v>
      </c>
      <c r="B477" t="s">
        <v>403</v>
      </c>
      <c r="C477">
        <v>-14.99</v>
      </c>
      <c r="D477">
        <v>78408.36</v>
      </c>
    </row>
    <row r="478" spans="1:4" x14ac:dyDescent="0.25">
      <c r="A478">
        <v>45470</v>
      </c>
      <c r="B478" t="s">
        <v>404</v>
      </c>
      <c r="C478">
        <v>-18358</v>
      </c>
      <c r="D478">
        <v>60050.36</v>
      </c>
    </row>
    <row r="479" spans="1:4" x14ac:dyDescent="0.25">
      <c r="A479">
        <v>45470</v>
      </c>
      <c r="B479" t="s">
        <v>405</v>
      </c>
      <c r="C479">
        <v>-3471.15</v>
      </c>
      <c r="D479">
        <v>56579.21</v>
      </c>
    </row>
    <row r="480" spans="1:4" x14ac:dyDescent="0.25">
      <c r="A480">
        <v>45470</v>
      </c>
      <c r="B480" t="s">
        <v>406</v>
      </c>
      <c r="C480">
        <v>-19</v>
      </c>
      <c r="D480">
        <v>56560.21</v>
      </c>
    </row>
    <row r="481" spans="1:4" x14ac:dyDescent="0.25">
      <c r="A481">
        <v>45471</v>
      </c>
      <c r="B481" t="s">
        <v>22</v>
      </c>
      <c r="C481">
        <v>10480.200000000001</v>
      </c>
      <c r="D481">
        <v>67040.41</v>
      </c>
    </row>
    <row r="482" spans="1:4" x14ac:dyDescent="0.25">
      <c r="A482">
        <v>45471</v>
      </c>
      <c r="B482" t="s">
        <v>407</v>
      </c>
      <c r="C482">
        <v>-186.62</v>
      </c>
      <c r="D482">
        <v>66853.789999999994</v>
      </c>
    </row>
    <row r="483" spans="1:4" x14ac:dyDescent="0.25">
      <c r="A483">
        <v>45471</v>
      </c>
      <c r="B483" t="s">
        <v>408</v>
      </c>
      <c r="C483">
        <v>-147.69</v>
      </c>
      <c r="D483">
        <v>66706.100000000006</v>
      </c>
    </row>
    <row r="484" spans="1:4" x14ac:dyDescent="0.25">
      <c r="A484">
        <v>45471</v>
      </c>
      <c r="B484" t="s">
        <v>409</v>
      </c>
      <c r="C484">
        <v>-1270.3900000000001</v>
      </c>
      <c r="D484">
        <v>65435.71</v>
      </c>
    </row>
    <row r="485" spans="1:4" x14ac:dyDescent="0.25">
      <c r="A485">
        <v>45471</v>
      </c>
      <c r="B485" t="s">
        <v>410</v>
      </c>
      <c r="C485">
        <v>-130.80000000000001</v>
      </c>
      <c r="D485">
        <v>65304.91</v>
      </c>
    </row>
    <row r="486" spans="1:4" x14ac:dyDescent="0.25">
      <c r="A486">
        <v>45471</v>
      </c>
      <c r="B486" t="s">
        <v>411</v>
      </c>
      <c r="C486">
        <v>-1948.66</v>
      </c>
      <c r="D486">
        <v>63356.25</v>
      </c>
    </row>
    <row r="487" spans="1:4" x14ac:dyDescent="0.25">
      <c r="A487">
        <v>45471</v>
      </c>
      <c r="B487" t="s">
        <v>412</v>
      </c>
      <c r="C487">
        <v>-91.46</v>
      </c>
      <c r="D487">
        <v>63264.79</v>
      </c>
    </row>
    <row r="488" spans="1:4" x14ac:dyDescent="0.25">
      <c r="A488">
        <v>45474</v>
      </c>
      <c r="B488" t="s">
        <v>413</v>
      </c>
      <c r="C488">
        <v>4505</v>
      </c>
      <c r="D488">
        <v>67769.789999999994</v>
      </c>
    </row>
    <row r="489" spans="1:4" x14ac:dyDescent="0.25">
      <c r="A489">
        <v>45474</v>
      </c>
      <c r="B489" t="s">
        <v>414</v>
      </c>
      <c r="C489">
        <v>-114.05</v>
      </c>
      <c r="D489">
        <v>67655.740000000005</v>
      </c>
    </row>
    <row r="490" spans="1:4" x14ac:dyDescent="0.25">
      <c r="A490">
        <v>45474</v>
      </c>
      <c r="B490" t="s">
        <v>415</v>
      </c>
      <c r="C490">
        <v>-31.19</v>
      </c>
      <c r="D490">
        <v>67624.55</v>
      </c>
    </row>
    <row r="491" spans="1:4" x14ac:dyDescent="0.25">
      <c r="A491">
        <v>45474</v>
      </c>
      <c r="B491" t="s">
        <v>416</v>
      </c>
      <c r="C491">
        <v>-4801</v>
      </c>
      <c r="D491">
        <v>62823.55</v>
      </c>
    </row>
    <row r="492" spans="1:4" x14ac:dyDescent="0.25">
      <c r="A492">
        <v>45474</v>
      </c>
      <c r="B492" t="s">
        <v>308</v>
      </c>
      <c r="C492">
        <v>-1151.3699999999999</v>
      </c>
      <c r="D492">
        <v>61672.18</v>
      </c>
    </row>
    <row r="493" spans="1:4" x14ac:dyDescent="0.25">
      <c r="A493">
        <v>45474</v>
      </c>
      <c r="B493" t="s">
        <v>417</v>
      </c>
      <c r="C493">
        <v>-683.04</v>
      </c>
      <c r="D493">
        <v>60989.14</v>
      </c>
    </row>
    <row r="494" spans="1:4" x14ac:dyDescent="0.25">
      <c r="A494">
        <v>45474</v>
      </c>
      <c r="B494" t="s">
        <v>418</v>
      </c>
      <c r="C494">
        <v>-11.02</v>
      </c>
      <c r="D494">
        <v>60978.12</v>
      </c>
    </row>
    <row r="495" spans="1:4" x14ac:dyDescent="0.25">
      <c r="A495">
        <v>45475</v>
      </c>
      <c r="B495" t="s">
        <v>22</v>
      </c>
      <c r="C495">
        <v>12000</v>
      </c>
      <c r="D495">
        <v>72978.12</v>
      </c>
    </row>
    <row r="496" spans="1:4" x14ac:dyDescent="0.25">
      <c r="A496">
        <v>45475</v>
      </c>
      <c r="B496" t="s">
        <v>419</v>
      </c>
      <c r="C496">
        <v>-129.36000000000001</v>
      </c>
      <c r="D496">
        <v>72848.759999999995</v>
      </c>
    </row>
    <row r="497" spans="1:4" x14ac:dyDescent="0.25">
      <c r="A497">
        <v>45475</v>
      </c>
      <c r="B497" t="s">
        <v>420</v>
      </c>
      <c r="C497">
        <v>-251.75</v>
      </c>
      <c r="D497">
        <v>72597.009999999995</v>
      </c>
    </row>
    <row r="498" spans="1:4" x14ac:dyDescent="0.25">
      <c r="A498">
        <v>45475</v>
      </c>
      <c r="B498" t="s">
        <v>421</v>
      </c>
      <c r="C498">
        <v>-22.95</v>
      </c>
      <c r="D498">
        <v>72574.06</v>
      </c>
    </row>
    <row r="499" spans="1:4" x14ac:dyDescent="0.25">
      <c r="A499">
        <v>45475</v>
      </c>
      <c r="B499" t="s">
        <v>422</v>
      </c>
      <c r="C499">
        <v>-498.8</v>
      </c>
      <c r="D499">
        <v>72075.259999999995</v>
      </c>
    </row>
    <row r="500" spans="1:4" x14ac:dyDescent="0.25">
      <c r="A500">
        <v>45475</v>
      </c>
      <c r="B500" t="s">
        <v>423</v>
      </c>
      <c r="C500">
        <v>-119</v>
      </c>
      <c r="D500">
        <v>71956.259999999995</v>
      </c>
    </row>
    <row r="501" spans="1:4" x14ac:dyDescent="0.25">
      <c r="A501">
        <v>45475</v>
      </c>
      <c r="B501" t="s">
        <v>424</v>
      </c>
      <c r="C501">
        <v>-33.299999999999997</v>
      </c>
      <c r="D501">
        <v>71922.960000000006</v>
      </c>
    </row>
    <row r="502" spans="1:4" x14ac:dyDescent="0.25">
      <c r="A502">
        <v>45475</v>
      </c>
      <c r="B502" t="s">
        <v>425</v>
      </c>
      <c r="C502">
        <v>-1</v>
      </c>
      <c r="D502">
        <v>71921.960000000006</v>
      </c>
    </row>
    <row r="503" spans="1:4" x14ac:dyDescent="0.25">
      <c r="A503">
        <v>45478</v>
      </c>
      <c r="B503" t="s">
        <v>426</v>
      </c>
      <c r="C503">
        <v>-250.6</v>
      </c>
      <c r="D503">
        <v>71671.360000000001</v>
      </c>
    </row>
    <row r="504" spans="1:4" x14ac:dyDescent="0.25">
      <c r="A504">
        <v>45478</v>
      </c>
      <c r="B504" t="s">
        <v>427</v>
      </c>
      <c r="C504">
        <v>-6.36</v>
      </c>
      <c r="D504">
        <v>71665</v>
      </c>
    </row>
    <row r="505" spans="1:4" x14ac:dyDescent="0.25">
      <c r="A505">
        <v>45478</v>
      </c>
      <c r="B505" t="s">
        <v>44</v>
      </c>
      <c r="C505">
        <v>-126.43</v>
      </c>
      <c r="D505">
        <v>71538.570000000007</v>
      </c>
    </row>
    <row r="506" spans="1:4" x14ac:dyDescent="0.25">
      <c r="A506">
        <v>45481</v>
      </c>
      <c r="B506" t="s">
        <v>428</v>
      </c>
      <c r="C506">
        <v>13296</v>
      </c>
      <c r="D506">
        <v>84834.57</v>
      </c>
    </row>
    <row r="507" spans="1:4" x14ac:dyDescent="0.25">
      <c r="A507">
        <v>45481</v>
      </c>
      <c r="B507" t="s">
        <v>429</v>
      </c>
      <c r="C507">
        <v>-1971.41</v>
      </c>
      <c r="D507">
        <v>82863.16</v>
      </c>
    </row>
    <row r="508" spans="1:4" x14ac:dyDescent="0.25">
      <c r="A508">
        <v>45481</v>
      </c>
      <c r="B508" t="s">
        <v>430</v>
      </c>
      <c r="C508">
        <v>-55.86</v>
      </c>
      <c r="D508">
        <v>82807.3</v>
      </c>
    </row>
    <row r="509" spans="1:4" x14ac:dyDescent="0.25">
      <c r="A509">
        <v>45482</v>
      </c>
      <c r="B509" t="s">
        <v>431</v>
      </c>
      <c r="C509">
        <v>-500</v>
      </c>
      <c r="D509">
        <v>82307.3</v>
      </c>
    </row>
    <row r="510" spans="1:4" x14ac:dyDescent="0.25">
      <c r="A510">
        <v>45482</v>
      </c>
      <c r="B510" t="s">
        <v>432</v>
      </c>
      <c r="C510">
        <v>-863.55</v>
      </c>
      <c r="D510">
        <v>81443.75</v>
      </c>
    </row>
    <row r="511" spans="1:4" x14ac:dyDescent="0.25">
      <c r="A511">
        <v>45482</v>
      </c>
      <c r="B511" t="s">
        <v>110</v>
      </c>
      <c r="C511">
        <v>-50</v>
      </c>
      <c r="D511">
        <v>81393.75</v>
      </c>
    </row>
    <row r="512" spans="1:4" x14ac:dyDescent="0.25">
      <c r="A512">
        <v>45483</v>
      </c>
      <c r="B512" t="s">
        <v>22</v>
      </c>
      <c r="C512">
        <v>210</v>
      </c>
      <c r="D512">
        <v>81603.75</v>
      </c>
    </row>
    <row r="513" spans="1:4" x14ac:dyDescent="0.25">
      <c r="A513">
        <v>45483</v>
      </c>
      <c r="B513" t="s">
        <v>433</v>
      </c>
      <c r="C513">
        <v>-126.56</v>
      </c>
      <c r="D513">
        <v>81477.19</v>
      </c>
    </row>
    <row r="514" spans="1:4" x14ac:dyDescent="0.25">
      <c r="A514">
        <v>45485</v>
      </c>
      <c r="B514" t="s">
        <v>434</v>
      </c>
      <c r="C514">
        <v>-18433.349999999999</v>
      </c>
      <c r="D514">
        <v>63043.839999999997</v>
      </c>
    </row>
    <row r="515" spans="1:4" x14ac:dyDescent="0.25">
      <c r="A515">
        <v>45485</v>
      </c>
      <c r="B515" t="s">
        <v>435</v>
      </c>
      <c r="C515">
        <v>-3761.56</v>
      </c>
      <c r="D515">
        <v>59282.28</v>
      </c>
    </row>
    <row r="516" spans="1:4" x14ac:dyDescent="0.25">
      <c r="A516">
        <v>45485</v>
      </c>
      <c r="B516" t="s">
        <v>436</v>
      </c>
      <c r="C516">
        <v>-342</v>
      </c>
      <c r="D516">
        <v>58940.28</v>
      </c>
    </row>
    <row r="517" spans="1:4" x14ac:dyDescent="0.25">
      <c r="A517">
        <v>45485</v>
      </c>
      <c r="B517" t="s">
        <v>437</v>
      </c>
      <c r="C517">
        <v>-122.65</v>
      </c>
      <c r="D517">
        <v>58817.63</v>
      </c>
    </row>
    <row r="518" spans="1:4" x14ac:dyDescent="0.25">
      <c r="A518">
        <v>45488</v>
      </c>
      <c r="B518" t="s">
        <v>438</v>
      </c>
      <c r="C518">
        <v>5439</v>
      </c>
      <c r="D518">
        <v>64256.63</v>
      </c>
    </row>
    <row r="519" spans="1:4" x14ac:dyDescent="0.25">
      <c r="A519">
        <v>45488</v>
      </c>
      <c r="B519" t="s">
        <v>439</v>
      </c>
      <c r="C519">
        <v>-500</v>
      </c>
      <c r="D519">
        <v>63756.63</v>
      </c>
    </row>
    <row r="520" spans="1:4" x14ac:dyDescent="0.25">
      <c r="A520">
        <v>45488</v>
      </c>
      <c r="B520" t="s">
        <v>440</v>
      </c>
      <c r="C520">
        <v>-202.94</v>
      </c>
      <c r="D520">
        <v>63553.69</v>
      </c>
    </row>
    <row r="521" spans="1:4" x14ac:dyDescent="0.25">
      <c r="A521">
        <v>45488</v>
      </c>
      <c r="B521" t="s">
        <v>441</v>
      </c>
      <c r="C521">
        <v>-20</v>
      </c>
      <c r="D521">
        <v>63533.69</v>
      </c>
    </row>
    <row r="522" spans="1:4" x14ac:dyDescent="0.25">
      <c r="A522">
        <v>45489</v>
      </c>
      <c r="B522" t="s">
        <v>442</v>
      </c>
      <c r="C522">
        <v>-10325.25</v>
      </c>
      <c r="D522">
        <v>53208.44</v>
      </c>
    </row>
    <row r="523" spans="1:4" x14ac:dyDescent="0.25">
      <c r="A523">
        <v>45489</v>
      </c>
      <c r="B523" t="s">
        <v>443</v>
      </c>
      <c r="C523">
        <v>-952.02</v>
      </c>
      <c r="D523">
        <v>52256.42</v>
      </c>
    </row>
    <row r="524" spans="1:4" x14ac:dyDescent="0.25">
      <c r="A524">
        <v>45489</v>
      </c>
      <c r="B524" t="s">
        <v>444</v>
      </c>
      <c r="C524">
        <v>-979.48</v>
      </c>
      <c r="D524">
        <v>51276.94</v>
      </c>
    </row>
    <row r="525" spans="1:4" x14ac:dyDescent="0.25">
      <c r="A525">
        <v>45489</v>
      </c>
      <c r="B525" t="s">
        <v>445</v>
      </c>
      <c r="C525">
        <v>-52.96</v>
      </c>
      <c r="D525">
        <v>51223.98</v>
      </c>
    </row>
    <row r="526" spans="1:4" x14ac:dyDescent="0.25">
      <c r="A526">
        <v>45491</v>
      </c>
      <c r="B526" t="s">
        <v>446</v>
      </c>
      <c r="C526">
        <v>-82.6</v>
      </c>
      <c r="D526">
        <v>51141.38</v>
      </c>
    </row>
    <row r="527" spans="1:4" x14ac:dyDescent="0.25">
      <c r="A527">
        <v>45491</v>
      </c>
      <c r="B527" t="s">
        <v>447</v>
      </c>
      <c r="C527">
        <v>-181.98</v>
      </c>
      <c r="D527">
        <v>50959.4</v>
      </c>
    </row>
    <row r="528" spans="1:4" x14ac:dyDescent="0.25">
      <c r="A528">
        <v>45491</v>
      </c>
      <c r="B528" t="s">
        <v>448</v>
      </c>
      <c r="C528">
        <v>-206.41</v>
      </c>
      <c r="D528">
        <v>50752.99</v>
      </c>
    </row>
    <row r="529" spans="1:4" x14ac:dyDescent="0.25">
      <c r="A529">
        <v>45492</v>
      </c>
      <c r="B529" t="s">
        <v>449</v>
      </c>
      <c r="C529">
        <v>-1640.36</v>
      </c>
      <c r="D529">
        <v>49112.63</v>
      </c>
    </row>
    <row r="530" spans="1:4" x14ac:dyDescent="0.25">
      <c r="A530">
        <v>45495</v>
      </c>
      <c r="B530" t="s">
        <v>450</v>
      </c>
      <c r="C530">
        <v>2979</v>
      </c>
      <c r="D530">
        <v>52091.63</v>
      </c>
    </row>
    <row r="531" spans="1:4" x14ac:dyDescent="0.25">
      <c r="A531">
        <v>45495</v>
      </c>
      <c r="B531" t="s">
        <v>451</v>
      </c>
      <c r="C531">
        <v>-249.37</v>
      </c>
      <c r="D531">
        <v>51842.26</v>
      </c>
    </row>
    <row r="532" spans="1:4" x14ac:dyDescent="0.25">
      <c r="A532">
        <v>45495</v>
      </c>
      <c r="B532" t="s">
        <v>452</v>
      </c>
      <c r="C532">
        <v>-58.78</v>
      </c>
      <c r="D532">
        <v>51783.48</v>
      </c>
    </row>
    <row r="533" spans="1:4" x14ac:dyDescent="0.25">
      <c r="A533">
        <v>45495</v>
      </c>
      <c r="B533" t="s">
        <v>453</v>
      </c>
      <c r="C533">
        <v>-1524.69</v>
      </c>
      <c r="D533">
        <v>50258.79</v>
      </c>
    </row>
    <row r="534" spans="1:4" x14ac:dyDescent="0.25">
      <c r="A534">
        <v>45495</v>
      </c>
      <c r="B534" t="s">
        <v>454</v>
      </c>
      <c r="C534">
        <v>-353.7</v>
      </c>
      <c r="D534">
        <v>49905.09</v>
      </c>
    </row>
    <row r="535" spans="1:4" x14ac:dyDescent="0.25">
      <c r="A535">
        <v>45496</v>
      </c>
      <c r="B535" t="s">
        <v>455</v>
      </c>
      <c r="C535">
        <v>-656.69</v>
      </c>
      <c r="D535">
        <v>49248.4</v>
      </c>
    </row>
    <row r="536" spans="1:4" x14ac:dyDescent="0.25">
      <c r="A536">
        <v>45496</v>
      </c>
      <c r="B536" t="s">
        <v>456</v>
      </c>
      <c r="C536">
        <v>-50.9</v>
      </c>
      <c r="D536">
        <v>49197.5</v>
      </c>
    </row>
    <row r="537" spans="1:4" x14ac:dyDescent="0.25">
      <c r="A537">
        <v>45496</v>
      </c>
      <c r="B537" t="s">
        <v>457</v>
      </c>
      <c r="C537">
        <v>-167</v>
      </c>
      <c r="D537">
        <v>49030.5</v>
      </c>
    </row>
    <row r="538" spans="1:4" x14ac:dyDescent="0.25">
      <c r="A538">
        <v>45496</v>
      </c>
      <c r="B538" t="s">
        <v>110</v>
      </c>
      <c r="C538">
        <v>-50</v>
      </c>
      <c r="D538">
        <v>48980.5</v>
      </c>
    </row>
    <row r="539" spans="1:4" x14ac:dyDescent="0.25">
      <c r="A539">
        <v>45497</v>
      </c>
      <c r="B539" t="s">
        <v>458</v>
      </c>
      <c r="C539">
        <v>-153.83000000000001</v>
      </c>
      <c r="D539">
        <v>48826.67</v>
      </c>
    </row>
    <row r="540" spans="1:4" x14ac:dyDescent="0.25">
      <c r="A540">
        <v>45498</v>
      </c>
      <c r="B540" t="s">
        <v>459</v>
      </c>
      <c r="C540">
        <v>-4106.3900000000003</v>
      </c>
      <c r="D540">
        <v>44720.28</v>
      </c>
    </row>
    <row r="541" spans="1:4" x14ac:dyDescent="0.25">
      <c r="A541">
        <v>45498</v>
      </c>
      <c r="B541" t="s">
        <v>460</v>
      </c>
      <c r="C541">
        <v>-53.35</v>
      </c>
      <c r="D541">
        <v>44666.93</v>
      </c>
    </row>
    <row r="542" spans="1:4" x14ac:dyDescent="0.25">
      <c r="A542">
        <v>45498</v>
      </c>
      <c r="B542" t="s">
        <v>461</v>
      </c>
      <c r="C542">
        <v>-19269.150000000001</v>
      </c>
      <c r="D542">
        <v>25397.78</v>
      </c>
    </row>
    <row r="543" spans="1:4" x14ac:dyDescent="0.25">
      <c r="A543">
        <v>45498</v>
      </c>
      <c r="B543" t="s">
        <v>462</v>
      </c>
      <c r="C543">
        <v>-3725.19</v>
      </c>
      <c r="D543">
        <v>21672.59</v>
      </c>
    </row>
    <row r="544" spans="1:4" x14ac:dyDescent="0.25">
      <c r="A544">
        <v>45499</v>
      </c>
      <c r="B544" t="s">
        <v>463</v>
      </c>
      <c r="C544">
        <v>-35</v>
      </c>
      <c r="D544">
        <v>21637.59</v>
      </c>
    </row>
    <row r="545" spans="1:4" x14ac:dyDescent="0.25">
      <c r="A545">
        <v>45499</v>
      </c>
      <c r="B545" t="s">
        <v>464</v>
      </c>
      <c r="C545">
        <v>-165.36</v>
      </c>
      <c r="D545">
        <v>21472.23</v>
      </c>
    </row>
    <row r="546" spans="1:4" x14ac:dyDescent="0.25">
      <c r="A546">
        <v>45499</v>
      </c>
      <c r="B546" t="s">
        <v>465</v>
      </c>
      <c r="C546">
        <v>-1479.22</v>
      </c>
      <c r="D546">
        <v>19993.009999999998</v>
      </c>
    </row>
    <row r="547" spans="1:4" x14ac:dyDescent="0.25">
      <c r="A547">
        <v>45499</v>
      </c>
      <c r="B547" t="s">
        <v>466</v>
      </c>
      <c r="C547">
        <v>-536.41999999999996</v>
      </c>
      <c r="D547">
        <v>19456.59</v>
      </c>
    </row>
    <row r="548" spans="1:4" x14ac:dyDescent="0.25">
      <c r="A548">
        <v>45499</v>
      </c>
      <c r="B548" t="s">
        <v>467</v>
      </c>
      <c r="C548">
        <v>-92.54</v>
      </c>
      <c r="D548">
        <v>19364.05</v>
      </c>
    </row>
    <row r="549" spans="1:4" x14ac:dyDescent="0.25">
      <c r="A549">
        <v>45499</v>
      </c>
      <c r="B549" t="s">
        <v>468</v>
      </c>
      <c r="C549">
        <v>-19</v>
      </c>
      <c r="D549">
        <v>19345.05</v>
      </c>
    </row>
    <row r="550" spans="1:4" x14ac:dyDescent="0.25">
      <c r="A550">
        <v>45502</v>
      </c>
      <c r="B550" t="s">
        <v>469</v>
      </c>
      <c r="C550">
        <v>11311</v>
      </c>
      <c r="D550">
        <v>30656.05</v>
      </c>
    </row>
    <row r="551" spans="1:4" x14ac:dyDescent="0.25">
      <c r="A551">
        <v>45502</v>
      </c>
      <c r="B551" t="s">
        <v>308</v>
      </c>
      <c r="C551">
        <v>130</v>
      </c>
      <c r="D551">
        <v>30786.05</v>
      </c>
    </row>
    <row r="552" spans="1:4" x14ac:dyDescent="0.25">
      <c r="A552">
        <v>45502</v>
      </c>
      <c r="B552" t="s">
        <v>470</v>
      </c>
      <c r="C552">
        <v>-147.69</v>
      </c>
      <c r="D552">
        <v>30638.36</v>
      </c>
    </row>
    <row r="553" spans="1:4" x14ac:dyDescent="0.25">
      <c r="A553">
        <v>45502</v>
      </c>
      <c r="B553" t="s">
        <v>471</v>
      </c>
      <c r="C553">
        <v>-14.99</v>
      </c>
      <c r="D553">
        <v>30623.37</v>
      </c>
    </row>
    <row r="554" spans="1:4" x14ac:dyDescent="0.25">
      <c r="A554">
        <v>45502</v>
      </c>
      <c r="B554" t="s">
        <v>472</v>
      </c>
      <c r="C554">
        <v>-78.680000000000007</v>
      </c>
      <c r="D554">
        <v>30544.69</v>
      </c>
    </row>
    <row r="555" spans="1:4" x14ac:dyDescent="0.25">
      <c r="A555">
        <v>45502</v>
      </c>
      <c r="B555" t="s">
        <v>473</v>
      </c>
      <c r="C555">
        <v>-18.05</v>
      </c>
      <c r="D555">
        <v>30526.639999999999</v>
      </c>
    </row>
    <row r="556" spans="1:4" x14ac:dyDescent="0.25">
      <c r="A556">
        <v>45502</v>
      </c>
      <c r="B556" t="s">
        <v>474</v>
      </c>
      <c r="C556">
        <v>-53.1</v>
      </c>
      <c r="D556">
        <v>30473.54</v>
      </c>
    </row>
    <row r="557" spans="1:4" x14ac:dyDescent="0.25">
      <c r="A557">
        <v>45502</v>
      </c>
      <c r="B557" t="s">
        <v>475</v>
      </c>
      <c r="C557">
        <v>-7.28</v>
      </c>
      <c r="D557">
        <v>30466.26</v>
      </c>
    </row>
    <row r="558" spans="1:4" x14ac:dyDescent="0.25">
      <c r="A558">
        <v>45503</v>
      </c>
      <c r="B558" t="s">
        <v>308</v>
      </c>
      <c r="C558">
        <v>1472</v>
      </c>
      <c r="D558">
        <v>31938.26</v>
      </c>
    </row>
    <row r="559" spans="1:4" x14ac:dyDescent="0.25">
      <c r="A559">
        <v>45503</v>
      </c>
      <c r="B559" t="s">
        <v>476</v>
      </c>
      <c r="C559">
        <v>-193.1</v>
      </c>
      <c r="D559">
        <v>31745.16</v>
      </c>
    </row>
    <row r="560" spans="1:4" x14ac:dyDescent="0.25">
      <c r="A560">
        <v>45503</v>
      </c>
      <c r="B560" t="s">
        <v>477</v>
      </c>
      <c r="C560">
        <v>-252.09</v>
      </c>
      <c r="D560">
        <v>31493.07</v>
      </c>
    </row>
    <row r="561" spans="1:4" x14ac:dyDescent="0.25">
      <c r="A561">
        <v>45504</v>
      </c>
      <c r="B561" t="s">
        <v>478</v>
      </c>
      <c r="C561">
        <v>-16.12</v>
      </c>
      <c r="D561">
        <v>31476.95</v>
      </c>
    </row>
    <row r="562" spans="1:4" x14ac:dyDescent="0.25">
      <c r="A562">
        <v>45504</v>
      </c>
      <c r="B562" t="s">
        <v>479</v>
      </c>
      <c r="C562">
        <v>-159.69999999999999</v>
      </c>
      <c r="D562">
        <v>31317.25</v>
      </c>
    </row>
    <row r="563" spans="1:4" x14ac:dyDescent="0.25">
      <c r="A563">
        <v>45505</v>
      </c>
      <c r="B563" t="s">
        <v>22</v>
      </c>
      <c r="C563">
        <v>9800</v>
      </c>
      <c r="D563">
        <v>41117.25</v>
      </c>
    </row>
    <row r="564" spans="1:4" x14ac:dyDescent="0.25">
      <c r="A564">
        <v>45505</v>
      </c>
      <c r="B564" t="s">
        <v>22</v>
      </c>
      <c r="C564">
        <v>5693</v>
      </c>
      <c r="D564">
        <v>46810.25</v>
      </c>
    </row>
    <row r="565" spans="1:4" x14ac:dyDescent="0.25">
      <c r="A565">
        <v>45505</v>
      </c>
      <c r="B565" t="s">
        <v>22</v>
      </c>
      <c r="C565">
        <v>520.16999999999996</v>
      </c>
      <c r="D565">
        <v>47330.42</v>
      </c>
    </row>
    <row r="566" spans="1:4" x14ac:dyDescent="0.25">
      <c r="A566">
        <v>45505</v>
      </c>
      <c r="B566" t="s">
        <v>22</v>
      </c>
      <c r="C566">
        <v>164.82</v>
      </c>
      <c r="D566">
        <v>47495.24</v>
      </c>
    </row>
    <row r="567" spans="1:4" x14ac:dyDescent="0.25">
      <c r="A567">
        <v>45505</v>
      </c>
      <c r="B567" t="s">
        <v>22</v>
      </c>
      <c r="C567">
        <v>164.1</v>
      </c>
      <c r="D567">
        <v>47659.34</v>
      </c>
    </row>
    <row r="568" spans="1:4" x14ac:dyDescent="0.25">
      <c r="A568">
        <v>45505</v>
      </c>
      <c r="B568" t="s">
        <v>22</v>
      </c>
      <c r="C568">
        <v>139</v>
      </c>
      <c r="D568">
        <v>47798.34</v>
      </c>
    </row>
    <row r="569" spans="1:4" x14ac:dyDescent="0.25">
      <c r="A569">
        <v>45505</v>
      </c>
      <c r="B569" t="s">
        <v>22</v>
      </c>
      <c r="C569">
        <v>79.66</v>
      </c>
      <c r="D569">
        <v>47878</v>
      </c>
    </row>
    <row r="570" spans="1:4" x14ac:dyDescent="0.25">
      <c r="A570">
        <v>45505</v>
      </c>
      <c r="B570" t="s">
        <v>22</v>
      </c>
      <c r="C570">
        <v>52.06</v>
      </c>
      <c r="D570">
        <v>47930.06</v>
      </c>
    </row>
    <row r="571" spans="1:4" x14ac:dyDescent="0.25">
      <c r="A571">
        <v>45505</v>
      </c>
      <c r="B571" t="s">
        <v>480</v>
      </c>
      <c r="C571">
        <v>-278.60000000000002</v>
      </c>
      <c r="D571">
        <v>47651.46</v>
      </c>
    </row>
    <row r="572" spans="1:4" x14ac:dyDescent="0.25">
      <c r="A572">
        <v>45505</v>
      </c>
      <c r="B572" t="s">
        <v>481</v>
      </c>
      <c r="C572">
        <v>-4801</v>
      </c>
      <c r="D572">
        <v>42850.46</v>
      </c>
    </row>
    <row r="573" spans="1:4" x14ac:dyDescent="0.25">
      <c r="A573">
        <v>45505</v>
      </c>
      <c r="B573" t="s">
        <v>308</v>
      </c>
      <c r="C573">
        <v>-550.58000000000004</v>
      </c>
      <c r="D573">
        <v>42299.88</v>
      </c>
    </row>
    <row r="574" spans="1:4" x14ac:dyDescent="0.25">
      <c r="A574">
        <v>45506</v>
      </c>
      <c r="B574" t="s">
        <v>188</v>
      </c>
      <c r="C574">
        <v>4182.8500000000004</v>
      </c>
      <c r="D574">
        <v>46482.73</v>
      </c>
    </row>
    <row r="575" spans="1:4" x14ac:dyDescent="0.25">
      <c r="A575">
        <v>45506</v>
      </c>
      <c r="B575" t="s">
        <v>482</v>
      </c>
      <c r="C575">
        <v>-251.75</v>
      </c>
      <c r="D575">
        <v>46230.98</v>
      </c>
    </row>
    <row r="576" spans="1:4" x14ac:dyDescent="0.25">
      <c r="A576">
        <v>45506</v>
      </c>
      <c r="B576" t="s">
        <v>483</v>
      </c>
      <c r="C576">
        <v>-301.27</v>
      </c>
      <c r="D576">
        <v>45929.71</v>
      </c>
    </row>
    <row r="577" spans="1:4" x14ac:dyDescent="0.25">
      <c r="A577">
        <v>45506</v>
      </c>
      <c r="B577" t="s">
        <v>484</v>
      </c>
      <c r="C577">
        <v>-22.95</v>
      </c>
      <c r="D577">
        <v>45906.76</v>
      </c>
    </row>
    <row r="578" spans="1:4" x14ac:dyDescent="0.25">
      <c r="A578">
        <v>45506</v>
      </c>
      <c r="B578" t="s">
        <v>485</v>
      </c>
      <c r="C578">
        <v>-159.38</v>
      </c>
      <c r="D578">
        <v>45747.38</v>
      </c>
    </row>
    <row r="579" spans="1:4" x14ac:dyDescent="0.25">
      <c r="A579">
        <v>45506</v>
      </c>
      <c r="B579" t="s">
        <v>486</v>
      </c>
      <c r="C579">
        <v>-61.23</v>
      </c>
      <c r="D579">
        <v>45686.15</v>
      </c>
    </row>
    <row r="580" spans="1:4" x14ac:dyDescent="0.25">
      <c r="A580">
        <v>45506</v>
      </c>
      <c r="B580" t="s">
        <v>487</v>
      </c>
      <c r="C580">
        <v>-1598</v>
      </c>
      <c r="D580">
        <v>44088.15</v>
      </c>
    </row>
    <row r="581" spans="1:4" x14ac:dyDescent="0.25">
      <c r="A581">
        <v>45506</v>
      </c>
      <c r="B581" t="s">
        <v>488</v>
      </c>
      <c r="C581">
        <v>-33</v>
      </c>
      <c r="D581">
        <v>44055.15</v>
      </c>
    </row>
    <row r="582" spans="1:4" x14ac:dyDescent="0.25">
      <c r="A582">
        <v>45506</v>
      </c>
      <c r="B582" t="s">
        <v>489</v>
      </c>
      <c r="C582">
        <v>-1</v>
      </c>
      <c r="D582">
        <v>44054.15</v>
      </c>
    </row>
    <row r="583" spans="1:4" x14ac:dyDescent="0.25">
      <c r="A583">
        <v>45509</v>
      </c>
      <c r="B583" t="s">
        <v>490</v>
      </c>
      <c r="C583">
        <v>5090</v>
      </c>
      <c r="D583">
        <v>49144.15</v>
      </c>
    </row>
    <row r="584" spans="1:4" x14ac:dyDescent="0.25">
      <c r="A584">
        <v>45509</v>
      </c>
      <c r="B584" t="s">
        <v>308</v>
      </c>
      <c r="C584">
        <v>125</v>
      </c>
      <c r="D584">
        <v>49269.15</v>
      </c>
    </row>
    <row r="585" spans="1:4" x14ac:dyDescent="0.25">
      <c r="A585">
        <v>45509</v>
      </c>
      <c r="B585" t="s">
        <v>491</v>
      </c>
      <c r="C585">
        <v>-31.86</v>
      </c>
      <c r="D585">
        <v>49237.29</v>
      </c>
    </row>
    <row r="586" spans="1:4" x14ac:dyDescent="0.25">
      <c r="A586">
        <v>45509</v>
      </c>
      <c r="B586" t="s">
        <v>492</v>
      </c>
      <c r="C586">
        <v>-6460.35</v>
      </c>
      <c r="D586">
        <v>42776.94</v>
      </c>
    </row>
    <row r="587" spans="1:4" x14ac:dyDescent="0.25">
      <c r="A587">
        <v>45509</v>
      </c>
      <c r="B587" t="s">
        <v>493</v>
      </c>
      <c r="C587">
        <v>-718.34</v>
      </c>
      <c r="D587">
        <v>42058.6</v>
      </c>
    </row>
    <row r="588" spans="1:4" x14ac:dyDescent="0.25">
      <c r="A588">
        <v>45509</v>
      </c>
      <c r="B588" t="s">
        <v>494</v>
      </c>
      <c r="C588">
        <v>-6.36</v>
      </c>
      <c r="D588">
        <v>42052.24</v>
      </c>
    </row>
    <row r="589" spans="1:4" x14ac:dyDescent="0.25">
      <c r="A589">
        <v>45509</v>
      </c>
      <c r="B589" t="s">
        <v>495</v>
      </c>
      <c r="C589">
        <v>-250.6</v>
      </c>
      <c r="D589">
        <v>41801.64</v>
      </c>
    </row>
    <row r="590" spans="1:4" x14ac:dyDescent="0.25">
      <c r="A590">
        <v>45510</v>
      </c>
      <c r="B590" t="s">
        <v>496</v>
      </c>
      <c r="C590">
        <v>-118.95</v>
      </c>
      <c r="D590">
        <v>41682.69</v>
      </c>
    </row>
    <row r="591" spans="1:4" x14ac:dyDescent="0.25">
      <c r="A591">
        <v>45510</v>
      </c>
      <c r="B591" t="s">
        <v>110</v>
      </c>
      <c r="C591">
        <v>-50</v>
      </c>
      <c r="D591">
        <v>41632.69</v>
      </c>
    </row>
    <row r="592" spans="1:4" x14ac:dyDescent="0.25">
      <c r="A592">
        <v>45511</v>
      </c>
      <c r="B592" t="s">
        <v>497</v>
      </c>
      <c r="C592">
        <v>-218.07</v>
      </c>
      <c r="D592">
        <v>41414.620000000003</v>
      </c>
    </row>
    <row r="593" spans="1:4" x14ac:dyDescent="0.25">
      <c r="A593">
        <v>45511</v>
      </c>
      <c r="B593" t="s">
        <v>498</v>
      </c>
      <c r="C593">
        <v>-126.56</v>
      </c>
      <c r="D593">
        <v>41288.06</v>
      </c>
    </row>
    <row r="594" spans="1:4" x14ac:dyDescent="0.25">
      <c r="A594">
        <v>45512</v>
      </c>
      <c r="B594" t="s">
        <v>499</v>
      </c>
      <c r="C594">
        <v>-42.05</v>
      </c>
      <c r="D594">
        <v>41246.01</v>
      </c>
    </row>
    <row r="595" spans="1:4" x14ac:dyDescent="0.25">
      <c r="A595">
        <v>45512</v>
      </c>
      <c r="B595" t="s">
        <v>500</v>
      </c>
      <c r="C595">
        <v>-25818.32</v>
      </c>
      <c r="D595">
        <v>15427.69</v>
      </c>
    </row>
    <row r="596" spans="1:4" x14ac:dyDescent="0.25">
      <c r="A596">
        <v>45512</v>
      </c>
      <c r="B596" t="s">
        <v>501</v>
      </c>
      <c r="C596">
        <v>-7496.54</v>
      </c>
      <c r="D596">
        <v>7931.15</v>
      </c>
    </row>
    <row r="597" spans="1:4" x14ac:dyDescent="0.25">
      <c r="A597">
        <v>45513</v>
      </c>
      <c r="B597" t="s">
        <v>502</v>
      </c>
      <c r="C597">
        <v>9000</v>
      </c>
      <c r="D597">
        <v>16931.150000000001</v>
      </c>
    </row>
    <row r="598" spans="1:4" x14ac:dyDescent="0.25">
      <c r="A598">
        <v>45513</v>
      </c>
      <c r="B598" t="s">
        <v>503</v>
      </c>
      <c r="C598">
        <v>-212.5</v>
      </c>
      <c r="D598">
        <v>16718.650000000001</v>
      </c>
    </row>
    <row r="599" spans="1:4" x14ac:dyDescent="0.25">
      <c r="A599">
        <v>45513</v>
      </c>
      <c r="B599" t="s">
        <v>504</v>
      </c>
      <c r="C599">
        <v>-166.49</v>
      </c>
      <c r="D599">
        <v>16552.16</v>
      </c>
    </row>
    <row r="600" spans="1:4" x14ac:dyDescent="0.25">
      <c r="A600">
        <v>45513</v>
      </c>
      <c r="B600" t="s">
        <v>505</v>
      </c>
      <c r="C600">
        <v>-20</v>
      </c>
      <c r="D600">
        <v>16532.16</v>
      </c>
    </row>
    <row r="601" spans="1:4" x14ac:dyDescent="0.25">
      <c r="A601">
        <v>45516</v>
      </c>
      <c r="B601" t="s">
        <v>506</v>
      </c>
      <c r="C601">
        <v>10336</v>
      </c>
      <c r="D601">
        <v>26868.16</v>
      </c>
    </row>
    <row r="602" spans="1:4" x14ac:dyDescent="0.25">
      <c r="A602">
        <v>45516</v>
      </c>
      <c r="B602" t="s">
        <v>308</v>
      </c>
      <c r="C602">
        <v>3111</v>
      </c>
      <c r="D602">
        <v>29979.16</v>
      </c>
    </row>
    <row r="603" spans="1:4" x14ac:dyDescent="0.25">
      <c r="A603">
        <v>45516</v>
      </c>
      <c r="B603" t="s">
        <v>308</v>
      </c>
      <c r="C603">
        <v>50</v>
      </c>
      <c r="D603">
        <v>30029.16</v>
      </c>
    </row>
    <row r="604" spans="1:4" x14ac:dyDescent="0.25">
      <c r="A604">
        <v>45516</v>
      </c>
      <c r="B604" t="s">
        <v>507</v>
      </c>
      <c r="C604">
        <v>-4106.3900000000003</v>
      </c>
      <c r="D604">
        <v>25922.77</v>
      </c>
    </row>
    <row r="605" spans="1:4" x14ac:dyDescent="0.25">
      <c r="A605">
        <v>45516</v>
      </c>
      <c r="B605" t="s">
        <v>44</v>
      </c>
      <c r="C605">
        <v>-126.43</v>
      </c>
      <c r="D605">
        <v>25796.34</v>
      </c>
    </row>
    <row r="606" spans="1:4" x14ac:dyDescent="0.25">
      <c r="A606">
        <v>45517</v>
      </c>
      <c r="B606" t="s">
        <v>508</v>
      </c>
      <c r="C606">
        <v>10000</v>
      </c>
      <c r="D606">
        <v>35796.339999999997</v>
      </c>
    </row>
    <row r="607" spans="1:4" x14ac:dyDescent="0.25">
      <c r="A607">
        <v>45517</v>
      </c>
      <c r="B607" t="s">
        <v>308</v>
      </c>
      <c r="C607">
        <v>5748</v>
      </c>
      <c r="D607">
        <v>41544.339999999997</v>
      </c>
    </row>
    <row r="608" spans="1:4" x14ac:dyDescent="0.25">
      <c r="A608">
        <v>45517</v>
      </c>
      <c r="B608" t="s">
        <v>509</v>
      </c>
      <c r="C608">
        <v>-94.92</v>
      </c>
      <c r="D608">
        <v>41449.42</v>
      </c>
    </row>
    <row r="609" spans="1:4" x14ac:dyDescent="0.25">
      <c r="A609">
        <v>45519</v>
      </c>
      <c r="B609" t="s">
        <v>510</v>
      </c>
      <c r="C609">
        <v>-376.47</v>
      </c>
      <c r="D609">
        <v>41072.949999999997</v>
      </c>
    </row>
    <row r="610" spans="1:4" x14ac:dyDescent="0.25">
      <c r="A610">
        <v>45520</v>
      </c>
      <c r="B610" t="s">
        <v>511</v>
      </c>
      <c r="C610">
        <v>15928.5</v>
      </c>
      <c r="D610">
        <v>57001.45</v>
      </c>
    </row>
    <row r="611" spans="1:4" x14ac:dyDescent="0.25">
      <c r="A611">
        <v>45520</v>
      </c>
      <c r="B611" t="s">
        <v>308</v>
      </c>
      <c r="C611">
        <v>2109</v>
      </c>
      <c r="D611">
        <v>59110.45</v>
      </c>
    </row>
    <row r="612" spans="1:4" x14ac:dyDescent="0.25">
      <c r="A612">
        <v>45520</v>
      </c>
      <c r="B612" t="s">
        <v>512</v>
      </c>
      <c r="C612">
        <v>-354</v>
      </c>
      <c r="D612">
        <v>58756.45</v>
      </c>
    </row>
    <row r="613" spans="1:4" x14ac:dyDescent="0.25">
      <c r="A613">
        <v>45520</v>
      </c>
      <c r="B613" t="s">
        <v>513</v>
      </c>
      <c r="C613">
        <v>-52.96</v>
      </c>
      <c r="D613">
        <v>58703.49</v>
      </c>
    </row>
    <row r="614" spans="1:4" x14ac:dyDescent="0.25">
      <c r="A614">
        <v>45523</v>
      </c>
      <c r="B614" t="s">
        <v>514</v>
      </c>
      <c r="C614">
        <v>11944</v>
      </c>
      <c r="D614">
        <v>70647.490000000005</v>
      </c>
    </row>
    <row r="615" spans="1:4" x14ac:dyDescent="0.25">
      <c r="A615">
        <v>45523</v>
      </c>
      <c r="B615" t="s">
        <v>308</v>
      </c>
      <c r="C615">
        <v>1275</v>
      </c>
      <c r="D615">
        <v>71922.490000000005</v>
      </c>
    </row>
    <row r="616" spans="1:4" x14ac:dyDescent="0.25">
      <c r="A616">
        <v>45523</v>
      </c>
      <c r="B616" t="s">
        <v>515</v>
      </c>
      <c r="C616">
        <v>-159.51</v>
      </c>
      <c r="D616">
        <v>71762.98</v>
      </c>
    </row>
    <row r="617" spans="1:4" x14ac:dyDescent="0.25">
      <c r="A617">
        <v>45523</v>
      </c>
      <c r="B617" t="s">
        <v>516</v>
      </c>
      <c r="C617">
        <v>-127.59</v>
      </c>
      <c r="D617">
        <v>71635.39</v>
      </c>
    </row>
    <row r="618" spans="1:4" x14ac:dyDescent="0.25">
      <c r="A618">
        <v>45523</v>
      </c>
      <c r="B618" t="s">
        <v>517</v>
      </c>
      <c r="C618">
        <v>-21.26</v>
      </c>
      <c r="D618">
        <v>71614.13</v>
      </c>
    </row>
    <row r="619" spans="1:4" x14ac:dyDescent="0.25">
      <c r="A619">
        <v>45523</v>
      </c>
      <c r="B619" t="s">
        <v>518</v>
      </c>
      <c r="C619">
        <v>-465.56</v>
      </c>
      <c r="D619">
        <v>71148.570000000007</v>
      </c>
    </row>
    <row r="620" spans="1:4" x14ac:dyDescent="0.25">
      <c r="A620">
        <v>45523</v>
      </c>
      <c r="B620" t="s">
        <v>519</v>
      </c>
      <c r="C620">
        <v>-249.37</v>
      </c>
      <c r="D620">
        <v>70899.199999999997</v>
      </c>
    </row>
    <row r="621" spans="1:4" x14ac:dyDescent="0.25">
      <c r="A621">
        <v>45523</v>
      </c>
      <c r="B621" t="s">
        <v>520</v>
      </c>
      <c r="C621">
        <v>-9000</v>
      </c>
      <c r="D621">
        <v>61899.199999999997</v>
      </c>
    </row>
    <row r="622" spans="1:4" x14ac:dyDescent="0.25">
      <c r="A622">
        <v>45523</v>
      </c>
      <c r="B622" t="s">
        <v>110</v>
      </c>
      <c r="C622">
        <v>-50</v>
      </c>
      <c r="D622">
        <v>61849.2</v>
      </c>
    </row>
    <row r="623" spans="1:4" x14ac:dyDescent="0.25">
      <c r="A623">
        <v>45524</v>
      </c>
      <c r="B623" t="s">
        <v>521</v>
      </c>
      <c r="C623">
        <v>-1512.13</v>
      </c>
      <c r="D623">
        <v>60337.07</v>
      </c>
    </row>
    <row r="624" spans="1:4" x14ac:dyDescent="0.25">
      <c r="A624">
        <v>45525</v>
      </c>
      <c r="B624" t="s">
        <v>22</v>
      </c>
      <c r="C624">
        <v>18127.96</v>
      </c>
      <c r="D624">
        <v>78465.03</v>
      </c>
    </row>
    <row r="625" spans="1:4" x14ac:dyDescent="0.25">
      <c r="A625">
        <v>45526</v>
      </c>
      <c r="B625" t="s">
        <v>522</v>
      </c>
      <c r="C625">
        <v>-165.88</v>
      </c>
      <c r="D625">
        <v>78299.149999999994</v>
      </c>
    </row>
    <row r="626" spans="1:4" x14ac:dyDescent="0.25">
      <c r="A626">
        <v>45526</v>
      </c>
      <c r="B626" t="s">
        <v>523</v>
      </c>
      <c r="C626">
        <v>-24000</v>
      </c>
      <c r="D626">
        <v>54299.15</v>
      </c>
    </row>
    <row r="627" spans="1:4" x14ac:dyDescent="0.25">
      <c r="A627">
        <v>45527</v>
      </c>
      <c r="B627" t="s">
        <v>308</v>
      </c>
      <c r="C627">
        <v>3110</v>
      </c>
      <c r="D627">
        <v>57409.15</v>
      </c>
    </row>
    <row r="628" spans="1:4" x14ac:dyDescent="0.25">
      <c r="A628">
        <v>45527</v>
      </c>
      <c r="B628" t="s">
        <v>524</v>
      </c>
      <c r="C628">
        <v>-743.95</v>
      </c>
      <c r="D628">
        <v>56665.2</v>
      </c>
    </row>
    <row r="629" spans="1:4" x14ac:dyDescent="0.25">
      <c r="A629">
        <v>45527</v>
      </c>
      <c r="B629" t="s">
        <v>525</v>
      </c>
      <c r="C629">
        <v>-1062.97</v>
      </c>
      <c r="D629">
        <v>55602.23</v>
      </c>
    </row>
    <row r="630" spans="1:4" x14ac:dyDescent="0.25">
      <c r="A630">
        <v>45527</v>
      </c>
      <c r="B630" t="s">
        <v>526</v>
      </c>
      <c r="C630">
        <v>-24937.71</v>
      </c>
      <c r="D630">
        <v>30664.52</v>
      </c>
    </row>
    <row r="631" spans="1:4" x14ac:dyDescent="0.25">
      <c r="A631">
        <v>45527</v>
      </c>
      <c r="B631" t="s">
        <v>527</v>
      </c>
      <c r="C631">
        <v>-6620.72</v>
      </c>
      <c r="D631">
        <v>24043.8</v>
      </c>
    </row>
    <row r="632" spans="1:4" x14ac:dyDescent="0.25">
      <c r="A632">
        <v>45527</v>
      </c>
      <c r="B632" t="s">
        <v>528</v>
      </c>
      <c r="C632">
        <v>-169.81</v>
      </c>
      <c r="D632">
        <v>23873.99</v>
      </c>
    </row>
    <row r="633" spans="1:4" x14ac:dyDescent="0.25">
      <c r="A633">
        <v>45530</v>
      </c>
      <c r="B633" t="s">
        <v>308</v>
      </c>
      <c r="C633">
        <v>13858.88</v>
      </c>
      <c r="D633">
        <v>37732.870000000003</v>
      </c>
    </row>
    <row r="634" spans="1:4" x14ac:dyDescent="0.25">
      <c r="A634">
        <v>45530</v>
      </c>
      <c r="B634" t="s">
        <v>529</v>
      </c>
      <c r="C634">
        <v>6178</v>
      </c>
      <c r="D634">
        <v>43910.87</v>
      </c>
    </row>
    <row r="635" spans="1:4" x14ac:dyDescent="0.25">
      <c r="A635">
        <v>45530</v>
      </c>
      <c r="B635" t="s">
        <v>530</v>
      </c>
      <c r="C635">
        <v>-2512</v>
      </c>
      <c r="D635">
        <v>41398.870000000003</v>
      </c>
    </row>
    <row r="636" spans="1:4" x14ac:dyDescent="0.25">
      <c r="A636">
        <v>45530</v>
      </c>
      <c r="B636" t="s">
        <v>531</v>
      </c>
      <c r="C636">
        <v>-4648.54</v>
      </c>
      <c r="D636">
        <v>36750.33</v>
      </c>
    </row>
    <row r="637" spans="1:4" x14ac:dyDescent="0.25">
      <c r="A637">
        <v>45530</v>
      </c>
      <c r="B637" t="s">
        <v>532</v>
      </c>
      <c r="C637">
        <v>-20</v>
      </c>
      <c r="D637">
        <v>36730.33</v>
      </c>
    </row>
    <row r="638" spans="1:4" x14ac:dyDescent="0.25">
      <c r="A638">
        <v>45531</v>
      </c>
      <c r="B638" t="s">
        <v>308</v>
      </c>
      <c r="C638">
        <v>128</v>
      </c>
      <c r="D638">
        <v>36858.33</v>
      </c>
    </row>
    <row r="639" spans="1:4" x14ac:dyDescent="0.25">
      <c r="A639">
        <v>45531</v>
      </c>
      <c r="B639" t="s">
        <v>533</v>
      </c>
      <c r="C639">
        <v>-535.49</v>
      </c>
      <c r="D639">
        <v>36322.839999999997</v>
      </c>
    </row>
    <row r="640" spans="1:4" x14ac:dyDescent="0.25">
      <c r="A640">
        <v>45531</v>
      </c>
      <c r="B640" t="s">
        <v>534</v>
      </c>
      <c r="C640">
        <v>-163.78</v>
      </c>
      <c r="D640">
        <v>36159.06</v>
      </c>
    </row>
    <row r="641" spans="1:4" x14ac:dyDescent="0.25">
      <c r="A641">
        <v>45531</v>
      </c>
      <c r="B641" t="s">
        <v>535</v>
      </c>
      <c r="C641">
        <v>-401.63</v>
      </c>
      <c r="D641">
        <v>35757.43</v>
      </c>
    </row>
    <row r="642" spans="1:4" x14ac:dyDescent="0.25">
      <c r="A642">
        <v>45531</v>
      </c>
      <c r="B642" t="s">
        <v>536</v>
      </c>
      <c r="C642">
        <v>-492.36</v>
      </c>
      <c r="D642">
        <v>35265.07</v>
      </c>
    </row>
    <row r="643" spans="1:4" x14ac:dyDescent="0.25">
      <c r="A643">
        <v>45531</v>
      </c>
      <c r="B643" t="s">
        <v>537</v>
      </c>
      <c r="C643">
        <v>-14.99</v>
      </c>
      <c r="D643">
        <v>35250.080000000002</v>
      </c>
    </row>
    <row r="644" spans="1:4" x14ac:dyDescent="0.25">
      <c r="A644">
        <v>45532</v>
      </c>
      <c r="B644" t="s">
        <v>538</v>
      </c>
      <c r="C644">
        <v>-147.69</v>
      </c>
      <c r="D644">
        <v>35102.39</v>
      </c>
    </row>
    <row r="645" spans="1:4" x14ac:dyDescent="0.25">
      <c r="A645">
        <v>45532</v>
      </c>
      <c r="B645" t="s">
        <v>539</v>
      </c>
      <c r="C645">
        <v>-1775.67</v>
      </c>
      <c r="D645">
        <v>33326.720000000001</v>
      </c>
    </row>
    <row r="646" spans="1:4" x14ac:dyDescent="0.25">
      <c r="A646">
        <v>45532</v>
      </c>
      <c r="B646" t="s">
        <v>540</v>
      </c>
      <c r="C646">
        <v>-20.16</v>
      </c>
      <c r="D646">
        <v>33306.559999999998</v>
      </c>
    </row>
    <row r="647" spans="1:4" x14ac:dyDescent="0.25">
      <c r="A647">
        <v>45532</v>
      </c>
      <c r="B647" t="s">
        <v>541</v>
      </c>
      <c r="C647">
        <v>-30.45</v>
      </c>
      <c r="D647">
        <v>33276.11</v>
      </c>
    </row>
    <row r="648" spans="1:4" x14ac:dyDescent="0.25">
      <c r="A648">
        <v>45533</v>
      </c>
      <c r="B648" t="s">
        <v>308</v>
      </c>
      <c r="C648">
        <v>11099</v>
      </c>
      <c r="D648">
        <v>44375.11</v>
      </c>
    </row>
    <row r="649" spans="1:4" x14ac:dyDescent="0.25">
      <c r="A649">
        <v>45533</v>
      </c>
      <c r="B649" t="s">
        <v>542</v>
      </c>
      <c r="C649">
        <v>-147.76</v>
      </c>
      <c r="D649">
        <v>44227.35</v>
      </c>
    </row>
    <row r="650" spans="1:4" x14ac:dyDescent="0.25">
      <c r="A650">
        <v>45533</v>
      </c>
      <c r="B650" t="s">
        <v>543</v>
      </c>
      <c r="C650">
        <v>-749.78</v>
      </c>
      <c r="D650">
        <v>43477.57</v>
      </c>
    </row>
    <row r="651" spans="1:4" x14ac:dyDescent="0.25">
      <c r="A651">
        <v>45533</v>
      </c>
      <c r="B651" t="s">
        <v>544</v>
      </c>
      <c r="C651">
        <v>-10780</v>
      </c>
      <c r="D651">
        <v>32697.57</v>
      </c>
    </row>
    <row r="652" spans="1:4" x14ac:dyDescent="0.25">
      <c r="A652">
        <v>45534</v>
      </c>
      <c r="B652" t="s">
        <v>545</v>
      </c>
      <c r="C652">
        <v>-1347.12</v>
      </c>
      <c r="D652">
        <v>31350.45</v>
      </c>
    </row>
    <row r="653" spans="1:4" x14ac:dyDescent="0.25">
      <c r="A653">
        <v>45538</v>
      </c>
      <c r="B653" t="s">
        <v>546</v>
      </c>
      <c r="C653">
        <v>40000</v>
      </c>
      <c r="D653">
        <v>71350.45</v>
      </c>
    </row>
    <row r="654" spans="1:4" x14ac:dyDescent="0.25">
      <c r="A654">
        <v>45538</v>
      </c>
      <c r="B654" t="s">
        <v>547</v>
      </c>
      <c r="C654">
        <v>5218.57</v>
      </c>
      <c r="D654">
        <v>76569.02</v>
      </c>
    </row>
    <row r="655" spans="1:4" x14ac:dyDescent="0.25">
      <c r="A655">
        <v>45538</v>
      </c>
      <c r="B655" t="s">
        <v>548</v>
      </c>
      <c r="C655">
        <v>249.52</v>
      </c>
      <c r="D655">
        <v>76818.539999999994</v>
      </c>
    </row>
    <row r="656" spans="1:4" x14ac:dyDescent="0.25">
      <c r="A656">
        <v>45538</v>
      </c>
      <c r="B656" t="s">
        <v>549</v>
      </c>
      <c r="C656">
        <v>-35.07</v>
      </c>
      <c r="D656">
        <v>76783.47</v>
      </c>
    </row>
    <row r="657" spans="1:4" x14ac:dyDescent="0.25">
      <c r="A657">
        <v>45538</v>
      </c>
      <c r="B657" t="s">
        <v>550</v>
      </c>
      <c r="C657">
        <v>-49.99</v>
      </c>
      <c r="D657">
        <v>76733.48</v>
      </c>
    </row>
    <row r="658" spans="1:4" x14ac:dyDescent="0.25">
      <c r="A658">
        <v>45538</v>
      </c>
      <c r="B658" t="s">
        <v>551</v>
      </c>
      <c r="C658">
        <v>-182.11</v>
      </c>
      <c r="D658">
        <v>76551.37</v>
      </c>
    </row>
    <row r="659" spans="1:4" x14ac:dyDescent="0.25">
      <c r="A659">
        <v>45538</v>
      </c>
      <c r="B659" t="s">
        <v>552</v>
      </c>
      <c r="C659">
        <v>-34.950000000000003</v>
      </c>
      <c r="D659">
        <v>76516.42</v>
      </c>
    </row>
    <row r="660" spans="1:4" x14ac:dyDescent="0.25">
      <c r="A660">
        <v>45538</v>
      </c>
      <c r="B660" t="s">
        <v>553</v>
      </c>
      <c r="C660">
        <v>-133.94</v>
      </c>
      <c r="D660">
        <v>76382.48</v>
      </c>
    </row>
    <row r="661" spans="1:4" x14ac:dyDescent="0.25">
      <c r="A661">
        <v>45538</v>
      </c>
      <c r="B661" t="s">
        <v>554</v>
      </c>
      <c r="C661">
        <v>-49.71</v>
      </c>
      <c r="D661">
        <v>76332.77</v>
      </c>
    </row>
    <row r="662" spans="1:4" x14ac:dyDescent="0.25">
      <c r="A662">
        <v>45538</v>
      </c>
      <c r="B662" t="s">
        <v>555</v>
      </c>
      <c r="C662">
        <v>-274.13</v>
      </c>
      <c r="D662">
        <v>76058.64</v>
      </c>
    </row>
    <row r="663" spans="1:4" x14ac:dyDescent="0.25">
      <c r="A663">
        <v>45538</v>
      </c>
      <c r="B663" t="s">
        <v>556</v>
      </c>
      <c r="C663">
        <v>-4801</v>
      </c>
      <c r="D663">
        <v>71257.64</v>
      </c>
    </row>
    <row r="664" spans="1:4" x14ac:dyDescent="0.25">
      <c r="A664">
        <v>45538</v>
      </c>
      <c r="B664" t="s">
        <v>557</v>
      </c>
      <c r="C664">
        <v>-105.29</v>
      </c>
      <c r="D664">
        <v>71152.350000000006</v>
      </c>
    </row>
    <row r="665" spans="1:4" x14ac:dyDescent="0.25">
      <c r="A665">
        <v>45538</v>
      </c>
      <c r="B665" t="s">
        <v>308</v>
      </c>
      <c r="C665">
        <v>-691.83</v>
      </c>
      <c r="D665">
        <v>70460.52</v>
      </c>
    </row>
    <row r="666" spans="1:4" x14ac:dyDescent="0.25">
      <c r="A666">
        <v>45538</v>
      </c>
      <c r="B666" t="s">
        <v>308</v>
      </c>
      <c r="C666">
        <v>-226.7</v>
      </c>
      <c r="D666">
        <v>70233.820000000007</v>
      </c>
    </row>
    <row r="667" spans="1:4" x14ac:dyDescent="0.25">
      <c r="A667">
        <v>45538</v>
      </c>
      <c r="B667" t="s">
        <v>558</v>
      </c>
      <c r="C667">
        <v>-33</v>
      </c>
      <c r="D667">
        <v>70200.820000000007</v>
      </c>
    </row>
    <row r="668" spans="1:4" x14ac:dyDescent="0.25">
      <c r="A668">
        <v>45538</v>
      </c>
      <c r="B668" t="s">
        <v>559</v>
      </c>
      <c r="C668">
        <v>-10</v>
      </c>
      <c r="D668">
        <v>70190.820000000007</v>
      </c>
    </row>
    <row r="669" spans="1:4" x14ac:dyDescent="0.25">
      <c r="A669">
        <v>45539</v>
      </c>
      <c r="B669" t="s">
        <v>308</v>
      </c>
      <c r="C669">
        <v>517</v>
      </c>
      <c r="D669">
        <v>70707.820000000007</v>
      </c>
    </row>
    <row r="670" spans="1:4" x14ac:dyDescent="0.25">
      <c r="A670">
        <v>45539</v>
      </c>
      <c r="B670" t="s">
        <v>560</v>
      </c>
      <c r="C670">
        <v>-27.55</v>
      </c>
      <c r="D670">
        <v>70680.27</v>
      </c>
    </row>
    <row r="671" spans="1:4" x14ac:dyDescent="0.25">
      <c r="A671">
        <v>45539</v>
      </c>
      <c r="B671" t="s">
        <v>561</v>
      </c>
      <c r="C671">
        <v>-250.6</v>
      </c>
      <c r="D671">
        <v>70429.67</v>
      </c>
    </row>
    <row r="672" spans="1:4" x14ac:dyDescent="0.25">
      <c r="A672">
        <v>45539</v>
      </c>
      <c r="B672" t="s">
        <v>562</v>
      </c>
      <c r="C672">
        <v>-251.75</v>
      </c>
      <c r="D672">
        <v>70177.919999999998</v>
      </c>
    </row>
    <row r="673" spans="1:4" x14ac:dyDescent="0.25">
      <c r="A673">
        <v>45539</v>
      </c>
      <c r="B673" t="s">
        <v>110</v>
      </c>
      <c r="C673">
        <v>-50</v>
      </c>
      <c r="D673">
        <v>70127.92</v>
      </c>
    </row>
    <row r="674" spans="1:4" x14ac:dyDescent="0.25">
      <c r="A674">
        <v>45539</v>
      </c>
      <c r="B674" t="s">
        <v>563</v>
      </c>
      <c r="C674">
        <v>-1</v>
      </c>
      <c r="D674">
        <v>70126.92</v>
      </c>
    </row>
    <row r="675" spans="1:4" x14ac:dyDescent="0.25">
      <c r="A675">
        <v>45540</v>
      </c>
      <c r="B675" t="s">
        <v>308</v>
      </c>
      <c r="C675">
        <v>12268</v>
      </c>
      <c r="D675">
        <v>82394.92</v>
      </c>
    </row>
    <row r="676" spans="1:4" x14ac:dyDescent="0.25">
      <c r="A676">
        <v>45540</v>
      </c>
      <c r="B676" t="s">
        <v>564</v>
      </c>
      <c r="C676">
        <v>-2115.81</v>
      </c>
      <c r="D676">
        <v>80279.11</v>
      </c>
    </row>
    <row r="677" spans="1:4" x14ac:dyDescent="0.25">
      <c r="A677">
        <v>45540</v>
      </c>
      <c r="B677" t="s">
        <v>565</v>
      </c>
      <c r="C677">
        <v>-100</v>
      </c>
      <c r="D677">
        <v>80179.11</v>
      </c>
    </row>
    <row r="678" spans="1:4" x14ac:dyDescent="0.25">
      <c r="A678">
        <v>45541</v>
      </c>
      <c r="B678" t="s">
        <v>308</v>
      </c>
      <c r="C678">
        <v>99</v>
      </c>
      <c r="D678">
        <v>80278.11</v>
      </c>
    </row>
    <row r="679" spans="1:4" x14ac:dyDescent="0.25">
      <c r="A679">
        <v>45541</v>
      </c>
      <c r="B679" t="s">
        <v>566</v>
      </c>
      <c r="C679">
        <v>-35.46</v>
      </c>
      <c r="D679">
        <v>80242.649999999994</v>
      </c>
    </row>
    <row r="680" spans="1:4" x14ac:dyDescent="0.25">
      <c r="A680">
        <v>45541</v>
      </c>
      <c r="B680" t="s">
        <v>567</v>
      </c>
      <c r="C680">
        <v>-126.56</v>
      </c>
      <c r="D680">
        <v>80116.09</v>
      </c>
    </row>
    <row r="681" spans="1:4" x14ac:dyDescent="0.25">
      <c r="A681">
        <v>45541</v>
      </c>
      <c r="B681" t="s">
        <v>568</v>
      </c>
      <c r="C681">
        <v>-119.14</v>
      </c>
      <c r="D681">
        <v>79996.95</v>
      </c>
    </row>
    <row r="682" spans="1:4" x14ac:dyDescent="0.25">
      <c r="A682">
        <v>45541</v>
      </c>
      <c r="B682" t="s">
        <v>569</v>
      </c>
      <c r="C682">
        <v>-1500</v>
      </c>
      <c r="D682">
        <v>78496.95</v>
      </c>
    </row>
    <row r="683" spans="1:4" x14ac:dyDescent="0.25">
      <c r="A683">
        <v>45541</v>
      </c>
      <c r="B683" t="s">
        <v>570</v>
      </c>
      <c r="C683">
        <v>-23601.119999999999</v>
      </c>
      <c r="D683">
        <v>54895.83</v>
      </c>
    </row>
    <row r="684" spans="1:4" x14ac:dyDescent="0.25">
      <c r="A684">
        <v>45541</v>
      </c>
      <c r="B684" t="s">
        <v>571</v>
      </c>
      <c r="C684">
        <v>-6068.24</v>
      </c>
      <c r="D684">
        <v>48827.59</v>
      </c>
    </row>
    <row r="685" spans="1:4" x14ac:dyDescent="0.25">
      <c r="A685">
        <v>45541</v>
      </c>
      <c r="B685" t="s">
        <v>572</v>
      </c>
      <c r="C685">
        <v>-124.78</v>
      </c>
      <c r="D685">
        <v>48702.81</v>
      </c>
    </row>
    <row r="686" spans="1:4" x14ac:dyDescent="0.25">
      <c r="A686">
        <v>45541</v>
      </c>
      <c r="B686" t="s">
        <v>573</v>
      </c>
      <c r="C686">
        <v>-16</v>
      </c>
      <c r="D686">
        <v>48686.81</v>
      </c>
    </row>
    <row r="687" spans="1:4" x14ac:dyDescent="0.25">
      <c r="A687">
        <v>45541</v>
      </c>
      <c r="B687" t="s">
        <v>574</v>
      </c>
      <c r="C687">
        <v>-1</v>
      </c>
      <c r="D687">
        <v>48685.81</v>
      </c>
    </row>
    <row r="688" spans="1:4" x14ac:dyDescent="0.25">
      <c r="A688">
        <v>45544</v>
      </c>
      <c r="B688" t="s">
        <v>575</v>
      </c>
      <c r="C688">
        <v>19333</v>
      </c>
      <c r="D688">
        <v>68018.81</v>
      </c>
    </row>
    <row r="689" spans="1:4" x14ac:dyDescent="0.25">
      <c r="A689">
        <v>45544</v>
      </c>
      <c r="B689" t="s">
        <v>576</v>
      </c>
      <c r="C689">
        <v>-12.57</v>
      </c>
      <c r="D689">
        <v>68006.240000000005</v>
      </c>
    </row>
    <row r="690" spans="1:4" x14ac:dyDescent="0.25">
      <c r="A690">
        <v>45544</v>
      </c>
      <c r="B690" t="s">
        <v>577</v>
      </c>
      <c r="C690">
        <v>-79</v>
      </c>
      <c r="D690">
        <v>67927.240000000005</v>
      </c>
    </row>
    <row r="691" spans="1:4" x14ac:dyDescent="0.25">
      <c r="A691">
        <v>45544</v>
      </c>
      <c r="B691" t="s">
        <v>578</v>
      </c>
      <c r="C691">
        <v>-42.05</v>
      </c>
      <c r="D691">
        <v>67885.19</v>
      </c>
    </row>
    <row r="692" spans="1:4" x14ac:dyDescent="0.25">
      <c r="A692">
        <v>45544</v>
      </c>
      <c r="B692" t="s">
        <v>579</v>
      </c>
      <c r="C692">
        <v>-48.39</v>
      </c>
      <c r="D692">
        <v>67836.800000000003</v>
      </c>
    </row>
    <row r="693" spans="1:4" x14ac:dyDescent="0.25">
      <c r="A693">
        <v>45544</v>
      </c>
      <c r="B693" t="s">
        <v>44</v>
      </c>
      <c r="C693">
        <v>-126.43</v>
      </c>
      <c r="D693">
        <v>67710.37</v>
      </c>
    </row>
    <row r="694" spans="1:4" x14ac:dyDescent="0.25">
      <c r="A694">
        <v>45545</v>
      </c>
      <c r="B694" t="s">
        <v>308</v>
      </c>
      <c r="C694">
        <v>180</v>
      </c>
      <c r="D694">
        <v>67890.37</v>
      </c>
    </row>
    <row r="695" spans="1:4" x14ac:dyDescent="0.25">
      <c r="A695">
        <v>45545</v>
      </c>
      <c r="B695" t="s">
        <v>580</v>
      </c>
      <c r="C695">
        <v>-383.41</v>
      </c>
      <c r="D695">
        <v>67506.960000000006</v>
      </c>
    </row>
    <row r="696" spans="1:4" x14ac:dyDescent="0.25">
      <c r="A696">
        <v>45546</v>
      </c>
      <c r="B696" t="s">
        <v>308</v>
      </c>
      <c r="C696">
        <v>132.06</v>
      </c>
      <c r="D696">
        <v>67639.02</v>
      </c>
    </row>
    <row r="697" spans="1:4" x14ac:dyDescent="0.25">
      <c r="A697">
        <v>45547</v>
      </c>
      <c r="B697" t="s">
        <v>308</v>
      </c>
      <c r="C697">
        <v>1973</v>
      </c>
      <c r="D697">
        <v>69612.02</v>
      </c>
    </row>
    <row r="698" spans="1:4" x14ac:dyDescent="0.25">
      <c r="A698">
        <v>45547</v>
      </c>
      <c r="B698" t="s">
        <v>581</v>
      </c>
      <c r="C698">
        <v>-2053.2199999999998</v>
      </c>
      <c r="D698">
        <v>67558.8</v>
      </c>
    </row>
    <row r="699" spans="1:4" x14ac:dyDescent="0.25">
      <c r="A699">
        <v>45547</v>
      </c>
      <c r="B699" t="s">
        <v>581</v>
      </c>
      <c r="C699">
        <v>-2053.17</v>
      </c>
      <c r="D699">
        <v>65505.63</v>
      </c>
    </row>
    <row r="700" spans="1:4" x14ac:dyDescent="0.25">
      <c r="A700">
        <v>45547</v>
      </c>
      <c r="B700" t="s">
        <v>582</v>
      </c>
      <c r="C700">
        <v>-397.91</v>
      </c>
      <c r="D700">
        <v>65107.72</v>
      </c>
    </row>
    <row r="701" spans="1:4" x14ac:dyDescent="0.25">
      <c r="A701">
        <v>45548</v>
      </c>
      <c r="B701" t="s">
        <v>308</v>
      </c>
      <c r="C701">
        <v>9746.6</v>
      </c>
      <c r="D701">
        <v>74854.320000000007</v>
      </c>
    </row>
    <row r="702" spans="1:4" x14ac:dyDescent="0.25">
      <c r="A702">
        <v>45548</v>
      </c>
      <c r="B702" t="s">
        <v>583</v>
      </c>
      <c r="C702">
        <v>-35.29</v>
      </c>
      <c r="D702">
        <v>74819.03</v>
      </c>
    </row>
    <row r="703" spans="1:4" x14ac:dyDescent="0.25">
      <c r="A703">
        <v>45548</v>
      </c>
      <c r="B703" t="s">
        <v>584</v>
      </c>
      <c r="C703">
        <v>-913.14</v>
      </c>
      <c r="D703">
        <v>73905.89</v>
      </c>
    </row>
    <row r="704" spans="1:4" x14ac:dyDescent="0.25">
      <c r="A704">
        <v>45548</v>
      </c>
      <c r="B704" t="s">
        <v>585</v>
      </c>
      <c r="C704">
        <v>-370</v>
      </c>
      <c r="D704">
        <v>73535.89</v>
      </c>
    </row>
    <row r="705" spans="1:4" x14ac:dyDescent="0.25">
      <c r="A705">
        <v>45551</v>
      </c>
      <c r="B705" t="s">
        <v>586</v>
      </c>
      <c r="C705">
        <v>13643</v>
      </c>
      <c r="D705">
        <v>87178.89</v>
      </c>
    </row>
    <row r="706" spans="1:4" x14ac:dyDescent="0.25">
      <c r="A706">
        <v>45551</v>
      </c>
      <c r="B706" t="s">
        <v>188</v>
      </c>
      <c r="C706">
        <v>1015.43</v>
      </c>
      <c r="D706">
        <v>88194.32</v>
      </c>
    </row>
    <row r="707" spans="1:4" x14ac:dyDescent="0.25">
      <c r="A707">
        <v>45551</v>
      </c>
      <c r="B707" t="s">
        <v>587</v>
      </c>
      <c r="C707">
        <v>-274.13</v>
      </c>
      <c r="D707">
        <v>87920.19</v>
      </c>
    </row>
    <row r="708" spans="1:4" x14ac:dyDescent="0.25">
      <c r="A708">
        <v>45551</v>
      </c>
      <c r="B708" t="s">
        <v>588</v>
      </c>
      <c r="C708">
        <v>-410.49</v>
      </c>
      <c r="D708">
        <v>87509.7</v>
      </c>
    </row>
    <row r="709" spans="1:4" x14ac:dyDescent="0.25">
      <c r="A709">
        <v>45551</v>
      </c>
      <c r="B709" t="s">
        <v>589</v>
      </c>
      <c r="C709">
        <v>-106.24</v>
      </c>
      <c r="D709">
        <v>87403.46</v>
      </c>
    </row>
    <row r="710" spans="1:4" x14ac:dyDescent="0.25">
      <c r="A710">
        <v>45551</v>
      </c>
      <c r="B710" t="s">
        <v>590</v>
      </c>
      <c r="C710">
        <v>-82.53</v>
      </c>
      <c r="D710">
        <v>87320.93</v>
      </c>
    </row>
    <row r="711" spans="1:4" x14ac:dyDescent="0.25">
      <c r="A711">
        <v>45551</v>
      </c>
      <c r="B711" t="s">
        <v>591</v>
      </c>
      <c r="C711">
        <v>-307.45</v>
      </c>
      <c r="D711">
        <v>87013.48</v>
      </c>
    </row>
    <row r="712" spans="1:4" x14ac:dyDescent="0.25">
      <c r="A712">
        <v>45552</v>
      </c>
      <c r="B712" t="s">
        <v>592</v>
      </c>
      <c r="C712">
        <v>-1200</v>
      </c>
      <c r="D712">
        <v>85813.48</v>
      </c>
    </row>
    <row r="713" spans="1:4" x14ac:dyDescent="0.25">
      <c r="A713">
        <v>45552</v>
      </c>
      <c r="B713" t="s">
        <v>593</v>
      </c>
      <c r="C713">
        <v>-52.93</v>
      </c>
      <c r="D713">
        <v>85760.55</v>
      </c>
    </row>
    <row r="714" spans="1:4" x14ac:dyDescent="0.25">
      <c r="A714">
        <v>45553</v>
      </c>
      <c r="B714" t="s">
        <v>594</v>
      </c>
      <c r="C714">
        <v>-230.29</v>
      </c>
      <c r="D714">
        <v>85530.26</v>
      </c>
    </row>
    <row r="715" spans="1:4" x14ac:dyDescent="0.25">
      <c r="A715">
        <v>45553</v>
      </c>
      <c r="B715" t="s">
        <v>595</v>
      </c>
      <c r="C715">
        <v>-57.1</v>
      </c>
      <c r="D715">
        <v>85473.16</v>
      </c>
    </row>
    <row r="716" spans="1:4" x14ac:dyDescent="0.25">
      <c r="A716">
        <v>45553</v>
      </c>
      <c r="B716" t="s">
        <v>596</v>
      </c>
      <c r="C716">
        <v>-1260.4100000000001</v>
      </c>
      <c r="D716">
        <v>84212.75</v>
      </c>
    </row>
    <row r="717" spans="1:4" x14ac:dyDescent="0.25">
      <c r="A717">
        <v>45553</v>
      </c>
      <c r="B717" t="s">
        <v>597</v>
      </c>
      <c r="C717">
        <v>-456</v>
      </c>
      <c r="D717">
        <v>83756.75</v>
      </c>
    </row>
    <row r="718" spans="1:4" x14ac:dyDescent="0.25">
      <c r="A718">
        <v>45554</v>
      </c>
      <c r="B718" t="s">
        <v>598</v>
      </c>
      <c r="C718">
        <v>3577.74</v>
      </c>
      <c r="D718">
        <v>87334.49</v>
      </c>
    </row>
    <row r="719" spans="1:4" x14ac:dyDescent="0.25">
      <c r="A719">
        <v>45554</v>
      </c>
      <c r="B719" t="s">
        <v>308</v>
      </c>
      <c r="C719">
        <v>2959.14</v>
      </c>
      <c r="D719">
        <v>90293.63</v>
      </c>
    </row>
    <row r="720" spans="1:4" x14ac:dyDescent="0.25">
      <c r="A720">
        <v>45554</v>
      </c>
      <c r="B720" t="s">
        <v>599</v>
      </c>
      <c r="C720">
        <v>-309.95</v>
      </c>
      <c r="D720">
        <v>89983.679999999993</v>
      </c>
    </row>
    <row r="721" spans="1:4" x14ac:dyDescent="0.25">
      <c r="A721">
        <v>45554</v>
      </c>
      <c r="B721" t="s">
        <v>600</v>
      </c>
      <c r="C721">
        <v>-249.37</v>
      </c>
      <c r="D721">
        <v>89734.31</v>
      </c>
    </row>
    <row r="722" spans="1:4" x14ac:dyDescent="0.25">
      <c r="A722">
        <v>45554</v>
      </c>
      <c r="B722" t="s">
        <v>601</v>
      </c>
      <c r="C722">
        <v>-7200</v>
      </c>
      <c r="D722">
        <v>82534.31</v>
      </c>
    </row>
    <row r="723" spans="1:4" x14ac:dyDescent="0.25">
      <c r="A723">
        <v>45555</v>
      </c>
      <c r="B723" t="s">
        <v>188</v>
      </c>
      <c r="C723">
        <v>540.6</v>
      </c>
      <c r="D723">
        <v>83074.91</v>
      </c>
    </row>
    <row r="724" spans="1:4" x14ac:dyDescent="0.25">
      <c r="A724">
        <v>45555</v>
      </c>
      <c r="B724" t="s">
        <v>602</v>
      </c>
      <c r="C724">
        <v>220.14</v>
      </c>
      <c r="D724">
        <v>83295.05</v>
      </c>
    </row>
    <row r="725" spans="1:4" x14ac:dyDescent="0.25">
      <c r="A725">
        <v>45555</v>
      </c>
      <c r="B725" t="s">
        <v>603</v>
      </c>
      <c r="C725">
        <v>-523.59</v>
      </c>
      <c r="D725">
        <v>82771.460000000006</v>
      </c>
    </row>
    <row r="726" spans="1:4" x14ac:dyDescent="0.25">
      <c r="A726">
        <v>45555</v>
      </c>
      <c r="B726" t="s">
        <v>604</v>
      </c>
      <c r="C726">
        <v>-21641.34</v>
      </c>
      <c r="D726">
        <v>61130.12</v>
      </c>
    </row>
    <row r="727" spans="1:4" x14ac:dyDescent="0.25">
      <c r="A727">
        <v>45555</v>
      </c>
      <c r="B727" t="s">
        <v>605</v>
      </c>
      <c r="C727">
        <v>-4526.33</v>
      </c>
      <c r="D727">
        <v>56603.79</v>
      </c>
    </row>
    <row r="728" spans="1:4" x14ac:dyDescent="0.25">
      <c r="A728">
        <v>45555</v>
      </c>
      <c r="B728" t="s">
        <v>606</v>
      </c>
      <c r="C728">
        <v>-91.57</v>
      </c>
      <c r="D728">
        <v>56512.22</v>
      </c>
    </row>
    <row r="729" spans="1:4" x14ac:dyDescent="0.25">
      <c r="A729">
        <v>45555</v>
      </c>
      <c r="B729" t="s">
        <v>607</v>
      </c>
      <c r="C729">
        <v>-18</v>
      </c>
      <c r="D729">
        <v>56494.22</v>
      </c>
    </row>
    <row r="730" spans="1:4" x14ac:dyDescent="0.25">
      <c r="A730">
        <v>45558</v>
      </c>
      <c r="B730" t="s">
        <v>608</v>
      </c>
      <c r="C730">
        <v>10254</v>
      </c>
      <c r="D730">
        <v>66748.22</v>
      </c>
    </row>
    <row r="731" spans="1:4" x14ac:dyDescent="0.25">
      <c r="A731">
        <v>45558</v>
      </c>
      <c r="B731" t="s">
        <v>609</v>
      </c>
      <c r="C731">
        <v>-37.18</v>
      </c>
      <c r="D731">
        <v>66711.039999999994</v>
      </c>
    </row>
    <row r="732" spans="1:4" x14ac:dyDescent="0.25">
      <c r="A732">
        <v>45558</v>
      </c>
      <c r="B732" t="s">
        <v>610</v>
      </c>
      <c r="C732">
        <v>-162.56</v>
      </c>
      <c r="D732">
        <v>66548.479999999996</v>
      </c>
    </row>
    <row r="733" spans="1:4" x14ac:dyDescent="0.25">
      <c r="A733">
        <v>45559</v>
      </c>
      <c r="B733" t="s">
        <v>308</v>
      </c>
      <c r="C733">
        <v>79.849999999999994</v>
      </c>
      <c r="D733">
        <v>66628.33</v>
      </c>
    </row>
    <row r="734" spans="1:4" x14ac:dyDescent="0.25">
      <c r="A734">
        <v>45559</v>
      </c>
      <c r="B734" t="s">
        <v>611</v>
      </c>
      <c r="C734">
        <v>-515.87</v>
      </c>
      <c r="D734">
        <v>66112.460000000006</v>
      </c>
    </row>
    <row r="735" spans="1:4" x14ac:dyDescent="0.25">
      <c r="A735">
        <v>45559</v>
      </c>
      <c r="B735" t="s">
        <v>110</v>
      </c>
      <c r="C735">
        <v>-50</v>
      </c>
      <c r="D735">
        <v>66062.460000000006</v>
      </c>
    </row>
    <row r="736" spans="1:4" x14ac:dyDescent="0.25">
      <c r="A736">
        <v>45560</v>
      </c>
      <c r="B736" t="s">
        <v>308</v>
      </c>
      <c r="C736">
        <v>322.02</v>
      </c>
      <c r="D736">
        <v>66384.479999999996</v>
      </c>
    </row>
    <row r="737" spans="1:4" x14ac:dyDescent="0.25">
      <c r="A737">
        <v>45560</v>
      </c>
      <c r="B737" t="s">
        <v>612</v>
      </c>
      <c r="C737">
        <v>-31.2</v>
      </c>
      <c r="D737">
        <v>66353.279999999999</v>
      </c>
    </row>
    <row r="738" spans="1:4" x14ac:dyDescent="0.25">
      <c r="A738">
        <v>45561</v>
      </c>
      <c r="B738" t="s">
        <v>308</v>
      </c>
      <c r="C738">
        <v>16825</v>
      </c>
      <c r="D738">
        <v>83178.28</v>
      </c>
    </row>
    <row r="739" spans="1:4" x14ac:dyDescent="0.25">
      <c r="A739">
        <v>45561</v>
      </c>
      <c r="B739" t="s">
        <v>613</v>
      </c>
      <c r="C739">
        <v>-202.73</v>
      </c>
      <c r="D739">
        <v>82975.55</v>
      </c>
    </row>
    <row r="740" spans="1:4" x14ac:dyDescent="0.25">
      <c r="A740">
        <v>45561</v>
      </c>
      <c r="B740" t="s">
        <v>614</v>
      </c>
      <c r="C740">
        <v>-1445</v>
      </c>
      <c r="D740">
        <v>81530.55</v>
      </c>
    </row>
    <row r="741" spans="1:4" x14ac:dyDescent="0.25">
      <c r="A741">
        <v>45561</v>
      </c>
      <c r="B741" t="s">
        <v>615</v>
      </c>
      <c r="C741">
        <v>-424.2</v>
      </c>
      <c r="D741">
        <v>81106.350000000006</v>
      </c>
    </row>
    <row r="742" spans="1:4" x14ac:dyDescent="0.25">
      <c r="A742">
        <v>45562</v>
      </c>
      <c r="B742" t="s">
        <v>22</v>
      </c>
      <c r="C742">
        <v>2558.79</v>
      </c>
      <c r="D742">
        <v>83665.14</v>
      </c>
    </row>
    <row r="743" spans="1:4" x14ac:dyDescent="0.25">
      <c r="A743">
        <v>45562</v>
      </c>
      <c r="B743" t="s">
        <v>616</v>
      </c>
      <c r="C743">
        <v>-531.32000000000005</v>
      </c>
      <c r="D743">
        <v>83133.820000000007</v>
      </c>
    </row>
    <row r="744" spans="1:4" x14ac:dyDescent="0.25">
      <c r="A744">
        <v>45562</v>
      </c>
      <c r="B744" t="s">
        <v>617</v>
      </c>
      <c r="C744">
        <v>-354.57</v>
      </c>
      <c r="D744">
        <v>82779.25</v>
      </c>
    </row>
    <row r="745" spans="1:4" x14ac:dyDescent="0.25">
      <c r="A745">
        <v>45562</v>
      </c>
      <c r="B745" t="s">
        <v>618</v>
      </c>
      <c r="C745">
        <v>-5114.5</v>
      </c>
      <c r="D745">
        <v>77664.75</v>
      </c>
    </row>
    <row r="746" spans="1:4" x14ac:dyDescent="0.25">
      <c r="A746">
        <v>45562</v>
      </c>
      <c r="B746" t="s">
        <v>619</v>
      </c>
      <c r="C746">
        <v>-14.99</v>
      </c>
      <c r="D746">
        <v>77649.759999999995</v>
      </c>
    </row>
    <row r="747" spans="1:4" x14ac:dyDescent="0.25">
      <c r="A747">
        <v>45562</v>
      </c>
      <c r="B747" t="s">
        <v>620</v>
      </c>
      <c r="C747">
        <v>-982.16</v>
      </c>
      <c r="D747">
        <v>76667.600000000006</v>
      </c>
    </row>
    <row r="748" spans="1:4" x14ac:dyDescent="0.25">
      <c r="A748">
        <v>45562</v>
      </c>
      <c r="B748" t="s">
        <v>621</v>
      </c>
      <c r="C748">
        <v>-126</v>
      </c>
      <c r="D748">
        <v>76541.600000000006</v>
      </c>
    </row>
    <row r="749" spans="1:4" x14ac:dyDescent="0.25">
      <c r="A749">
        <v>45565</v>
      </c>
      <c r="B749" t="s">
        <v>622</v>
      </c>
      <c r="C749">
        <v>18404</v>
      </c>
      <c r="D749">
        <v>94945.600000000006</v>
      </c>
    </row>
    <row r="750" spans="1:4" x14ac:dyDescent="0.25">
      <c r="A750">
        <v>45565</v>
      </c>
      <c r="B750" t="s">
        <v>308</v>
      </c>
      <c r="C750">
        <v>1223.5</v>
      </c>
      <c r="D750">
        <v>96169.1</v>
      </c>
    </row>
    <row r="751" spans="1:4" x14ac:dyDescent="0.25">
      <c r="A751">
        <v>45565</v>
      </c>
      <c r="B751" t="s">
        <v>188</v>
      </c>
      <c r="C751">
        <v>97.12</v>
      </c>
      <c r="D751">
        <v>96266.22</v>
      </c>
    </row>
    <row r="752" spans="1:4" x14ac:dyDescent="0.25">
      <c r="A752">
        <v>45565</v>
      </c>
      <c r="B752" t="s">
        <v>623</v>
      </c>
      <c r="C752">
        <v>-147.69</v>
      </c>
      <c r="D752">
        <v>96118.53</v>
      </c>
    </row>
    <row r="753" spans="1:4" x14ac:dyDescent="0.25">
      <c r="A753">
        <v>45565</v>
      </c>
      <c r="B753" t="s">
        <v>624</v>
      </c>
      <c r="C753">
        <v>-44.61</v>
      </c>
      <c r="D753">
        <v>96073.919999999998</v>
      </c>
    </row>
    <row r="754" spans="1:4" x14ac:dyDescent="0.25">
      <c r="A754">
        <v>45565</v>
      </c>
      <c r="B754" t="s">
        <v>625</v>
      </c>
      <c r="C754">
        <v>-20.53</v>
      </c>
      <c r="D754">
        <v>96053.39</v>
      </c>
    </row>
    <row r="755" spans="1:4" x14ac:dyDescent="0.25">
      <c r="A755">
        <v>45565</v>
      </c>
      <c r="B755" t="s">
        <v>626</v>
      </c>
      <c r="C755">
        <v>-976</v>
      </c>
      <c r="D755">
        <v>95077.39</v>
      </c>
    </row>
    <row r="756" spans="1:4" x14ac:dyDescent="0.25">
      <c r="A756">
        <v>45565</v>
      </c>
      <c r="B756" t="s">
        <v>627</v>
      </c>
      <c r="C756">
        <v>-849</v>
      </c>
      <c r="D756">
        <v>94228.39</v>
      </c>
    </row>
    <row r="757" spans="1:4" x14ac:dyDescent="0.25">
      <c r="A757">
        <v>45565</v>
      </c>
      <c r="B757" t="s">
        <v>628</v>
      </c>
      <c r="C757">
        <v>-91.44</v>
      </c>
      <c r="D757">
        <v>94136.95</v>
      </c>
    </row>
    <row r="758" spans="1:4" x14ac:dyDescent="0.25">
      <c r="A758">
        <v>45565</v>
      </c>
      <c r="B758" t="s">
        <v>629</v>
      </c>
      <c r="C758">
        <v>-28.19</v>
      </c>
      <c r="D758">
        <v>94108.76</v>
      </c>
    </row>
    <row r="759" spans="1:4" x14ac:dyDescent="0.25">
      <c r="A759">
        <v>45566</v>
      </c>
      <c r="B759" t="s">
        <v>308</v>
      </c>
      <c r="C759">
        <v>99</v>
      </c>
      <c r="D759">
        <v>94207.76</v>
      </c>
    </row>
    <row r="760" spans="1:4" x14ac:dyDescent="0.25">
      <c r="A760">
        <v>45566</v>
      </c>
      <c r="B760" t="s">
        <v>630</v>
      </c>
      <c r="C760">
        <v>-258.04000000000002</v>
      </c>
      <c r="D760">
        <v>93949.72</v>
      </c>
    </row>
    <row r="761" spans="1:4" x14ac:dyDescent="0.25">
      <c r="A761">
        <v>45566</v>
      </c>
      <c r="B761" t="s">
        <v>631</v>
      </c>
      <c r="C761">
        <v>-4801</v>
      </c>
      <c r="D761">
        <v>89148.72</v>
      </c>
    </row>
    <row r="762" spans="1:4" x14ac:dyDescent="0.25">
      <c r="A762">
        <v>45566</v>
      </c>
      <c r="B762" t="s">
        <v>308</v>
      </c>
      <c r="C762">
        <v>-1573.87</v>
      </c>
      <c r="D762">
        <v>87574.85</v>
      </c>
    </row>
    <row r="763" spans="1:4" x14ac:dyDescent="0.25">
      <c r="A763">
        <v>45567</v>
      </c>
      <c r="B763" t="s">
        <v>188</v>
      </c>
      <c r="C763">
        <v>127.53</v>
      </c>
      <c r="D763">
        <v>87702.38</v>
      </c>
    </row>
    <row r="764" spans="1:4" x14ac:dyDescent="0.25">
      <c r="A764">
        <v>45567</v>
      </c>
      <c r="B764" t="s">
        <v>632</v>
      </c>
      <c r="C764">
        <v>-22.95</v>
      </c>
      <c r="D764">
        <v>87679.43</v>
      </c>
    </row>
    <row r="765" spans="1:4" x14ac:dyDescent="0.25">
      <c r="A765">
        <v>45567</v>
      </c>
      <c r="B765" t="s">
        <v>633</v>
      </c>
      <c r="C765">
        <v>-455.02</v>
      </c>
      <c r="D765">
        <v>87224.41</v>
      </c>
    </row>
    <row r="766" spans="1:4" x14ac:dyDescent="0.25">
      <c r="A766">
        <v>45567</v>
      </c>
      <c r="B766" t="s">
        <v>634</v>
      </c>
      <c r="C766">
        <v>-8010</v>
      </c>
      <c r="D766">
        <v>79214.41</v>
      </c>
    </row>
    <row r="767" spans="1:4" x14ac:dyDescent="0.25">
      <c r="A767">
        <v>45567</v>
      </c>
      <c r="B767" t="s">
        <v>635</v>
      </c>
      <c r="C767">
        <v>-1200</v>
      </c>
      <c r="D767">
        <v>78014.41</v>
      </c>
    </row>
    <row r="768" spans="1:4" x14ac:dyDescent="0.25">
      <c r="A768">
        <v>45567</v>
      </c>
      <c r="B768" t="s">
        <v>636</v>
      </c>
      <c r="C768">
        <v>-433.73</v>
      </c>
      <c r="D768">
        <v>77580.679999999993</v>
      </c>
    </row>
    <row r="769" spans="1:4" x14ac:dyDescent="0.25">
      <c r="A769">
        <v>45567</v>
      </c>
      <c r="B769" t="s">
        <v>637</v>
      </c>
      <c r="C769">
        <v>-33</v>
      </c>
      <c r="D769">
        <v>77547.679999999993</v>
      </c>
    </row>
    <row r="770" spans="1:4" x14ac:dyDescent="0.25">
      <c r="A770">
        <v>45567</v>
      </c>
      <c r="B770" t="s">
        <v>638</v>
      </c>
      <c r="C770">
        <v>-1</v>
      </c>
      <c r="D770">
        <v>77546.679999999993</v>
      </c>
    </row>
    <row r="771" spans="1:4" x14ac:dyDescent="0.25">
      <c r="A771">
        <v>45568</v>
      </c>
      <c r="B771" t="s">
        <v>639</v>
      </c>
      <c r="C771">
        <v>6167</v>
      </c>
      <c r="D771">
        <v>83713.679999999993</v>
      </c>
    </row>
    <row r="772" spans="1:4" x14ac:dyDescent="0.25">
      <c r="A772">
        <v>45568</v>
      </c>
      <c r="B772" t="s">
        <v>640</v>
      </c>
      <c r="C772">
        <v>4405</v>
      </c>
      <c r="D772">
        <v>88118.68</v>
      </c>
    </row>
    <row r="773" spans="1:4" x14ac:dyDescent="0.25">
      <c r="A773">
        <v>45568</v>
      </c>
      <c r="B773" t="s">
        <v>308</v>
      </c>
      <c r="C773">
        <v>1244.3599999999999</v>
      </c>
      <c r="D773">
        <v>89363.04</v>
      </c>
    </row>
    <row r="774" spans="1:4" x14ac:dyDescent="0.25">
      <c r="A774">
        <v>45568</v>
      </c>
      <c r="B774" t="s">
        <v>641</v>
      </c>
      <c r="C774">
        <v>-250</v>
      </c>
      <c r="D774">
        <v>89113.04</v>
      </c>
    </row>
    <row r="775" spans="1:4" x14ac:dyDescent="0.25">
      <c r="A775">
        <v>45568</v>
      </c>
      <c r="B775" t="s">
        <v>642</v>
      </c>
      <c r="C775">
        <v>-35</v>
      </c>
      <c r="D775">
        <v>89078.04</v>
      </c>
    </row>
    <row r="776" spans="1:4" x14ac:dyDescent="0.25">
      <c r="A776">
        <v>45568</v>
      </c>
      <c r="B776" t="s">
        <v>642</v>
      </c>
      <c r="C776">
        <v>-766.8</v>
      </c>
      <c r="D776">
        <v>88311.24</v>
      </c>
    </row>
    <row r="777" spans="1:4" x14ac:dyDescent="0.25">
      <c r="A777">
        <v>45568</v>
      </c>
      <c r="B777" t="s">
        <v>643</v>
      </c>
      <c r="C777">
        <v>-95.42</v>
      </c>
      <c r="D777">
        <v>88215.82</v>
      </c>
    </row>
    <row r="778" spans="1:4" x14ac:dyDescent="0.25">
      <c r="A778">
        <v>45569</v>
      </c>
      <c r="B778" t="s">
        <v>644</v>
      </c>
      <c r="C778">
        <v>-34.25</v>
      </c>
      <c r="D778">
        <v>88181.57</v>
      </c>
    </row>
    <row r="779" spans="1:4" x14ac:dyDescent="0.25">
      <c r="A779">
        <v>45569</v>
      </c>
      <c r="B779" t="s">
        <v>645</v>
      </c>
      <c r="C779">
        <v>-148.41</v>
      </c>
      <c r="D779">
        <v>88033.16</v>
      </c>
    </row>
    <row r="780" spans="1:4" x14ac:dyDescent="0.25">
      <c r="A780">
        <v>45569</v>
      </c>
      <c r="B780" t="s">
        <v>646</v>
      </c>
      <c r="C780">
        <v>-274.13</v>
      </c>
      <c r="D780">
        <v>87759.03</v>
      </c>
    </row>
    <row r="781" spans="1:4" x14ac:dyDescent="0.25">
      <c r="A781">
        <v>45569</v>
      </c>
      <c r="B781" t="s">
        <v>647</v>
      </c>
      <c r="C781">
        <v>-250.86</v>
      </c>
      <c r="D781">
        <v>87508.17</v>
      </c>
    </row>
    <row r="782" spans="1:4" x14ac:dyDescent="0.25">
      <c r="A782">
        <v>45569</v>
      </c>
      <c r="B782" t="s">
        <v>648</v>
      </c>
      <c r="C782">
        <v>-37537.53</v>
      </c>
      <c r="D782">
        <v>49970.64</v>
      </c>
    </row>
    <row r="783" spans="1:4" x14ac:dyDescent="0.25">
      <c r="A783">
        <v>45569</v>
      </c>
      <c r="B783" t="s">
        <v>649</v>
      </c>
      <c r="C783">
        <v>-7809.87</v>
      </c>
      <c r="D783">
        <v>42160.77</v>
      </c>
    </row>
    <row r="784" spans="1:4" x14ac:dyDescent="0.25">
      <c r="A784">
        <v>45569</v>
      </c>
      <c r="B784" t="s">
        <v>650</v>
      </c>
      <c r="C784">
        <v>-189</v>
      </c>
      <c r="D784">
        <v>41971.77</v>
      </c>
    </row>
    <row r="785" spans="1:4" x14ac:dyDescent="0.25">
      <c r="A785">
        <v>45569</v>
      </c>
      <c r="B785" t="s">
        <v>651</v>
      </c>
      <c r="C785">
        <v>-18</v>
      </c>
      <c r="D785">
        <v>41953.77</v>
      </c>
    </row>
    <row r="786" spans="1:4" x14ac:dyDescent="0.25">
      <c r="A786">
        <v>45572</v>
      </c>
      <c r="B786" t="s">
        <v>308</v>
      </c>
      <c r="C786">
        <v>23705.26</v>
      </c>
      <c r="D786">
        <v>65659.03</v>
      </c>
    </row>
    <row r="787" spans="1:4" x14ac:dyDescent="0.25">
      <c r="A787">
        <v>45572</v>
      </c>
      <c r="B787" t="s">
        <v>652</v>
      </c>
      <c r="C787">
        <v>4397.3</v>
      </c>
      <c r="D787">
        <v>70056.33</v>
      </c>
    </row>
    <row r="788" spans="1:4" x14ac:dyDescent="0.25">
      <c r="A788">
        <v>45572</v>
      </c>
      <c r="B788" t="s">
        <v>653</v>
      </c>
      <c r="C788">
        <v>-171.22</v>
      </c>
      <c r="D788">
        <v>69885.11</v>
      </c>
    </row>
    <row r="789" spans="1:4" x14ac:dyDescent="0.25">
      <c r="A789">
        <v>45572</v>
      </c>
      <c r="B789" t="s">
        <v>44</v>
      </c>
      <c r="C789">
        <v>-126.43</v>
      </c>
      <c r="D789">
        <v>69758.679999999993</v>
      </c>
    </row>
    <row r="790" spans="1:4" x14ac:dyDescent="0.25">
      <c r="A790">
        <v>45573</v>
      </c>
      <c r="B790" t="s">
        <v>654</v>
      </c>
      <c r="C790">
        <v>-15.03</v>
      </c>
      <c r="D790">
        <v>69743.649999999994</v>
      </c>
    </row>
    <row r="791" spans="1:4" x14ac:dyDescent="0.25">
      <c r="A791">
        <v>45573</v>
      </c>
      <c r="B791" t="s">
        <v>655</v>
      </c>
      <c r="C791">
        <v>-42.05</v>
      </c>
      <c r="D791">
        <v>69701.600000000006</v>
      </c>
    </row>
    <row r="792" spans="1:4" x14ac:dyDescent="0.25">
      <c r="A792">
        <v>45573</v>
      </c>
      <c r="B792" t="s">
        <v>656</v>
      </c>
      <c r="C792">
        <v>-279.60000000000002</v>
      </c>
      <c r="D792">
        <v>69422</v>
      </c>
    </row>
    <row r="793" spans="1:4" x14ac:dyDescent="0.25">
      <c r="A793">
        <v>45574</v>
      </c>
      <c r="B793" t="s">
        <v>657</v>
      </c>
      <c r="C793">
        <v>89.99</v>
      </c>
      <c r="D793">
        <v>69511.990000000005</v>
      </c>
    </row>
    <row r="794" spans="1:4" x14ac:dyDescent="0.25">
      <c r="A794">
        <v>45574</v>
      </c>
      <c r="B794" t="s">
        <v>658</v>
      </c>
      <c r="C794">
        <v>3.33</v>
      </c>
      <c r="D794">
        <v>69515.320000000007</v>
      </c>
    </row>
    <row r="795" spans="1:4" x14ac:dyDescent="0.25">
      <c r="A795">
        <v>45574</v>
      </c>
      <c r="B795" t="s">
        <v>658</v>
      </c>
      <c r="C795">
        <v>2.02</v>
      </c>
      <c r="D795">
        <v>69517.34</v>
      </c>
    </row>
    <row r="796" spans="1:4" x14ac:dyDescent="0.25">
      <c r="A796">
        <v>45574</v>
      </c>
      <c r="B796" t="s">
        <v>658</v>
      </c>
      <c r="C796">
        <v>1.64</v>
      </c>
      <c r="D796">
        <v>69518.98</v>
      </c>
    </row>
    <row r="797" spans="1:4" x14ac:dyDescent="0.25">
      <c r="A797">
        <v>45574</v>
      </c>
      <c r="B797" t="s">
        <v>659</v>
      </c>
      <c r="C797">
        <v>-271.82</v>
      </c>
      <c r="D797">
        <v>69247.16</v>
      </c>
    </row>
    <row r="798" spans="1:4" x14ac:dyDescent="0.25">
      <c r="A798">
        <v>45574</v>
      </c>
      <c r="B798" t="s">
        <v>660</v>
      </c>
      <c r="C798">
        <v>-2476.88</v>
      </c>
      <c r="D798">
        <v>66770.28</v>
      </c>
    </row>
    <row r="799" spans="1:4" x14ac:dyDescent="0.25">
      <c r="A799">
        <v>45574</v>
      </c>
      <c r="B799" t="s">
        <v>661</v>
      </c>
      <c r="C799">
        <v>-73.64</v>
      </c>
      <c r="D799">
        <v>66696.639999999999</v>
      </c>
    </row>
    <row r="800" spans="1:4" x14ac:dyDescent="0.25">
      <c r="A800">
        <v>45574</v>
      </c>
      <c r="B800" t="s">
        <v>662</v>
      </c>
      <c r="C800">
        <v>-26.55</v>
      </c>
      <c r="D800">
        <v>66670.09</v>
      </c>
    </row>
    <row r="801" spans="1:5" x14ac:dyDescent="0.25">
      <c r="A801">
        <v>45575</v>
      </c>
      <c r="B801" t="s">
        <v>663</v>
      </c>
      <c r="C801">
        <v>-161.03</v>
      </c>
      <c r="D801">
        <v>66509.06</v>
      </c>
    </row>
    <row r="802" spans="1:5" x14ac:dyDescent="0.25">
      <c r="A802">
        <v>45576</v>
      </c>
      <c r="B802" t="s">
        <v>308</v>
      </c>
      <c r="C802">
        <v>1458</v>
      </c>
      <c r="D802">
        <v>67967.06</v>
      </c>
    </row>
    <row r="803" spans="1:5" x14ac:dyDescent="0.25">
      <c r="A803">
        <v>45576</v>
      </c>
      <c r="B803" t="s">
        <v>664</v>
      </c>
      <c r="C803">
        <v>-47.35</v>
      </c>
      <c r="D803">
        <v>67919.710000000006</v>
      </c>
    </row>
    <row r="804" spans="1:5" x14ac:dyDescent="0.25">
      <c r="A804">
        <v>45576</v>
      </c>
      <c r="B804" t="s">
        <v>665</v>
      </c>
      <c r="C804">
        <v>-380</v>
      </c>
      <c r="D804">
        <v>67539.710000000006</v>
      </c>
    </row>
    <row r="805" spans="1:5" x14ac:dyDescent="0.25">
      <c r="A805">
        <v>45580</v>
      </c>
      <c r="B805" t="s">
        <v>22</v>
      </c>
      <c r="C805">
        <v>25000</v>
      </c>
      <c r="D805">
        <v>92539.71</v>
      </c>
    </row>
    <row r="806" spans="1:5" x14ac:dyDescent="0.25">
      <c r="A806">
        <v>45580</v>
      </c>
      <c r="B806" t="s">
        <v>666</v>
      </c>
      <c r="C806">
        <v>10606</v>
      </c>
      <c r="D806">
        <v>103145.71</v>
      </c>
    </row>
    <row r="807" spans="1:5" x14ac:dyDescent="0.25">
      <c r="A807">
        <v>45580</v>
      </c>
      <c r="B807" t="s">
        <v>308</v>
      </c>
      <c r="C807">
        <v>1336</v>
      </c>
      <c r="D807">
        <v>104481.71</v>
      </c>
    </row>
    <row r="808" spans="1:5" x14ac:dyDescent="0.25">
      <c r="A808">
        <v>45580</v>
      </c>
      <c r="B808" t="s">
        <v>667</v>
      </c>
      <c r="C808">
        <v>-513.33000000000004</v>
      </c>
      <c r="D808">
        <v>103968.38</v>
      </c>
    </row>
    <row r="809" spans="1:5" x14ac:dyDescent="0.25">
      <c r="A809">
        <v>45580</v>
      </c>
      <c r="B809" t="s">
        <v>667</v>
      </c>
      <c r="C809">
        <v>-2566.5</v>
      </c>
      <c r="D809">
        <v>101401.88</v>
      </c>
    </row>
    <row r="810" spans="1:5" x14ac:dyDescent="0.25">
      <c r="A810">
        <v>45580</v>
      </c>
      <c r="B810" t="s">
        <v>667</v>
      </c>
      <c r="C810">
        <v>-1026.56</v>
      </c>
      <c r="D810">
        <v>100375.32</v>
      </c>
    </row>
    <row r="811" spans="1:5" x14ac:dyDescent="0.25">
      <c r="A811">
        <v>45580</v>
      </c>
      <c r="B811" t="s">
        <v>668</v>
      </c>
      <c r="C811">
        <v>-382.8</v>
      </c>
      <c r="D811">
        <v>99992.52</v>
      </c>
    </row>
    <row r="812" spans="1:5" x14ac:dyDescent="0.25">
      <c r="A812">
        <v>45580</v>
      </c>
      <c r="B812" t="s">
        <v>669</v>
      </c>
      <c r="C812">
        <v>-100</v>
      </c>
      <c r="D812">
        <v>99892.52</v>
      </c>
    </row>
    <row r="813" spans="1:5" x14ac:dyDescent="0.25">
      <c r="A813">
        <v>45580</v>
      </c>
      <c r="B813" t="s">
        <v>670</v>
      </c>
      <c r="C813" t="s">
        <v>671</v>
      </c>
      <c r="D813">
        <v>-1543.76</v>
      </c>
      <c r="E813">
        <v>98348.76</v>
      </c>
    </row>
    <row r="814" spans="1:5" x14ac:dyDescent="0.25">
      <c r="A814">
        <v>45580</v>
      </c>
      <c r="B814" t="s">
        <v>672</v>
      </c>
      <c r="C814">
        <v>-100</v>
      </c>
      <c r="D814">
        <v>98248.76</v>
      </c>
    </row>
    <row r="815" spans="1:5" x14ac:dyDescent="0.25">
      <c r="A815">
        <v>45580</v>
      </c>
      <c r="B815" t="s">
        <v>673</v>
      </c>
      <c r="C815">
        <v>-21.26</v>
      </c>
      <c r="D815">
        <v>98227.5</v>
      </c>
    </row>
    <row r="816" spans="1:5" x14ac:dyDescent="0.25">
      <c r="A816">
        <v>45581</v>
      </c>
      <c r="B816" t="s">
        <v>674</v>
      </c>
      <c r="C816">
        <v>-174.7</v>
      </c>
      <c r="D816">
        <v>98052.800000000003</v>
      </c>
    </row>
    <row r="817" spans="1:4" x14ac:dyDescent="0.25">
      <c r="A817">
        <v>45581</v>
      </c>
      <c r="B817" t="s">
        <v>675</v>
      </c>
      <c r="C817">
        <v>-1200</v>
      </c>
      <c r="D817">
        <v>96852.800000000003</v>
      </c>
    </row>
    <row r="818" spans="1:4" x14ac:dyDescent="0.25">
      <c r="A818">
        <v>45581</v>
      </c>
      <c r="B818" t="s">
        <v>676</v>
      </c>
      <c r="C818">
        <v>-52.92</v>
      </c>
      <c r="D818">
        <v>96799.88</v>
      </c>
    </row>
    <row r="819" spans="1:4" x14ac:dyDescent="0.25">
      <c r="A819">
        <v>45581</v>
      </c>
      <c r="B819" t="s">
        <v>110</v>
      </c>
      <c r="C819">
        <v>-50</v>
      </c>
      <c r="D819">
        <v>96749.88</v>
      </c>
    </row>
    <row r="820" spans="1:4" x14ac:dyDescent="0.25">
      <c r="A820">
        <v>45583</v>
      </c>
      <c r="B820" t="s">
        <v>677</v>
      </c>
      <c r="C820">
        <v>-217</v>
      </c>
      <c r="D820">
        <v>96532.88</v>
      </c>
    </row>
    <row r="821" spans="1:4" x14ac:dyDescent="0.25">
      <c r="A821">
        <v>45583</v>
      </c>
      <c r="B821" t="s">
        <v>678</v>
      </c>
      <c r="C821">
        <v>-85.05</v>
      </c>
      <c r="D821">
        <v>96447.83</v>
      </c>
    </row>
    <row r="822" spans="1:4" x14ac:dyDescent="0.25">
      <c r="A822">
        <v>45583</v>
      </c>
      <c r="B822" t="s">
        <v>679</v>
      </c>
      <c r="C822">
        <v>-14.19</v>
      </c>
      <c r="D822">
        <v>96433.64</v>
      </c>
    </row>
    <row r="823" spans="1:4" x14ac:dyDescent="0.25">
      <c r="A823">
        <v>45583</v>
      </c>
      <c r="B823" t="s">
        <v>680</v>
      </c>
      <c r="C823">
        <v>-25446.04</v>
      </c>
      <c r="D823">
        <v>70987.600000000006</v>
      </c>
    </row>
    <row r="824" spans="1:4" x14ac:dyDescent="0.25">
      <c r="A824">
        <v>45583</v>
      </c>
      <c r="B824" t="s">
        <v>681</v>
      </c>
      <c r="C824">
        <v>-6651.6</v>
      </c>
      <c r="D824">
        <v>64336</v>
      </c>
    </row>
    <row r="825" spans="1:4" x14ac:dyDescent="0.25">
      <c r="A825">
        <v>45583</v>
      </c>
      <c r="B825" t="s">
        <v>682</v>
      </c>
      <c r="C825">
        <v>-1095.83</v>
      </c>
      <c r="D825">
        <v>63240.17</v>
      </c>
    </row>
    <row r="826" spans="1:4" x14ac:dyDescent="0.25">
      <c r="A826">
        <v>45583</v>
      </c>
      <c r="B826" t="s">
        <v>683</v>
      </c>
      <c r="C826">
        <v>-182.54</v>
      </c>
      <c r="D826">
        <v>63057.63</v>
      </c>
    </row>
    <row r="827" spans="1:4" x14ac:dyDescent="0.25">
      <c r="A827">
        <v>45583</v>
      </c>
      <c r="B827" t="s">
        <v>110</v>
      </c>
      <c r="C827">
        <v>-50</v>
      </c>
      <c r="D827">
        <v>63007.63</v>
      </c>
    </row>
    <row r="828" spans="1:4" x14ac:dyDescent="0.25">
      <c r="A828">
        <v>45586</v>
      </c>
      <c r="B828" t="s">
        <v>684</v>
      </c>
      <c r="C828">
        <v>8767</v>
      </c>
      <c r="D828">
        <v>71774.63</v>
      </c>
    </row>
    <row r="829" spans="1:4" x14ac:dyDescent="0.25">
      <c r="A829">
        <v>45586</v>
      </c>
      <c r="B829" t="s">
        <v>308</v>
      </c>
      <c r="C829">
        <v>1023</v>
      </c>
      <c r="D829">
        <v>72797.63</v>
      </c>
    </row>
    <row r="830" spans="1:4" x14ac:dyDescent="0.25">
      <c r="A830">
        <v>45586</v>
      </c>
      <c r="B830" t="s">
        <v>52</v>
      </c>
      <c r="C830">
        <v>-249.37</v>
      </c>
      <c r="D830">
        <v>72548.259999999995</v>
      </c>
    </row>
    <row r="831" spans="1:4" x14ac:dyDescent="0.25">
      <c r="A831">
        <v>45586</v>
      </c>
      <c r="B831" t="s">
        <v>685</v>
      </c>
      <c r="C831">
        <v>-63.22</v>
      </c>
      <c r="D831">
        <v>72485.039999999994</v>
      </c>
    </row>
    <row r="832" spans="1:4" x14ac:dyDescent="0.25">
      <c r="A832">
        <v>45586</v>
      </c>
      <c r="B832" t="s">
        <v>686</v>
      </c>
      <c r="C832">
        <v>-23.15</v>
      </c>
      <c r="D832">
        <v>72461.89</v>
      </c>
    </row>
    <row r="833" spans="1:4" x14ac:dyDescent="0.25">
      <c r="A833">
        <v>45586</v>
      </c>
      <c r="B833" t="s">
        <v>687</v>
      </c>
      <c r="C833">
        <v>-31.16</v>
      </c>
      <c r="D833">
        <v>72430.73</v>
      </c>
    </row>
    <row r="834" spans="1:4" x14ac:dyDescent="0.25">
      <c r="A834">
        <v>45586</v>
      </c>
      <c r="B834" t="s">
        <v>688</v>
      </c>
      <c r="C834">
        <v>-18</v>
      </c>
      <c r="D834">
        <v>72412.73</v>
      </c>
    </row>
    <row r="835" spans="1:4" x14ac:dyDescent="0.25">
      <c r="A835">
        <v>45588</v>
      </c>
      <c r="B835" t="s">
        <v>689</v>
      </c>
      <c r="C835">
        <v>-139.99</v>
      </c>
      <c r="D835">
        <v>72272.740000000005</v>
      </c>
    </row>
    <row r="836" spans="1:4" x14ac:dyDescent="0.25">
      <c r="A836">
        <v>45589</v>
      </c>
      <c r="B836" t="s">
        <v>690</v>
      </c>
      <c r="C836">
        <v>-548.94000000000005</v>
      </c>
      <c r="D836">
        <v>71723.8</v>
      </c>
    </row>
    <row r="837" spans="1:4" x14ac:dyDescent="0.25">
      <c r="A837">
        <v>45593</v>
      </c>
      <c r="B837" t="s">
        <v>691</v>
      </c>
      <c r="C837">
        <v>3188</v>
      </c>
      <c r="D837">
        <v>74911.8</v>
      </c>
    </row>
    <row r="838" spans="1:4" x14ac:dyDescent="0.25">
      <c r="A838">
        <v>45593</v>
      </c>
      <c r="B838" t="s">
        <v>692</v>
      </c>
      <c r="C838">
        <v>-147.69</v>
      </c>
      <c r="D838">
        <v>74764.11</v>
      </c>
    </row>
    <row r="839" spans="1:4" x14ac:dyDescent="0.25">
      <c r="A839">
        <v>45593</v>
      </c>
      <c r="B839" t="s">
        <v>693</v>
      </c>
      <c r="C839">
        <v>-14.99</v>
      </c>
      <c r="D839">
        <v>74749.119999999995</v>
      </c>
    </row>
    <row r="840" spans="1:4" x14ac:dyDescent="0.25">
      <c r="A840">
        <v>45593</v>
      </c>
      <c r="B840" t="s">
        <v>694</v>
      </c>
      <c r="C840">
        <v>-42.36</v>
      </c>
      <c r="D840">
        <v>74706.759999999995</v>
      </c>
    </row>
    <row r="841" spans="1:4" x14ac:dyDescent="0.25">
      <c r="A841">
        <v>45594</v>
      </c>
      <c r="B841" t="s">
        <v>308</v>
      </c>
      <c r="C841">
        <v>131</v>
      </c>
      <c r="D841">
        <v>74837.759999999995</v>
      </c>
    </row>
    <row r="842" spans="1:4" x14ac:dyDescent="0.25">
      <c r="A842">
        <v>45594</v>
      </c>
      <c r="B842" t="s">
        <v>695</v>
      </c>
      <c r="C842">
        <v>-5.83</v>
      </c>
      <c r="D842">
        <v>74831.929999999993</v>
      </c>
    </row>
    <row r="843" spans="1:4" x14ac:dyDescent="0.25">
      <c r="A843">
        <v>45595</v>
      </c>
      <c r="B843" t="s">
        <v>22</v>
      </c>
      <c r="C843">
        <v>2800</v>
      </c>
      <c r="D843">
        <v>77631.929999999993</v>
      </c>
    </row>
    <row r="844" spans="1:4" x14ac:dyDescent="0.25">
      <c r="A844">
        <v>45595</v>
      </c>
      <c r="B844" t="s">
        <v>696</v>
      </c>
      <c r="C844">
        <v>-35.659999999999997</v>
      </c>
      <c r="D844">
        <v>77596.27</v>
      </c>
    </row>
    <row r="845" spans="1:4" x14ac:dyDescent="0.25">
      <c r="A845">
        <v>45595</v>
      </c>
      <c r="B845" t="s">
        <v>697</v>
      </c>
      <c r="C845">
        <v>-74.36</v>
      </c>
      <c r="D845">
        <v>77521.91</v>
      </c>
    </row>
    <row r="846" spans="1:4" x14ac:dyDescent="0.25">
      <c r="A846">
        <v>45595</v>
      </c>
      <c r="B846" t="s">
        <v>698</v>
      </c>
      <c r="C846">
        <v>-2313.0500000000002</v>
      </c>
      <c r="D846">
        <v>75208.86</v>
      </c>
    </row>
    <row r="847" spans="1:4" x14ac:dyDescent="0.25">
      <c r="A847">
        <v>45595</v>
      </c>
      <c r="B847" t="s">
        <v>699</v>
      </c>
      <c r="C847">
        <v>-1200</v>
      </c>
      <c r="D847">
        <v>74008.86</v>
      </c>
    </row>
    <row r="848" spans="1:4" x14ac:dyDescent="0.25">
      <c r="A848">
        <v>45595</v>
      </c>
      <c r="B848" t="s">
        <v>700</v>
      </c>
      <c r="C848">
        <v>-2000</v>
      </c>
      <c r="D848">
        <v>72008.86</v>
      </c>
    </row>
    <row r="849" spans="1:4" x14ac:dyDescent="0.25">
      <c r="A849">
        <v>45595</v>
      </c>
      <c r="B849" t="s">
        <v>110</v>
      </c>
      <c r="C849">
        <v>-50</v>
      </c>
      <c r="D849">
        <v>71958.86</v>
      </c>
    </row>
    <row r="850" spans="1:4" x14ac:dyDescent="0.25">
      <c r="A850">
        <v>45596</v>
      </c>
      <c r="B850" t="s">
        <v>22</v>
      </c>
      <c r="C850">
        <v>4677.1400000000003</v>
      </c>
      <c r="D850">
        <v>76636</v>
      </c>
    </row>
    <row r="851" spans="1:4" x14ac:dyDescent="0.25">
      <c r="A851">
        <v>45596</v>
      </c>
      <c r="B851" t="s">
        <v>701</v>
      </c>
      <c r="C851">
        <v>-237.99</v>
      </c>
      <c r="D851">
        <v>76398.009999999995</v>
      </c>
    </row>
    <row r="852" spans="1:4" x14ac:dyDescent="0.25">
      <c r="A852">
        <v>45596</v>
      </c>
      <c r="B852" t="s">
        <v>702</v>
      </c>
      <c r="C852">
        <v>-42.49</v>
      </c>
      <c r="D852">
        <v>76355.520000000004</v>
      </c>
    </row>
    <row r="853" spans="1:4" x14ac:dyDescent="0.25">
      <c r="A853">
        <v>45596</v>
      </c>
      <c r="B853" t="s">
        <v>703</v>
      </c>
      <c r="C853">
        <v>-689.43</v>
      </c>
      <c r="D853">
        <v>75666.09</v>
      </c>
    </row>
    <row r="854" spans="1:4" x14ac:dyDescent="0.25">
      <c r="A854">
        <v>45596</v>
      </c>
      <c r="B854" t="s">
        <v>704</v>
      </c>
      <c r="C854">
        <v>-105.19</v>
      </c>
      <c r="D854">
        <v>75560.899999999994</v>
      </c>
    </row>
    <row r="855" spans="1:4" x14ac:dyDescent="0.25">
      <c r="A855">
        <v>45596</v>
      </c>
      <c r="B855" t="s">
        <v>704</v>
      </c>
      <c r="C855">
        <v>-126.56</v>
      </c>
      <c r="D855">
        <v>75434.34</v>
      </c>
    </row>
    <row r="856" spans="1:4" x14ac:dyDescent="0.25">
      <c r="A856">
        <v>45596</v>
      </c>
      <c r="B856" t="s">
        <v>704</v>
      </c>
      <c r="C856">
        <v>-225.51</v>
      </c>
      <c r="D856">
        <v>75208.83</v>
      </c>
    </row>
    <row r="857" spans="1:4" x14ac:dyDescent="0.25">
      <c r="A857">
        <v>45596</v>
      </c>
      <c r="B857" t="s">
        <v>705</v>
      </c>
      <c r="C857">
        <v>-2865.03</v>
      </c>
      <c r="D857">
        <v>72343.8</v>
      </c>
    </row>
    <row r="858" spans="1:4" x14ac:dyDescent="0.25">
      <c r="A858">
        <v>45596</v>
      </c>
      <c r="B858" t="s">
        <v>706</v>
      </c>
      <c r="C858">
        <v>-144.49</v>
      </c>
      <c r="D858">
        <v>72199.31</v>
      </c>
    </row>
    <row r="859" spans="1:4" x14ac:dyDescent="0.25">
      <c r="A859">
        <v>45596</v>
      </c>
      <c r="B859" t="s">
        <v>707</v>
      </c>
      <c r="C859">
        <v>-212.68</v>
      </c>
      <c r="D859">
        <v>71986.63</v>
      </c>
    </row>
    <row r="860" spans="1:4" x14ac:dyDescent="0.25">
      <c r="A860">
        <v>45596</v>
      </c>
      <c r="B860" t="s">
        <v>708</v>
      </c>
      <c r="C860">
        <v>-5000</v>
      </c>
      <c r="D860">
        <v>66986.63</v>
      </c>
    </row>
    <row r="861" spans="1:4" x14ac:dyDescent="0.25">
      <c r="A861">
        <v>45597</v>
      </c>
      <c r="B861" t="s">
        <v>188</v>
      </c>
      <c r="C861">
        <v>185.41</v>
      </c>
      <c r="D861">
        <v>67172.039999999994</v>
      </c>
    </row>
    <row r="862" spans="1:4" x14ac:dyDescent="0.25">
      <c r="A862">
        <v>45597</v>
      </c>
      <c r="B862" t="s">
        <v>709</v>
      </c>
      <c r="C862">
        <v>-258.04000000000002</v>
      </c>
      <c r="D862">
        <v>66914</v>
      </c>
    </row>
    <row r="863" spans="1:4" x14ac:dyDescent="0.25">
      <c r="A863">
        <v>45597</v>
      </c>
      <c r="B863" t="s">
        <v>710</v>
      </c>
      <c r="C863">
        <v>-4801</v>
      </c>
      <c r="D863">
        <v>62113</v>
      </c>
    </row>
    <row r="864" spans="1:4" x14ac:dyDescent="0.25">
      <c r="A864">
        <v>45597</v>
      </c>
      <c r="B864" t="s">
        <v>711</v>
      </c>
      <c r="C864">
        <v>-25735.39</v>
      </c>
      <c r="D864">
        <v>36377.61</v>
      </c>
    </row>
    <row r="865" spans="1:4" x14ac:dyDescent="0.25">
      <c r="A865">
        <v>45597</v>
      </c>
      <c r="B865" t="s">
        <v>712</v>
      </c>
      <c r="C865">
        <v>-4714.6499999999996</v>
      </c>
      <c r="D865">
        <v>31662.959999999999</v>
      </c>
    </row>
    <row r="866" spans="1:4" x14ac:dyDescent="0.25">
      <c r="A866">
        <v>45597</v>
      </c>
      <c r="B866" t="s">
        <v>308</v>
      </c>
      <c r="C866">
        <v>-1355.56</v>
      </c>
      <c r="D866">
        <v>30307.4</v>
      </c>
    </row>
    <row r="867" spans="1:4" x14ac:dyDescent="0.25">
      <c r="A867">
        <v>45597</v>
      </c>
      <c r="B867" t="s">
        <v>713</v>
      </c>
      <c r="C867">
        <v>-135.28</v>
      </c>
      <c r="D867">
        <v>30172.12</v>
      </c>
    </row>
    <row r="868" spans="1:4" x14ac:dyDescent="0.25">
      <c r="A868">
        <v>45600</v>
      </c>
      <c r="B868" t="s">
        <v>714</v>
      </c>
      <c r="C868">
        <v>12121</v>
      </c>
      <c r="D868">
        <v>42293.120000000003</v>
      </c>
    </row>
    <row r="869" spans="1:4" x14ac:dyDescent="0.25">
      <c r="A869">
        <v>45600</v>
      </c>
      <c r="B869" t="s">
        <v>715</v>
      </c>
      <c r="C869">
        <v>-250</v>
      </c>
      <c r="D869">
        <v>42043.12</v>
      </c>
    </row>
    <row r="870" spans="1:4" x14ac:dyDescent="0.25">
      <c r="A870">
        <v>45600</v>
      </c>
      <c r="B870" t="s">
        <v>716</v>
      </c>
      <c r="C870">
        <v>-22.95</v>
      </c>
      <c r="D870">
        <v>42020.17</v>
      </c>
    </row>
    <row r="871" spans="1:4" x14ac:dyDescent="0.25">
      <c r="A871">
        <v>45600</v>
      </c>
      <c r="B871" t="s">
        <v>717</v>
      </c>
      <c r="C871">
        <v>-147.69</v>
      </c>
      <c r="D871">
        <v>41872.480000000003</v>
      </c>
    </row>
    <row r="872" spans="1:4" x14ac:dyDescent="0.25">
      <c r="A872">
        <v>45600</v>
      </c>
      <c r="B872" t="s">
        <v>718</v>
      </c>
      <c r="C872">
        <v>-173.23</v>
      </c>
      <c r="D872">
        <v>41699.25</v>
      </c>
    </row>
    <row r="873" spans="1:4" x14ac:dyDescent="0.25">
      <c r="A873">
        <v>45600</v>
      </c>
      <c r="B873" t="s">
        <v>719</v>
      </c>
      <c r="C873">
        <v>-274.13</v>
      </c>
      <c r="D873">
        <v>41425.120000000003</v>
      </c>
    </row>
    <row r="874" spans="1:4" x14ac:dyDescent="0.25">
      <c r="A874">
        <v>45600</v>
      </c>
      <c r="B874" t="s">
        <v>65</v>
      </c>
      <c r="C874">
        <v>-250.86</v>
      </c>
      <c r="D874">
        <v>41174.26</v>
      </c>
    </row>
    <row r="875" spans="1:4" x14ac:dyDescent="0.25">
      <c r="A875">
        <v>45600</v>
      </c>
      <c r="B875" t="s">
        <v>720</v>
      </c>
      <c r="C875">
        <v>-382</v>
      </c>
      <c r="D875">
        <v>40792.26</v>
      </c>
    </row>
    <row r="876" spans="1:4" x14ac:dyDescent="0.25">
      <c r="A876">
        <v>45600</v>
      </c>
      <c r="B876" t="s">
        <v>721</v>
      </c>
      <c r="C876">
        <v>-33</v>
      </c>
      <c r="D876">
        <v>40759.26</v>
      </c>
    </row>
    <row r="877" spans="1:4" x14ac:dyDescent="0.25">
      <c r="A877">
        <v>45600</v>
      </c>
      <c r="B877" t="s">
        <v>722</v>
      </c>
      <c r="C877">
        <v>-18</v>
      </c>
      <c r="D877">
        <v>40741.26</v>
      </c>
    </row>
    <row r="878" spans="1:4" x14ac:dyDescent="0.25">
      <c r="A878">
        <v>45600</v>
      </c>
      <c r="B878" t="s">
        <v>723</v>
      </c>
      <c r="C878">
        <v>-1</v>
      </c>
      <c r="D878">
        <v>40740.26</v>
      </c>
    </row>
    <row r="879" spans="1:4" x14ac:dyDescent="0.25">
      <c r="A879">
        <v>45601</v>
      </c>
      <c r="B879" t="s">
        <v>724</v>
      </c>
      <c r="C879">
        <v>-66.930000000000007</v>
      </c>
      <c r="D879">
        <v>40673.33</v>
      </c>
    </row>
    <row r="880" spans="1:4" x14ac:dyDescent="0.25">
      <c r="A880">
        <v>45602</v>
      </c>
      <c r="B880" t="s">
        <v>725</v>
      </c>
      <c r="C880">
        <v>-130.72</v>
      </c>
      <c r="D880">
        <v>40542.61</v>
      </c>
    </row>
    <row r="881" spans="1:4" x14ac:dyDescent="0.25">
      <c r="A881">
        <v>45604</v>
      </c>
      <c r="B881" t="s">
        <v>726</v>
      </c>
      <c r="C881">
        <v>-42.05</v>
      </c>
      <c r="D881">
        <v>40500.559999999998</v>
      </c>
    </row>
    <row r="882" spans="1:4" x14ac:dyDescent="0.25">
      <c r="A882">
        <v>45604</v>
      </c>
      <c r="B882" t="s">
        <v>727</v>
      </c>
      <c r="C882">
        <v>-139.99</v>
      </c>
      <c r="D882">
        <v>40360.57</v>
      </c>
    </row>
    <row r="883" spans="1:4" x14ac:dyDescent="0.25">
      <c r="A883">
        <v>45604</v>
      </c>
      <c r="B883" t="s">
        <v>44</v>
      </c>
      <c r="C883">
        <v>-126.43</v>
      </c>
      <c r="D883">
        <v>40234.14</v>
      </c>
    </row>
    <row r="884" spans="1:4" x14ac:dyDescent="0.25">
      <c r="A884">
        <v>45608</v>
      </c>
      <c r="B884" t="s">
        <v>728</v>
      </c>
      <c r="C884">
        <v>10377</v>
      </c>
      <c r="D884">
        <v>50611.14</v>
      </c>
    </row>
    <row r="885" spans="1:4" x14ac:dyDescent="0.25">
      <c r="A885">
        <v>45608</v>
      </c>
      <c r="B885" t="s">
        <v>729</v>
      </c>
      <c r="C885">
        <v>-153.09</v>
      </c>
      <c r="D885">
        <v>50458.05</v>
      </c>
    </row>
    <row r="886" spans="1:4" x14ac:dyDescent="0.25">
      <c r="A886">
        <v>45608</v>
      </c>
      <c r="B886" t="s">
        <v>730</v>
      </c>
      <c r="C886">
        <v>-217.5</v>
      </c>
      <c r="D886">
        <v>50240.55</v>
      </c>
    </row>
    <row r="887" spans="1:4" x14ac:dyDescent="0.25">
      <c r="A887">
        <v>45608</v>
      </c>
      <c r="B887" t="s">
        <v>731</v>
      </c>
      <c r="C887">
        <v>-20.37</v>
      </c>
      <c r="D887">
        <v>50220.18</v>
      </c>
    </row>
    <row r="888" spans="1:4" x14ac:dyDescent="0.25">
      <c r="A888">
        <v>45608</v>
      </c>
      <c r="B888" t="s">
        <v>732</v>
      </c>
      <c r="C888">
        <v>-82.3</v>
      </c>
      <c r="D888">
        <v>50137.88</v>
      </c>
    </row>
    <row r="889" spans="1:4" x14ac:dyDescent="0.25">
      <c r="A889">
        <v>45608</v>
      </c>
      <c r="B889" t="s">
        <v>733</v>
      </c>
      <c r="C889">
        <v>-381.26</v>
      </c>
      <c r="D889">
        <v>49756.62</v>
      </c>
    </row>
    <row r="890" spans="1:4" x14ac:dyDescent="0.25">
      <c r="A890">
        <v>45608</v>
      </c>
      <c r="B890" t="s">
        <v>734</v>
      </c>
      <c r="C890">
        <v>-17048.75</v>
      </c>
      <c r="D890">
        <v>32707.87</v>
      </c>
    </row>
    <row r="891" spans="1:4" x14ac:dyDescent="0.25">
      <c r="A891">
        <v>45609</v>
      </c>
      <c r="B891" t="s">
        <v>735</v>
      </c>
      <c r="C891">
        <v>-2566.44</v>
      </c>
      <c r="D891">
        <v>30141.43</v>
      </c>
    </row>
    <row r="892" spans="1:4" x14ac:dyDescent="0.25">
      <c r="A892">
        <v>45609</v>
      </c>
      <c r="B892" t="s">
        <v>735</v>
      </c>
      <c r="C892">
        <v>-1539.94</v>
      </c>
      <c r="D892">
        <v>28601.49</v>
      </c>
    </row>
    <row r="893" spans="1:4" x14ac:dyDescent="0.25">
      <c r="A893">
        <v>45609</v>
      </c>
      <c r="B893" t="s">
        <v>735</v>
      </c>
      <c r="C893">
        <v>-4519.68</v>
      </c>
      <c r="D893">
        <v>24081.81</v>
      </c>
    </row>
    <row r="894" spans="1:4" x14ac:dyDescent="0.25">
      <c r="A894">
        <v>45609</v>
      </c>
      <c r="B894" t="s">
        <v>736</v>
      </c>
      <c r="C894">
        <v>-42.5</v>
      </c>
      <c r="D894">
        <v>24039.31</v>
      </c>
    </row>
    <row r="895" spans="1:4" x14ac:dyDescent="0.25">
      <c r="A895">
        <v>45609</v>
      </c>
      <c r="B895" t="s">
        <v>736</v>
      </c>
      <c r="C895">
        <v>-126.56</v>
      </c>
      <c r="D895">
        <v>23912.75</v>
      </c>
    </row>
    <row r="896" spans="1:4" x14ac:dyDescent="0.25">
      <c r="A896">
        <v>45609</v>
      </c>
      <c r="B896" t="s">
        <v>110</v>
      </c>
      <c r="C896">
        <v>-50</v>
      </c>
      <c r="D896">
        <v>23862.75</v>
      </c>
    </row>
    <row r="897" spans="1:4" x14ac:dyDescent="0.25">
      <c r="A897">
        <v>45610</v>
      </c>
      <c r="B897" t="s">
        <v>737</v>
      </c>
      <c r="C897">
        <v>-150.93</v>
      </c>
      <c r="D897">
        <v>23711.82</v>
      </c>
    </row>
    <row r="898" spans="1:4" x14ac:dyDescent="0.25">
      <c r="A898">
        <v>45611</v>
      </c>
      <c r="B898" t="s">
        <v>738</v>
      </c>
      <c r="C898">
        <v>9000</v>
      </c>
      <c r="D898">
        <v>32711.82</v>
      </c>
    </row>
    <row r="899" spans="1:4" x14ac:dyDescent="0.25">
      <c r="A899">
        <v>45611</v>
      </c>
      <c r="B899" t="s">
        <v>188</v>
      </c>
      <c r="C899">
        <v>564.03</v>
      </c>
      <c r="D899">
        <v>33275.85</v>
      </c>
    </row>
    <row r="900" spans="1:4" x14ac:dyDescent="0.25">
      <c r="A900">
        <v>45611</v>
      </c>
      <c r="B900" t="s">
        <v>739</v>
      </c>
      <c r="C900">
        <v>-466.84</v>
      </c>
      <c r="D900">
        <v>32809.01</v>
      </c>
    </row>
    <row r="901" spans="1:4" x14ac:dyDescent="0.25">
      <c r="A901">
        <v>45611</v>
      </c>
      <c r="B901" t="s">
        <v>740</v>
      </c>
      <c r="C901">
        <v>-21640.71</v>
      </c>
      <c r="D901">
        <v>11168.3</v>
      </c>
    </row>
    <row r="902" spans="1:4" x14ac:dyDescent="0.25">
      <c r="A902">
        <v>45611</v>
      </c>
      <c r="B902" t="s">
        <v>741</v>
      </c>
      <c r="C902">
        <v>-4592.8500000000004</v>
      </c>
      <c r="D902">
        <v>6575.45</v>
      </c>
    </row>
    <row r="903" spans="1:4" x14ac:dyDescent="0.25">
      <c r="A903">
        <v>45611</v>
      </c>
      <c r="B903" t="s">
        <v>742</v>
      </c>
      <c r="C903">
        <v>-961.91</v>
      </c>
      <c r="D903">
        <v>5613.54</v>
      </c>
    </row>
    <row r="904" spans="1:4" x14ac:dyDescent="0.25">
      <c r="A904">
        <v>45611</v>
      </c>
      <c r="B904" t="s">
        <v>743</v>
      </c>
      <c r="C904">
        <v>-390</v>
      </c>
      <c r="D904">
        <v>5223.54</v>
      </c>
    </row>
    <row r="905" spans="1:4" x14ac:dyDescent="0.25">
      <c r="A905">
        <v>45611</v>
      </c>
      <c r="B905" t="s">
        <v>744</v>
      </c>
      <c r="C905">
        <v>-133.37</v>
      </c>
      <c r="D905">
        <v>5090.17</v>
      </c>
    </row>
    <row r="906" spans="1:4" x14ac:dyDescent="0.25">
      <c r="A906">
        <v>45614</v>
      </c>
      <c r="B906" t="s">
        <v>745</v>
      </c>
      <c r="C906">
        <v>1417</v>
      </c>
      <c r="D906">
        <v>6507.17</v>
      </c>
    </row>
    <row r="907" spans="1:4" x14ac:dyDescent="0.25">
      <c r="A907">
        <v>45614</v>
      </c>
      <c r="B907" t="s">
        <v>746</v>
      </c>
      <c r="C907">
        <v>-219.27</v>
      </c>
      <c r="D907">
        <v>6287.9</v>
      </c>
    </row>
    <row r="908" spans="1:4" x14ac:dyDescent="0.25">
      <c r="A908">
        <v>45614</v>
      </c>
      <c r="B908" t="s">
        <v>747</v>
      </c>
      <c r="C908">
        <v>-53.13</v>
      </c>
      <c r="D908">
        <v>6234.77</v>
      </c>
    </row>
    <row r="909" spans="1:4" x14ac:dyDescent="0.25">
      <c r="A909">
        <v>45614</v>
      </c>
      <c r="B909" t="s">
        <v>748</v>
      </c>
      <c r="C909">
        <v>-1601.1</v>
      </c>
      <c r="D909">
        <v>4633.67</v>
      </c>
    </row>
    <row r="910" spans="1:4" x14ac:dyDescent="0.25">
      <c r="A910">
        <v>45614</v>
      </c>
      <c r="B910" t="s">
        <v>749</v>
      </c>
      <c r="C910">
        <v>-18</v>
      </c>
      <c r="D910">
        <v>4615.67</v>
      </c>
    </row>
    <row r="911" spans="1:4" x14ac:dyDescent="0.25">
      <c r="A911">
        <v>45615</v>
      </c>
      <c r="B911" t="s">
        <v>750</v>
      </c>
      <c r="C911">
        <v>-44.58</v>
      </c>
      <c r="D911">
        <v>4571.09</v>
      </c>
    </row>
    <row r="912" spans="1:4" x14ac:dyDescent="0.25">
      <c r="A912">
        <v>45615</v>
      </c>
      <c r="B912" t="s">
        <v>77</v>
      </c>
      <c r="C912">
        <v>-249.37</v>
      </c>
      <c r="D912">
        <v>4321.72</v>
      </c>
    </row>
    <row r="913" spans="1:4" x14ac:dyDescent="0.25">
      <c r="A913">
        <v>45616</v>
      </c>
      <c r="B913" t="s">
        <v>751</v>
      </c>
      <c r="C913">
        <v>-533.13</v>
      </c>
      <c r="D913">
        <v>3788.59</v>
      </c>
    </row>
    <row r="914" spans="1:4" x14ac:dyDescent="0.25">
      <c r="A914">
        <v>45618</v>
      </c>
      <c r="B914" t="s">
        <v>22</v>
      </c>
      <c r="C914">
        <v>1426.64</v>
      </c>
      <c r="D914">
        <v>5215.2299999999996</v>
      </c>
    </row>
    <row r="915" spans="1:4" x14ac:dyDescent="0.25">
      <c r="A915">
        <v>45618</v>
      </c>
      <c r="B915" t="s">
        <v>752</v>
      </c>
      <c r="C915">
        <v>-106.24</v>
      </c>
      <c r="D915">
        <v>5108.99</v>
      </c>
    </row>
    <row r="916" spans="1:4" x14ac:dyDescent="0.25">
      <c r="A916">
        <v>45618</v>
      </c>
      <c r="B916" t="s">
        <v>753</v>
      </c>
      <c r="C916">
        <v>-85.06</v>
      </c>
      <c r="D916">
        <v>5023.93</v>
      </c>
    </row>
    <row r="917" spans="1:4" x14ac:dyDescent="0.25">
      <c r="A917">
        <v>45618</v>
      </c>
      <c r="B917" t="s">
        <v>754</v>
      </c>
      <c r="C917">
        <v>-382.5</v>
      </c>
      <c r="D917">
        <v>4641.43</v>
      </c>
    </row>
    <row r="918" spans="1:4" x14ac:dyDescent="0.25">
      <c r="A918">
        <v>45621</v>
      </c>
      <c r="B918" t="s">
        <v>755</v>
      </c>
      <c r="C918">
        <v>4530</v>
      </c>
      <c r="D918">
        <v>9171.43</v>
      </c>
    </row>
    <row r="919" spans="1:4" x14ac:dyDescent="0.25">
      <c r="A919">
        <v>45621</v>
      </c>
      <c r="B919" t="s">
        <v>756</v>
      </c>
      <c r="C919">
        <v>2900</v>
      </c>
      <c r="D919">
        <v>12071.43</v>
      </c>
    </row>
    <row r="920" spans="1:4" x14ac:dyDescent="0.25">
      <c r="A920">
        <v>45621</v>
      </c>
      <c r="B920" t="s">
        <v>757</v>
      </c>
      <c r="C920">
        <v>-106.93</v>
      </c>
      <c r="D920">
        <v>11964.5</v>
      </c>
    </row>
    <row r="921" spans="1:4" x14ac:dyDescent="0.25">
      <c r="A921">
        <v>45622</v>
      </c>
      <c r="B921" t="s">
        <v>758</v>
      </c>
      <c r="C921">
        <v>9000</v>
      </c>
      <c r="D921">
        <v>20964.5</v>
      </c>
    </row>
    <row r="922" spans="1:4" x14ac:dyDescent="0.25">
      <c r="A922">
        <v>45623</v>
      </c>
      <c r="B922" t="s">
        <v>759</v>
      </c>
      <c r="C922">
        <v>-562.20000000000005</v>
      </c>
      <c r="D922">
        <v>20402.3</v>
      </c>
    </row>
    <row r="923" spans="1:4" x14ac:dyDescent="0.25">
      <c r="A923">
        <v>45623</v>
      </c>
      <c r="B923" t="s">
        <v>759</v>
      </c>
      <c r="C923">
        <v>-540.64</v>
      </c>
      <c r="D923">
        <v>19861.66</v>
      </c>
    </row>
    <row r="924" spans="1:4" x14ac:dyDescent="0.25">
      <c r="A924">
        <v>45623</v>
      </c>
      <c r="B924" t="s">
        <v>760</v>
      </c>
      <c r="C924">
        <v>-14.99</v>
      </c>
      <c r="D924">
        <v>19846.669999999998</v>
      </c>
    </row>
    <row r="925" spans="1:4" x14ac:dyDescent="0.25">
      <c r="A925">
        <v>45625</v>
      </c>
      <c r="B925" t="s">
        <v>761</v>
      </c>
      <c r="C925">
        <v>-147.69</v>
      </c>
      <c r="D925">
        <v>19698.98</v>
      </c>
    </row>
    <row r="926" spans="1:4" x14ac:dyDescent="0.25">
      <c r="A926">
        <v>45625</v>
      </c>
      <c r="B926" t="s">
        <v>762</v>
      </c>
      <c r="C926">
        <v>-107.4</v>
      </c>
      <c r="D926">
        <v>19591.580000000002</v>
      </c>
    </row>
    <row r="927" spans="1:4" x14ac:dyDescent="0.25">
      <c r="A927">
        <v>45625</v>
      </c>
      <c r="B927" t="s">
        <v>763</v>
      </c>
      <c r="C927">
        <v>-13244.44</v>
      </c>
      <c r="D927">
        <v>6347.14</v>
      </c>
    </row>
    <row r="928" spans="1:4" x14ac:dyDescent="0.25">
      <c r="A928">
        <v>45625</v>
      </c>
      <c r="B928" t="s">
        <v>764</v>
      </c>
      <c r="C928">
        <v>-4934.7700000000004</v>
      </c>
      <c r="D928">
        <v>1412.37</v>
      </c>
    </row>
    <row r="929" spans="1:4" x14ac:dyDescent="0.25">
      <c r="A929">
        <v>45625</v>
      </c>
      <c r="B929" t="s">
        <v>765</v>
      </c>
      <c r="C929">
        <v>-152.16999999999999</v>
      </c>
      <c r="D929">
        <v>1260.2</v>
      </c>
    </row>
    <row r="930" spans="1:4" x14ac:dyDescent="0.25">
      <c r="A930">
        <v>45625</v>
      </c>
      <c r="B930" t="s">
        <v>110</v>
      </c>
      <c r="C930">
        <v>-50</v>
      </c>
      <c r="D930">
        <v>1210.2</v>
      </c>
    </row>
    <row r="931" spans="1:4" x14ac:dyDescent="0.25">
      <c r="A931">
        <v>45628</v>
      </c>
      <c r="B931" t="s">
        <v>766</v>
      </c>
      <c r="C931">
        <v>3189</v>
      </c>
      <c r="D931">
        <v>4399.2</v>
      </c>
    </row>
    <row r="932" spans="1:4" x14ac:dyDescent="0.25">
      <c r="A932">
        <v>45628</v>
      </c>
      <c r="B932" t="s">
        <v>767</v>
      </c>
      <c r="C932">
        <v>-8.51</v>
      </c>
      <c r="D932">
        <v>4390.6899999999996</v>
      </c>
    </row>
    <row r="933" spans="1:4" x14ac:dyDescent="0.25">
      <c r="A933">
        <v>45628</v>
      </c>
      <c r="B933" t="s">
        <v>768</v>
      </c>
      <c r="C933">
        <v>-145.86000000000001</v>
      </c>
      <c r="D933">
        <v>4244.83</v>
      </c>
    </row>
    <row r="934" spans="1:4" x14ac:dyDescent="0.25">
      <c r="A934">
        <v>45628</v>
      </c>
      <c r="B934" t="s">
        <v>769</v>
      </c>
      <c r="C934">
        <v>-22.95</v>
      </c>
      <c r="D934">
        <v>4221.88</v>
      </c>
    </row>
    <row r="935" spans="1:4" x14ac:dyDescent="0.25">
      <c r="A935">
        <v>45628</v>
      </c>
      <c r="B935" t="s">
        <v>770</v>
      </c>
      <c r="C935">
        <v>-258.04000000000002</v>
      </c>
      <c r="D935">
        <v>3963.84</v>
      </c>
    </row>
    <row r="936" spans="1:4" x14ac:dyDescent="0.25">
      <c r="A936">
        <v>45628</v>
      </c>
      <c r="B936" t="s">
        <v>308</v>
      </c>
      <c r="C936">
        <v>-150</v>
      </c>
      <c r="D936">
        <v>3813.84</v>
      </c>
    </row>
    <row r="937" spans="1:4" x14ac:dyDescent="0.25">
      <c r="A937">
        <v>45629</v>
      </c>
      <c r="B937" t="s">
        <v>771</v>
      </c>
      <c r="C937">
        <v>-250</v>
      </c>
      <c r="D937">
        <v>3563.84</v>
      </c>
    </row>
    <row r="938" spans="1:4" x14ac:dyDescent="0.25">
      <c r="A938">
        <v>45629</v>
      </c>
      <c r="B938" t="s">
        <v>772</v>
      </c>
      <c r="C938">
        <v>-147.69</v>
      </c>
      <c r="D938">
        <v>3416.15</v>
      </c>
    </row>
    <row r="939" spans="1:4" x14ac:dyDescent="0.25">
      <c r="A939">
        <v>45629</v>
      </c>
      <c r="B939" t="s">
        <v>773</v>
      </c>
      <c r="C939">
        <v>-50.25</v>
      </c>
      <c r="D939">
        <v>3365.9</v>
      </c>
    </row>
    <row r="940" spans="1:4" x14ac:dyDescent="0.25">
      <c r="A940">
        <v>45629</v>
      </c>
      <c r="B940" t="s">
        <v>773</v>
      </c>
      <c r="C940">
        <v>-160.63</v>
      </c>
      <c r="D940">
        <v>3205.27</v>
      </c>
    </row>
    <row r="941" spans="1:4" x14ac:dyDescent="0.25">
      <c r="A941">
        <v>45629</v>
      </c>
      <c r="B941" t="s">
        <v>774</v>
      </c>
      <c r="C941">
        <v>-33</v>
      </c>
      <c r="D941">
        <v>3172.27</v>
      </c>
    </row>
    <row r="942" spans="1:4" x14ac:dyDescent="0.25">
      <c r="A942">
        <v>45629</v>
      </c>
      <c r="B942" t="s">
        <v>775</v>
      </c>
      <c r="C942">
        <v>-16</v>
      </c>
      <c r="D942">
        <v>3156.27</v>
      </c>
    </row>
    <row r="943" spans="1:4" x14ac:dyDescent="0.25">
      <c r="A943">
        <v>45630</v>
      </c>
      <c r="B943" t="s">
        <v>776</v>
      </c>
      <c r="C943">
        <v>-274.13</v>
      </c>
      <c r="D943">
        <v>2882.14</v>
      </c>
    </row>
    <row r="944" spans="1:4" x14ac:dyDescent="0.25">
      <c r="A944">
        <v>45630</v>
      </c>
      <c r="B944" t="s">
        <v>87</v>
      </c>
      <c r="C944">
        <v>-250.86</v>
      </c>
      <c r="D944">
        <v>2631.28</v>
      </c>
    </row>
    <row r="945" spans="1:4" x14ac:dyDescent="0.25">
      <c r="A945">
        <v>45630</v>
      </c>
      <c r="B945" t="s">
        <v>777</v>
      </c>
      <c r="C945">
        <v>-574.55999999999995</v>
      </c>
      <c r="D945">
        <v>2056.7199999999998</v>
      </c>
    </row>
    <row r="946" spans="1:4" x14ac:dyDescent="0.25">
      <c r="A946">
        <v>45631</v>
      </c>
      <c r="B946" t="s">
        <v>778</v>
      </c>
      <c r="C946">
        <v>-7.53</v>
      </c>
      <c r="D946">
        <v>2049.19</v>
      </c>
    </row>
    <row r="947" spans="1:4" x14ac:dyDescent="0.25">
      <c r="A947">
        <v>45635</v>
      </c>
      <c r="B947" t="s">
        <v>779</v>
      </c>
      <c r="C947">
        <v>5430</v>
      </c>
      <c r="D947">
        <v>7479.19</v>
      </c>
    </row>
    <row r="948" spans="1:4" x14ac:dyDescent="0.25">
      <c r="A948">
        <v>45635</v>
      </c>
      <c r="B948" t="s">
        <v>44</v>
      </c>
      <c r="C948">
        <v>-126.43</v>
      </c>
      <c r="D948">
        <v>7352.76</v>
      </c>
    </row>
    <row r="949" spans="1:4" x14ac:dyDescent="0.25">
      <c r="A949">
        <v>45636</v>
      </c>
      <c r="B949" t="s">
        <v>780</v>
      </c>
      <c r="C949">
        <v>2000</v>
      </c>
      <c r="D949">
        <v>9352.76</v>
      </c>
    </row>
    <row r="950" spans="1:4" x14ac:dyDescent="0.25">
      <c r="A950">
        <v>45636</v>
      </c>
      <c r="B950" t="s">
        <v>22</v>
      </c>
      <c r="C950">
        <v>1571.99</v>
      </c>
      <c r="D950">
        <v>10924.75</v>
      </c>
    </row>
    <row r="951" spans="1:4" x14ac:dyDescent="0.25">
      <c r="A951">
        <v>45636</v>
      </c>
      <c r="B951" t="s">
        <v>110</v>
      </c>
      <c r="C951">
        <v>-50</v>
      </c>
      <c r="D951">
        <v>10874.75</v>
      </c>
    </row>
    <row r="952" spans="1:4" x14ac:dyDescent="0.25">
      <c r="A952">
        <v>45637</v>
      </c>
      <c r="B952" t="s">
        <v>781</v>
      </c>
      <c r="C952">
        <v>3522.91</v>
      </c>
      <c r="D952">
        <v>14397.66</v>
      </c>
    </row>
    <row r="953" spans="1:4" x14ac:dyDescent="0.25">
      <c r="A953">
        <v>45638</v>
      </c>
      <c r="B953" t="s">
        <v>782</v>
      </c>
      <c r="C953">
        <v>12000</v>
      </c>
      <c r="D953">
        <v>26397.66</v>
      </c>
    </row>
    <row r="954" spans="1:4" x14ac:dyDescent="0.25">
      <c r="A954">
        <v>45638</v>
      </c>
      <c r="B954" t="s">
        <v>783</v>
      </c>
      <c r="C954">
        <v>-3522.91</v>
      </c>
      <c r="D954">
        <v>22874.75</v>
      </c>
    </row>
    <row r="955" spans="1:4" x14ac:dyDescent="0.25">
      <c r="A955">
        <v>45639</v>
      </c>
      <c r="B955" t="s">
        <v>784</v>
      </c>
      <c r="C955">
        <v>2000</v>
      </c>
      <c r="D955">
        <v>24874.75</v>
      </c>
    </row>
    <row r="956" spans="1:4" x14ac:dyDescent="0.25">
      <c r="A956">
        <v>45639</v>
      </c>
      <c r="B956" t="s">
        <v>785</v>
      </c>
      <c r="C956">
        <v>99</v>
      </c>
      <c r="D956">
        <v>24973.75</v>
      </c>
    </row>
    <row r="957" spans="1:4" x14ac:dyDescent="0.25">
      <c r="A957">
        <v>45639</v>
      </c>
      <c r="B957" t="s">
        <v>786</v>
      </c>
      <c r="C957">
        <v>-18514.95</v>
      </c>
      <c r="D957">
        <v>6458.8</v>
      </c>
    </row>
    <row r="958" spans="1:4" x14ac:dyDescent="0.25">
      <c r="A958">
        <v>45639</v>
      </c>
      <c r="B958" t="s">
        <v>787</v>
      </c>
      <c r="C958">
        <v>-4964.04</v>
      </c>
      <c r="D958">
        <v>1494.76</v>
      </c>
    </row>
    <row r="959" spans="1:4" x14ac:dyDescent="0.25">
      <c r="A959">
        <v>45639</v>
      </c>
      <c r="B959" t="s">
        <v>788</v>
      </c>
      <c r="C959">
        <v>-390</v>
      </c>
      <c r="D959">
        <v>1104.76</v>
      </c>
    </row>
    <row r="960" spans="1:4" x14ac:dyDescent="0.25">
      <c r="A960">
        <v>45639</v>
      </c>
      <c r="B960" t="s">
        <v>789</v>
      </c>
      <c r="C960">
        <v>-147.91999999999999</v>
      </c>
      <c r="D960">
        <v>956.84</v>
      </c>
    </row>
    <row r="961" spans="1:4" x14ac:dyDescent="0.25">
      <c r="A961">
        <v>45642</v>
      </c>
      <c r="B961" t="s">
        <v>790</v>
      </c>
      <c r="C961">
        <v>54992.73</v>
      </c>
      <c r="D961">
        <v>55949.57</v>
      </c>
    </row>
    <row r="962" spans="1:4" x14ac:dyDescent="0.25">
      <c r="A962">
        <v>45642</v>
      </c>
      <c r="B962" t="s">
        <v>791</v>
      </c>
      <c r="C962">
        <v>14296</v>
      </c>
      <c r="D962">
        <v>70245.570000000007</v>
      </c>
    </row>
    <row r="963" spans="1:4" x14ac:dyDescent="0.25">
      <c r="A963">
        <v>45642</v>
      </c>
      <c r="B963" t="s">
        <v>785</v>
      </c>
      <c r="C963">
        <v>413</v>
      </c>
      <c r="D963">
        <v>70658.570000000007</v>
      </c>
    </row>
    <row r="964" spans="1:4" x14ac:dyDescent="0.25">
      <c r="A964">
        <v>45642</v>
      </c>
      <c r="B964" t="s">
        <v>785</v>
      </c>
      <c r="C964">
        <v>205</v>
      </c>
      <c r="D964">
        <v>70863.570000000007</v>
      </c>
    </row>
    <row r="965" spans="1:4" x14ac:dyDescent="0.25">
      <c r="A965">
        <v>45642</v>
      </c>
      <c r="B965" t="s">
        <v>792</v>
      </c>
      <c r="C965">
        <v>-30177.42</v>
      </c>
      <c r="D965">
        <v>40686.15</v>
      </c>
    </row>
    <row r="966" spans="1:4" x14ac:dyDescent="0.25">
      <c r="A966">
        <v>45643</v>
      </c>
      <c r="B966" t="s">
        <v>793</v>
      </c>
      <c r="C966">
        <v>-893.23</v>
      </c>
      <c r="D966">
        <v>39792.92</v>
      </c>
    </row>
    <row r="967" spans="1:4" x14ac:dyDescent="0.25">
      <c r="A967">
        <v>45643</v>
      </c>
      <c r="B967" t="s">
        <v>794</v>
      </c>
      <c r="C967">
        <v>-25</v>
      </c>
      <c r="D967">
        <v>39767.919999999998</v>
      </c>
    </row>
    <row r="968" spans="1:4" x14ac:dyDescent="0.25">
      <c r="A968">
        <v>45644</v>
      </c>
      <c r="B968" t="s">
        <v>785</v>
      </c>
      <c r="C968">
        <v>50</v>
      </c>
      <c r="D968">
        <v>39817.919999999998</v>
      </c>
    </row>
    <row r="969" spans="1:4" x14ac:dyDescent="0.25">
      <c r="A969">
        <v>45645</v>
      </c>
      <c r="B969" t="s">
        <v>785</v>
      </c>
      <c r="C969">
        <v>105.84</v>
      </c>
      <c r="D969">
        <v>39923.760000000002</v>
      </c>
    </row>
    <row r="970" spans="1:4" x14ac:dyDescent="0.25">
      <c r="A970">
        <v>45646</v>
      </c>
      <c r="B970" t="s">
        <v>785</v>
      </c>
      <c r="C970">
        <v>2353.25</v>
      </c>
      <c r="D970">
        <v>42277.01</v>
      </c>
    </row>
    <row r="971" spans="1:4" x14ac:dyDescent="0.25">
      <c r="A971">
        <v>45646</v>
      </c>
      <c r="B971" t="s">
        <v>795</v>
      </c>
      <c r="C971">
        <v>548.94000000000005</v>
      </c>
      <c r="D971">
        <v>42825.95</v>
      </c>
    </row>
    <row r="972" spans="1:4" x14ac:dyDescent="0.25">
      <c r="A972">
        <v>45646</v>
      </c>
      <c r="B972" t="s">
        <v>795</v>
      </c>
      <c r="C972">
        <v>540.64</v>
      </c>
      <c r="D972">
        <v>43366.59</v>
      </c>
    </row>
    <row r="973" spans="1:4" x14ac:dyDescent="0.25">
      <c r="A973">
        <v>45646</v>
      </c>
      <c r="B973" t="s">
        <v>795</v>
      </c>
      <c r="C973">
        <v>531.32000000000005</v>
      </c>
      <c r="D973">
        <v>43897.91</v>
      </c>
    </row>
    <row r="974" spans="1:4" x14ac:dyDescent="0.25">
      <c r="A974">
        <v>45646</v>
      </c>
      <c r="B974" t="s">
        <v>795</v>
      </c>
      <c r="C974">
        <v>173.23</v>
      </c>
      <c r="D974">
        <v>44071.14</v>
      </c>
    </row>
    <row r="975" spans="1:4" x14ac:dyDescent="0.25">
      <c r="A975">
        <v>45646</v>
      </c>
      <c r="B975" t="s">
        <v>795</v>
      </c>
      <c r="C975">
        <v>160.63</v>
      </c>
      <c r="D975">
        <v>44231.77</v>
      </c>
    </row>
    <row r="976" spans="1:4" x14ac:dyDescent="0.25">
      <c r="A976">
        <v>45646</v>
      </c>
      <c r="B976" t="s">
        <v>795</v>
      </c>
      <c r="C976">
        <v>45.2</v>
      </c>
      <c r="D976">
        <v>44276.97</v>
      </c>
    </row>
    <row r="977" spans="1:4" x14ac:dyDescent="0.25">
      <c r="A977">
        <v>45646</v>
      </c>
      <c r="B977" t="s">
        <v>795</v>
      </c>
      <c r="C977">
        <v>0.04</v>
      </c>
      <c r="D977">
        <v>44277.01</v>
      </c>
    </row>
    <row r="978" spans="1:4" x14ac:dyDescent="0.25">
      <c r="A978">
        <v>45649</v>
      </c>
      <c r="B978" t="s">
        <v>796</v>
      </c>
      <c r="C978">
        <v>16882</v>
      </c>
      <c r="D978">
        <v>61159.01</v>
      </c>
    </row>
    <row r="979" spans="1:4" x14ac:dyDescent="0.25">
      <c r="A979">
        <v>45649</v>
      </c>
      <c r="B979" t="s">
        <v>785</v>
      </c>
      <c r="C979">
        <v>1442.4</v>
      </c>
      <c r="D979">
        <v>62601.41</v>
      </c>
    </row>
    <row r="980" spans="1:4" x14ac:dyDescent="0.25">
      <c r="A980">
        <v>45649</v>
      </c>
      <c r="B980" t="s">
        <v>785</v>
      </c>
      <c r="C980">
        <v>701.6</v>
      </c>
      <c r="D980">
        <v>63303.01</v>
      </c>
    </row>
    <row r="981" spans="1:4" x14ac:dyDescent="0.25">
      <c r="A981">
        <v>45650</v>
      </c>
      <c r="B981" t="s">
        <v>22</v>
      </c>
      <c r="C981">
        <v>302.10000000000002</v>
      </c>
      <c r="D981">
        <v>63605.11</v>
      </c>
    </row>
    <row r="982" spans="1:4" x14ac:dyDescent="0.25">
      <c r="A982">
        <v>45650</v>
      </c>
      <c r="B982" t="s">
        <v>110</v>
      </c>
      <c r="C982">
        <v>-50</v>
      </c>
      <c r="D982">
        <v>63555.11</v>
      </c>
    </row>
    <row r="983" spans="1:4" x14ac:dyDescent="0.25">
      <c r="A983">
        <v>45652</v>
      </c>
      <c r="B983" t="s">
        <v>785</v>
      </c>
      <c r="C983">
        <v>79323.600000000006</v>
      </c>
      <c r="D983">
        <v>142878.71</v>
      </c>
    </row>
    <row r="984" spans="1:4" x14ac:dyDescent="0.25">
      <c r="A984">
        <v>45652</v>
      </c>
      <c r="B984" t="s">
        <v>785</v>
      </c>
      <c r="C984">
        <v>214.8</v>
      </c>
      <c r="D984">
        <v>143093.51</v>
      </c>
    </row>
    <row r="985" spans="1:4" x14ac:dyDescent="0.25">
      <c r="A985">
        <v>45653</v>
      </c>
      <c r="B985" t="s">
        <v>22</v>
      </c>
      <c r="C985">
        <v>225</v>
      </c>
      <c r="D985">
        <v>143318.51</v>
      </c>
    </row>
    <row r="986" spans="1:4" x14ac:dyDescent="0.25">
      <c r="A986">
        <v>45653</v>
      </c>
      <c r="B986" t="s">
        <v>797</v>
      </c>
      <c r="C986">
        <v>-401.63</v>
      </c>
      <c r="D986">
        <v>142916.88</v>
      </c>
    </row>
    <row r="987" spans="1:4" x14ac:dyDescent="0.25">
      <c r="A987">
        <v>45653</v>
      </c>
      <c r="B987" t="s">
        <v>798</v>
      </c>
      <c r="C987">
        <v>-6916.83</v>
      </c>
      <c r="D987">
        <v>136000.04999999999</v>
      </c>
    </row>
    <row r="988" spans="1:4" x14ac:dyDescent="0.25">
      <c r="A988">
        <v>45653</v>
      </c>
      <c r="B988" t="s">
        <v>799</v>
      </c>
      <c r="C988">
        <v>-36469.589999999997</v>
      </c>
      <c r="D988">
        <v>99530.46</v>
      </c>
    </row>
    <row r="989" spans="1:4" x14ac:dyDescent="0.25">
      <c r="A989">
        <v>45653</v>
      </c>
      <c r="B989" t="s">
        <v>800</v>
      </c>
      <c r="C989">
        <v>-6185.73</v>
      </c>
      <c r="D989">
        <v>93344.73</v>
      </c>
    </row>
    <row r="990" spans="1:4" x14ac:dyDescent="0.25">
      <c r="A990">
        <v>45653</v>
      </c>
      <c r="B990" t="s">
        <v>801</v>
      </c>
      <c r="C990">
        <v>-205.62</v>
      </c>
      <c r="D990">
        <v>93139.11</v>
      </c>
    </row>
    <row r="991" spans="1:4" x14ac:dyDescent="0.25">
      <c r="A991">
        <v>45656</v>
      </c>
      <c r="B991" t="s">
        <v>802</v>
      </c>
      <c r="C991">
        <v>64919</v>
      </c>
      <c r="D991">
        <v>158058.10999999999</v>
      </c>
    </row>
    <row r="992" spans="1:4" x14ac:dyDescent="0.25">
      <c r="A992">
        <v>45656</v>
      </c>
      <c r="B992" t="s">
        <v>785</v>
      </c>
      <c r="C992">
        <v>324</v>
      </c>
      <c r="D992">
        <v>158382.10999999999</v>
      </c>
    </row>
    <row r="993" spans="1:4" x14ac:dyDescent="0.25">
      <c r="A993">
        <v>45656</v>
      </c>
      <c r="B993" t="s">
        <v>803</v>
      </c>
      <c r="C993">
        <v>-14000</v>
      </c>
      <c r="D993">
        <v>144382.10999999999</v>
      </c>
    </row>
    <row r="994" spans="1:4" x14ac:dyDescent="0.25">
      <c r="A994">
        <v>45656</v>
      </c>
      <c r="B994" t="s">
        <v>804</v>
      </c>
      <c r="C994">
        <v>-16</v>
      </c>
      <c r="D994">
        <v>144366.10999999999</v>
      </c>
    </row>
    <row r="995" spans="1:4" x14ac:dyDescent="0.25">
      <c r="A995">
        <v>45657</v>
      </c>
      <c r="B995" t="s">
        <v>805</v>
      </c>
      <c r="C995">
        <v>-390.74</v>
      </c>
      <c r="D995">
        <v>143975.37</v>
      </c>
    </row>
    <row r="996" spans="1:4" x14ac:dyDescent="0.25">
      <c r="A996">
        <v>45657</v>
      </c>
      <c r="B996" t="s">
        <v>806</v>
      </c>
      <c r="C996">
        <v>-395.42</v>
      </c>
      <c r="D996">
        <v>143579.95000000001</v>
      </c>
    </row>
    <row r="997" spans="1:4" x14ac:dyDescent="0.25">
      <c r="A997">
        <v>45657</v>
      </c>
      <c r="B997" t="s">
        <v>807</v>
      </c>
      <c r="C997">
        <v>-154.54</v>
      </c>
      <c r="D997">
        <v>143425.41</v>
      </c>
    </row>
    <row r="998" spans="1:4" x14ac:dyDescent="0.25">
      <c r="A998">
        <v>45659</v>
      </c>
      <c r="B998" t="s">
        <v>785</v>
      </c>
      <c r="C998">
        <v>7331.56</v>
      </c>
      <c r="D998">
        <v>150756.97</v>
      </c>
    </row>
    <row r="999" spans="1:4" x14ac:dyDescent="0.25">
      <c r="A999">
        <v>45659</v>
      </c>
      <c r="B999" t="s">
        <v>785</v>
      </c>
      <c r="C999">
        <v>229.2</v>
      </c>
      <c r="D999">
        <v>150986.17000000001</v>
      </c>
    </row>
    <row r="1000" spans="1:4" x14ac:dyDescent="0.25">
      <c r="A1000">
        <v>45659</v>
      </c>
      <c r="B1000" t="s">
        <v>808</v>
      </c>
      <c r="C1000">
        <v>-142</v>
      </c>
      <c r="D1000">
        <v>150844.17000000001</v>
      </c>
    </row>
    <row r="1001" spans="1:4" x14ac:dyDescent="0.25">
      <c r="A1001">
        <v>45659</v>
      </c>
      <c r="B1001" t="s">
        <v>809</v>
      </c>
      <c r="C1001">
        <v>-180</v>
      </c>
      <c r="D1001">
        <v>150664.17000000001</v>
      </c>
    </row>
    <row r="1002" spans="1:4" x14ac:dyDescent="0.25">
      <c r="A1002">
        <v>45659</v>
      </c>
      <c r="B1002" t="s">
        <v>810</v>
      </c>
      <c r="C1002">
        <v>-51.43</v>
      </c>
      <c r="D1002">
        <v>150612.74</v>
      </c>
    </row>
    <row r="1003" spans="1:4" x14ac:dyDescent="0.25">
      <c r="A1003">
        <v>45659</v>
      </c>
      <c r="B1003" t="s">
        <v>811</v>
      </c>
      <c r="C1003">
        <v>-31.86</v>
      </c>
      <c r="D1003">
        <v>150580.88</v>
      </c>
    </row>
    <row r="1004" spans="1:4" x14ac:dyDescent="0.25">
      <c r="A1004">
        <v>45659</v>
      </c>
      <c r="B1004" t="s">
        <v>812</v>
      </c>
      <c r="C1004">
        <v>-8.26</v>
      </c>
      <c r="D1004">
        <v>150572.62</v>
      </c>
    </row>
    <row r="1005" spans="1:4" x14ac:dyDescent="0.25">
      <c r="A1005">
        <v>45659</v>
      </c>
      <c r="B1005" t="s">
        <v>813</v>
      </c>
      <c r="C1005">
        <v>-169.83</v>
      </c>
      <c r="D1005">
        <v>150402.79</v>
      </c>
    </row>
    <row r="1006" spans="1:4" x14ac:dyDescent="0.25">
      <c r="A1006">
        <v>45659</v>
      </c>
      <c r="B1006" t="s">
        <v>814</v>
      </c>
      <c r="C1006">
        <v>-8.4700000000000006</v>
      </c>
      <c r="D1006">
        <v>150394.32</v>
      </c>
    </row>
    <row r="1007" spans="1:4" x14ac:dyDescent="0.25">
      <c r="A1007">
        <v>45659</v>
      </c>
      <c r="B1007" t="s">
        <v>815</v>
      </c>
      <c r="C1007">
        <v>-179.71</v>
      </c>
      <c r="D1007">
        <v>150214.60999999999</v>
      </c>
    </row>
    <row r="1008" spans="1:4" x14ac:dyDescent="0.25">
      <c r="A1008">
        <v>45659</v>
      </c>
      <c r="B1008" t="s">
        <v>816</v>
      </c>
      <c r="C1008">
        <v>-9.1</v>
      </c>
      <c r="D1008">
        <v>150205.51</v>
      </c>
    </row>
    <row r="1009" spans="1:4" x14ac:dyDescent="0.25">
      <c r="A1009">
        <v>45659</v>
      </c>
      <c r="B1009" t="s">
        <v>817</v>
      </c>
      <c r="C1009">
        <v>-6400</v>
      </c>
      <c r="D1009">
        <v>143805.51</v>
      </c>
    </row>
    <row r="1010" spans="1:4" x14ac:dyDescent="0.25">
      <c r="A1010">
        <v>45659</v>
      </c>
      <c r="B1010" t="s">
        <v>818</v>
      </c>
      <c r="C1010">
        <v>-78184.95</v>
      </c>
      <c r="D1010">
        <v>65620.56</v>
      </c>
    </row>
    <row r="1011" spans="1:4" x14ac:dyDescent="0.25">
      <c r="A1011">
        <v>45659</v>
      </c>
      <c r="B1011" t="s">
        <v>819</v>
      </c>
      <c r="C1011">
        <v>-5300.8</v>
      </c>
      <c r="D1011">
        <v>60319.76</v>
      </c>
    </row>
    <row r="1012" spans="1:4" x14ac:dyDescent="0.25">
      <c r="A1012">
        <v>45660</v>
      </c>
      <c r="B1012" t="s">
        <v>820</v>
      </c>
      <c r="C1012">
        <v>-204.38</v>
      </c>
      <c r="D1012">
        <v>60115.38</v>
      </c>
    </row>
    <row r="1013" spans="1:4" x14ac:dyDescent="0.25">
      <c r="A1013">
        <v>45660</v>
      </c>
      <c r="B1013" t="s">
        <v>821</v>
      </c>
      <c r="C1013">
        <v>-147.69</v>
      </c>
      <c r="D1013">
        <v>59967.69</v>
      </c>
    </row>
    <row r="1014" spans="1:4" x14ac:dyDescent="0.25">
      <c r="A1014">
        <v>45660</v>
      </c>
      <c r="B1014" t="s">
        <v>822</v>
      </c>
      <c r="C1014">
        <v>-106.2</v>
      </c>
      <c r="D1014">
        <v>59861.49</v>
      </c>
    </row>
    <row r="1015" spans="1:4" x14ac:dyDescent="0.25">
      <c r="A1015">
        <v>45663</v>
      </c>
      <c r="B1015" t="s">
        <v>785</v>
      </c>
      <c r="C1015">
        <v>26485</v>
      </c>
      <c r="D1015">
        <v>86346.49</v>
      </c>
    </row>
    <row r="1016" spans="1:4" x14ac:dyDescent="0.25">
      <c r="A1016">
        <v>45663</v>
      </c>
      <c r="B1016" t="s">
        <v>823</v>
      </c>
      <c r="C1016">
        <v>20717</v>
      </c>
      <c r="D1016">
        <v>107063.49</v>
      </c>
    </row>
    <row r="1017" spans="1:4" x14ac:dyDescent="0.25">
      <c r="A1017">
        <v>45663</v>
      </c>
      <c r="B1017" t="s">
        <v>824</v>
      </c>
      <c r="C1017">
        <v>-274.13</v>
      </c>
      <c r="D1017">
        <v>106789.36</v>
      </c>
    </row>
    <row r="1018" spans="1:4" x14ac:dyDescent="0.25">
      <c r="A1018">
        <v>45663</v>
      </c>
      <c r="B1018" t="s">
        <v>825</v>
      </c>
      <c r="C1018">
        <v>-20000</v>
      </c>
      <c r="D1018">
        <v>86789.36</v>
      </c>
    </row>
    <row r="1019" spans="1:4" x14ac:dyDescent="0.25">
      <c r="A1019">
        <v>45664</v>
      </c>
      <c r="B1019" t="s">
        <v>826</v>
      </c>
      <c r="C1019">
        <v>-138.26</v>
      </c>
      <c r="D1019">
        <v>86651.1</v>
      </c>
    </row>
    <row r="1020" spans="1:4" x14ac:dyDescent="0.25">
      <c r="A1020">
        <v>45664</v>
      </c>
      <c r="B1020" t="s">
        <v>826</v>
      </c>
      <c r="C1020">
        <v>-2791.41</v>
      </c>
      <c r="D1020">
        <v>83859.69</v>
      </c>
    </row>
    <row r="1021" spans="1:4" x14ac:dyDescent="0.25">
      <c r="A1021">
        <v>45664</v>
      </c>
      <c r="B1021" t="s">
        <v>827</v>
      </c>
      <c r="C1021">
        <v>-5089.5</v>
      </c>
      <c r="D1021">
        <v>78770.19</v>
      </c>
    </row>
    <row r="1022" spans="1:4" x14ac:dyDescent="0.25">
      <c r="A1022">
        <v>45664</v>
      </c>
      <c r="B1022" t="s">
        <v>110</v>
      </c>
      <c r="C1022">
        <v>-50</v>
      </c>
      <c r="D1022">
        <v>78720.19</v>
      </c>
    </row>
    <row r="1023" spans="1:4" x14ac:dyDescent="0.25">
      <c r="A1023">
        <v>45665</v>
      </c>
      <c r="B1023" t="s">
        <v>785</v>
      </c>
      <c r="C1023">
        <v>663.02</v>
      </c>
      <c r="D1023">
        <v>79383.210000000006</v>
      </c>
    </row>
    <row r="1024" spans="1:4" x14ac:dyDescent="0.25">
      <c r="A1024">
        <v>45665</v>
      </c>
      <c r="B1024" t="s">
        <v>828</v>
      </c>
      <c r="C1024">
        <v>-500</v>
      </c>
      <c r="D1024">
        <v>78883.210000000006</v>
      </c>
    </row>
    <row r="1025" spans="1:4" x14ac:dyDescent="0.25">
      <c r="A1025">
        <v>45666</v>
      </c>
      <c r="B1025" t="s">
        <v>785</v>
      </c>
      <c r="C1025">
        <v>346</v>
      </c>
      <c r="D1025">
        <v>79229.210000000006</v>
      </c>
    </row>
    <row r="1026" spans="1:4" x14ac:dyDescent="0.25">
      <c r="A1026">
        <v>45666</v>
      </c>
      <c r="B1026" t="s">
        <v>829</v>
      </c>
      <c r="C1026">
        <v>-304.58</v>
      </c>
      <c r="D1026">
        <v>78924.63</v>
      </c>
    </row>
    <row r="1027" spans="1:4" x14ac:dyDescent="0.25">
      <c r="A1027">
        <v>45666</v>
      </c>
      <c r="B1027" t="s">
        <v>830</v>
      </c>
      <c r="C1027">
        <v>-1420</v>
      </c>
      <c r="D1027">
        <v>77504.63</v>
      </c>
    </row>
    <row r="1028" spans="1:4" x14ac:dyDescent="0.25">
      <c r="A1028">
        <v>45666</v>
      </c>
      <c r="B1028" t="s">
        <v>831</v>
      </c>
      <c r="C1028">
        <v>-17549.900000000001</v>
      </c>
      <c r="D1028">
        <v>59954.73</v>
      </c>
    </row>
    <row r="1029" spans="1:4" x14ac:dyDescent="0.25">
      <c r="A1029">
        <v>45666</v>
      </c>
      <c r="B1029" t="s">
        <v>44</v>
      </c>
      <c r="C1029">
        <v>-126.43</v>
      </c>
      <c r="D1029">
        <v>59828.3</v>
      </c>
    </row>
    <row r="1030" spans="1:4" x14ac:dyDescent="0.25">
      <c r="A1030">
        <v>45667</v>
      </c>
      <c r="B1030" t="s">
        <v>785</v>
      </c>
      <c r="C1030">
        <v>3266.05</v>
      </c>
      <c r="D1030">
        <v>63094.35</v>
      </c>
    </row>
    <row r="1031" spans="1:4" x14ac:dyDescent="0.25">
      <c r="A1031">
        <v>45667</v>
      </c>
      <c r="B1031" t="s">
        <v>832</v>
      </c>
      <c r="C1031">
        <v>-21486.77</v>
      </c>
      <c r="D1031">
        <v>41607.58</v>
      </c>
    </row>
    <row r="1032" spans="1:4" x14ac:dyDescent="0.25">
      <c r="A1032">
        <v>45667</v>
      </c>
      <c r="B1032" t="s">
        <v>833</v>
      </c>
      <c r="C1032">
        <v>-5020.3900000000003</v>
      </c>
      <c r="D1032">
        <v>36587.19</v>
      </c>
    </row>
    <row r="1033" spans="1:4" x14ac:dyDescent="0.25">
      <c r="A1033">
        <v>45667</v>
      </c>
      <c r="B1033" t="s">
        <v>834</v>
      </c>
      <c r="C1033">
        <v>-433.38</v>
      </c>
      <c r="D1033">
        <v>36153.81</v>
      </c>
    </row>
    <row r="1034" spans="1:4" x14ac:dyDescent="0.25">
      <c r="A1034">
        <v>45670</v>
      </c>
      <c r="B1034" t="s">
        <v>835</v>
      </c>
      <c r="C1034">
        <v>19018</v>
      </c>
      <c r="D1034">
        <v>55171.81</v>
      </c>
    </row>
    <row r="1035" spans="1:4" x14ac:dyDescent="0.25">
      <c r="A1035">
        <v>45670</v>
      </c>
      <c r="B1035" t="s">
        <v>836</v>
      </c>
      <c r="C1035">
        <v>-20</v>
      </c>
      <c r="D1035">
        <v>55151.81</v>
      </c>
    </row>
    <row r="1036" spans="1:4" x14ac:dyDescent="0.25">
      <c r="A1036">
        <v>45671</v>
      </c>
      <c r="B1036" t="s">
        <v>22</v>
      </c>
      <c r="C1036">
        <v>436.8</v>
      </c>
      <c r="D1036">
        <v>55588.61</v>
      </c>
    </row>
    <row r="1037" spans="1:4" x14ac:dyDescent="0.25">
      <c r="A1037">
        <v>45672</v>
      </c>
      <c r="B1037" t="s">
        <v>785</v>
      </c>
      <c r="C1037">
        <v>280</v>
      </c>
      <c r="D1037">
        <v>55868.61</v>
      </c>
    </row>
    <row r="1038" spans="1:4" x14ac:dyDescent="0.25">
      <c r="A1038">
        <v>45672</v>
      </c>
      <c r="B1038" t="s">
        <v>837</v>
      </c>
      <c r="C1038">
        <v>-10000</v>
      </c>
      <c r="D1038">
        <v>45868.61</v>
      </c>
    </row>
    <row r="1039" spans="1:4" x14ac:dyDescent="0.25">
      <c r="A1039">
        <v>45673</v>
      </c>
      <c r="B1039" t="s">
        <v>785</v>
      </c>
      <c r="C1039">
        <v>872.62</v>
      </c>
      <c r="D1039">
        <v>46741.23</v>
      </c>
    </row>
    <row r="1040" spans="1:4" x14ac:dyDescent="0.25">
      <c r="A1040">
        <v>45674</v>
      </c>
      <c r="B1040" t="s">
        <v>785</v>
      </c>
      <c r="C1040">
        <v>3907.46</v>
      </c>
      <c r="D1040">
        <v>50648.69</v>
      </c>
    </row>
    <row r="1041" spans="1:4" x14ac:dyDescent="0.25">
      <c r="A1041">
        <v>45674</v>
      </c>
      <c r="B1041" t="s">
        <v>838</v>
      </c>
      <c r="C1041">
        <v>-992.67</v>
      </c>
      <c r="D1041">
        <v>49656.02</v>
      </c>
    </row>
    <row r="1042" spans="1:4" x14ac:dyDescent="0.25">
      <c r="A1042">
        <v>45674</v>
      </c>
      <c r="B1042" t="s">
        <v>839</v>
      </c>
      <c r="C1042">
        <v>-390</v>
      </c>
      <c r="D1042">
        <v>49266.02</v>
      </c>
    </row>
    <row r="1043" spans="1:4" x14ac:dyDescent="0.25">
      <c r="A1043">
        <v>45678</v>
      </c>
      <c r="B1043" t="s">
        <v>840</v>
      </c>
      <c r="C1043">
        <v>5784</v>
      </c>
      <c r="D1043">
        <v>55050.02</v>
      </c>
    </row>
    <row r="1044" spans="1:4" x14ac:dyDescent="0.25">
      <c r="A1044">
        <v>45678</v>
      </c>
      <c r="B1044" t="s">
        <v>841</v>
      </c>
      <c r="C1044">
        <v>1320.56</v>
      </c>
      <c r="D1044">
        <v>56370.58</v>
      </c>
    </row>
    <row r="1045" spans="1:4" x14ac:dyDescent="0.25">
      <c r="A1045">
        <v>45678</v>
      </c>
      <c r="B1045" t="s">
        <v>22</v>
      </c>
      <c r="C1045">
        <v>350</v>
      </c>
      <c r="D1045">
        <v>56720.58</v>
      </c>
    </row>
    <row r="1046" spans="1:4" x14ac:dyDescent="0.25">
      <c r="A1046">
        <v>45678</v>
      </c>
      <c r="B1046" t="s">
        <v>22</v>
      </c>
      <c r="C1046">
        <v>251.88</v>
      </c>
      <c r="D1046">
        <v>56972.46</v>
      </c>
    </row>
    <row r="1047" spans="1:4" x14ac:dyDescent="0.25">
      <c r="A1047">
        <v>45678</v>
      </c>
      <c r="B1047" t="s">
        <v>785</v>
      </c>
      <c r="C1047">
        <v>232</v>
      </c>
      <c r="D1047">
        <v>57204.46</v>
      </c>
    </row>
    <row r="1048" spans="1:4" x14ac:dyDescent="0.25">
      <c r="A1048">
        <v>45678</v>
      </c>
      <c r="B1048" t="s">
        <v>842</v>
      </c>
      <c r="C1048">
        <v>-3574.07</v>
      </c>
      <c r="D1048">
        <v>53630.39</v>
      </c>
    </row>
    <row r="1049" spans="1:4" x14ac:dyDescent="0.25">
      <c r="A1049">
        <v>45679</v>
      </c>
      <c r="B1049" t="s">
        <v>785</v>
      </c>
      <c r="C1049">
        <v>399.8</v>
      </c>
      <c r="D1049">
        <v>54030.19</v>
      </c>
    </row>
    <row r="1050" spans="1:4" x14ac:dyDescent="0.25">
      <c r="A1050">
        <v>45679</v>
      </c>
      <c r="B1050" t="s">
        <v>110</v>
      </c>
      <c r="C1050">
        <v>-50</v>
      </c>
      <c r="D1050">
        <v>53980.19</v>
      </c>
    </row>
    <row r="1051" spans="1:4" x14ac:dyDescent="0.25">
      <c r="A1051">
        <v>45680</v>
      </c>
      <c r="B1051" t="s">
        <v>22</v>
      </c>
      <c r="C1051">
        <v>16900</v>
      </c>
      <c r="D1051">
        <v>70880.19</v>
      </c>
    </row>
    <row r="1052" spans="1:4" x14ac:dyDescent="0.25">
      <c r="A1052">
        <v>45680</v>
      </c>
      <c r="B1052" t="s">
        <v>785</v>
      </c>
      <c r="C1052">
        <v>6194.4</v>
      </c>
      <c r="D1052">
        <v>77074.59</v>
      </c>
    </row>
    <row r="1053" spans="1:4" x14ac:dyDescent="0.25">
      <c r="A1053">
        <v>45681</v>
      </c>
      <c r="B1053" t="s">
        <v>785</v>
      </c>
      <c r="C1053">
        <v>1214.8</v>
      </c>
      <c r="D1053">
        <v>78289.39</v>
      </c>
    </row>
    <row r="1054" spans="1:4" x14ac:dyDescent="0.25">
      <c r="A1054">
        <v>45681</v>
      </c>
      <c r="B1054" t="s">
        <v>22</v>
      </c>
      <c r="C1054">
        <v>100</v>
      </c>
      <c r="D1054">
        <v>78389.39</v>
      </c>
    </row>
    <row r="1055" spans="1:4" x14ac:dyDescent="0.25">
      <c r="A1055">
        <v>45681</v>
      </c>
      <c r="B1055" t="s">
        <v>843</v>
      </c>
      <c r="C1055">
        <v>-25780.19</v>
      </c>
      <c r="D1055">
        <v>52609.2</v>
      </c>
    </row>
    <row r="1056" spans="1:4" x14ac:dyDescent="0.25">
      <c r="A1056">
        <v>45681</v>
      </c>
      <c r="B1056" t="s">
        <v>844</v>
      </c>
      <c r="C1056">
        <v>-7589.02</v>
      </c>
      <c r="D1056">
        <v>45020.18</v>
      </c>
    </row>
    <row r="1057" spans="1:4" x14ac:dyDescent="0.25">
      <c r="A1057">
        <v>45681</v>
      </c>
      <c r="B1057" t="s">
        <v>845</v>
      </c>
      <c r="C1057">
        <v>-669.57</v>
      </c>
      <c r="D1057">
        <v>44350.61</v>
      </c>
    </row>
    <row r="1058" spans="1:4" x14ac:dyDescent="0.25">
      <c r="A1058">
        <v>45684</v>
      </c>
      <c r="B1058" t="s">
        <v>846</v>
      </c>
      <c r="C1058">
        <v>8688</v>
      </c>
      <c r="D1058">
        <v>53038.61</v>
      </c>
    </row>
    <row r="1059" spans="1:4" x14ac:dyDescent="0.25">
      <c r="A1059">
        <v>45684</v>
      </c>
      <c r="B1059" t="s">
        <v>188</v>
      </c>
      <c r="C1059">
        <v>2978.5</v>
      </c>
      <c r="D1059">
        <v>56017.11</v>
      </c>
    </row>
    <row r="1060" spans="1:4" x14ac:dyDescent="0.25">
      <c r="A1060">
        <v>45684</v>
      </c>
      <c r="B1060" t="s">
        <v>785</v>
      </c>
      <c r="C1060">
        <v>500</v>
      </c>
      <c r="D1060">
        <v>56517.11</v>
      </c>
    </row>
    <row r="1061" spans="1:4" x14ac:dyDescent="0.25">
      <c r="A1061">
        <v>45684</v>
      </c>
      <c r="B1061" t="s">
        <v>785</v>
      </c>
      <c r="C1061">
        <v>226</v>
      </c>
      <c r="D1061">
        <v>56743.11</v>
      </c>
    </row>
    <row r="1062" spans="1:4" x14ac:dyDescent="0.25">
      <c r="A1062">
        <v>45684</v>
      </c>
      <c r="B1062" t="s">
        <v>847</v>
      </c>
      <c r="C1062">
        <v>-2000</v>
      </c>
      <c r="D1062">
        <v>54743.11</v>
      </c>
    </row>
    <row r="1063" spans="1:4" x14ac:dyDescent="0.25">
      <c r="A1063">
        <v>45684</v>
      </c>
      <c r="B1063" t="s">
        <v>848</v>
      </c>
      <c r="C1063">
        <v>-25</v>
      </c>
      <c r="D1063">
        <v>54718.11</v>
      </c>
    </row>
    <row r="1064" spans="1:4" x14ac:dyDescent="0.25">
      <c r="A1064">
        <v>45685</v>
      </c>
      <c r="B1064" t="s">
        <v>849</v>
      </c>
      <c r="C1064">
        <v>-33.86</v>
      </c>
      <c r="D1064">
        <v>54684.25</v>
      </c>
    </row>
    <row r="1065" spans="1:4" x14ac:dyDescent="0.25">
      <c r="A1065">
        <v>45686</v>
      </c>
      <c r="B1065" t="s">
        <v>785</v>
      </c>
      <c r="C1065">
        <v>1140.0999999999999</v>
      </c>
      <c r="D1065">
        <v>55824.35</v>
      </c>
    </row>
    <row r="1066" spans="1:4" x14ac:dyDescent="0.25">
      <c r="A1066">
        <v>45686</v>
      </c>
      <c r="B1066" t="s">
        <v>850</v>
      </c>
      <c r="C1066">
        <v>-15000</v>
      </c>
      <c r="D1066">
        <v>40824.35</v>
      </c>
    </row>
    <row r="1067" spans="1:4" x14ac:dyDescent="0.25">
      <c r="A1067">
        <v>45686</v>
      </c>
      <c r="B1067" t="s">
        <v>851</v>
      </c>
      <c r="C1067">
        <v>-36.159999999999997</v>
      </c>
      <c r="D1067">
        <v>40788.19</v>
      </c>
    </row>
    <row r="1068" spans="1:4" x14ac:dyDescent="0.25">
      <c r="A1068">
        <v>45687</v>
      </c>
      <c r="B1068" t="s">
        <v>785</v>
      </c>
      <c r="C1068">
        <v>14581.87</v>
      </c>
      <c r="D1068">
        <v>55370.06</v>
      </c>
    </row>
    <row r="1069" spans="1:4" x14ac:dyDescent="0.25">
      <c r="A1069">
        <v>45687</v>
      </c>
      <c r="B1069" t="s">
        <v>852</v>
      </c>
      <c r="C1069">
        <v>-2845.5</v>
      </c>
      <c r="D1069">
        <v>52524.56</v>
      </c>
    </row>
    <row r="1070" spans="1:4" x14ac:dyDescent="0.25">
      <c r="A1070">
        <v>45688</v>
      </c>
      <c r="B1070" t="s">
        <v>785</v>
      </c>
      <c r="C1070">
        <v>1500</v>
      </c>
      <c r="D1070">
        <v>54024.56</v>
      </c>
    </row>
    <row r="1071" spans="1:4" x14ac:dyDescent="0.25">
      <c r="A1071">
        <v>45688</v>
      </c>
      <c r="B1071" t="s">
        <v>827</v>
      </c>
      <c r="C1071">
        <v>-4801</v>
      </c>
      <c r="D1071">
        <v>49223.56</v>
      </c>
    </row>
    <row r="1072" spans="1:4" x14ac:dyDescent="0.25">
      <c r="A1072">
        <v>45688</v>
      </c>
      <c r="B1072" t="s">
        <v>853</v>
      </c>
      <c r="C1072">
        <v>-250</v>
      </c>
      <c r="D1072">
        <v>48973.56</v>
      </c>
    </row>
    <row r="1073" spans="1:4" x14ac:dyDescent="0.25">
      <c r="A1073">
        <v>45691</v>
      </c>
      <c r="B1073" t="s">
        <v>854</v>
      </c>
      <c r="C1073">
        <v>7255</v>
      </c>
      <c r="D1073">
        <v>56228.56</v>
      </c>
    </row>
    <row r="1074" spans="1:4" x14ac:dyDescent="0.25">
      <c r="A1074">
        <v>45691</v>
      </c>
      <c r="B1074" t="s">
        <v>785</v>
      </c>
      <c r="C1074">
        <v>2830.36</v>
      </c>
      <c r="D1074">
        <v>59058.92</v>
      </c>
    </row>
    <row r="1075" spans="1:4" x14ac:dyDescent="0.25">
      <c r="A1075">
        <v>45691</v>
      </c>
      <c r="B1075" t="s">
        <v>785</v>
      </c>
      <c r="C1075">
        <v>771.1</v>
      </c>
      <c r="D1075">
        <v>59830.02</v>
      </c>
    </row>
    <row r="1076" spans="1:4" x14ac:dyDescent="0.25">
      <c r="A1076">
        <v>45691</v>
      </c>
      <c r="B1076" t="s">
        <v>22</v>
      </c>
      <c r="C1076">
        <v>225</v>
      </c>
      <c r="D1076">
        <v>60055.02</v>
      </c>
    </row>
    <row r="1077" spans="1:4" x14ac:dyDescent="0.25">
      <c r="A1077">
        <v>45691</v>
      </c>
      <c r="B1077" t="s">
        <v>22</v>
      </c>
      <c r="C1077">
        <v>192.6</v>
      </c>
      <c r="D1077">
        <v>60247.62</v>
      </c>
    </row>
    <row r="1078" spans="1:4" x14ac:dyDescent="0.25">
      <c r="A1078">
        <v>45691</v>
      </c>
      <c r="B1078" t="s">
        <v>855</v>
      </c>
      <c r="C1078">
        <v>-232.69</v>
      </c>
      <c r="D1078">
        <v>60014.93</v>
      </c>
    </row>
    <row r="1079" spans="1:4" x14ac:dyDescent="0.25">
      <c r="A1079">
        <v>45691</v>
      </c>
      <c r="B1079" t="s">
        <v>856</v>
      </c>
      <c r="C1079">
        <v>-421.82</v>
      </c>
      <c r="D1079">
        <v>59593.11</v>
      </c>
    </row>
    <row r="1080" spans="1:4" x14ac:dyDescent="0.25">
      <c r="A1080">
        <v>45691</v>
      </c>
      <c r="B1080" t="s">
        <v>819</v>
      </c>
      <c r="C1080">
        <v>-3291.3</v>
      </c>
      <c r="D1080">
        <v>56301.81</v>
      </c>
    </row>
    <row r="1081" spans="1:4" x14ac:dyDescent="0.25">
      <c r="A1081">
        <v>45691</v>
      </c>
      <c r="B1081" t="s">
        <v>720</v>
      </c>
      <c r="C1081">
        <v>-638.25</v>
      </c>
      <c r="D1081">
        <v>55663.56</v>
      </c>
    </row>
    <row r="1082" spans="1:4" x14ac:dyDescent="0.25">
      <c r="A1082">
        <v>45692</v>
      </c>
      <c r="B1082" t="s">
        <v>110</v>
      </c>
      <c r="C1082">
        <v>-50</v>
      </c>
      <c r="D1082">
        <v>55613.56</v>
      </c>
    </row>
    <row r="1083" spans="1:4" x14ac:dyDescent="0.25">
      <c r="A1083">
        <v>45693</v>
      </c>
      <c r="B1083" t="s">
        <v>785</v>
      </c>
      <c r="C1083">
        <v>140.4</v>
      </c>
      <c r="D1083">
        <v>55753.96</v>
      </c>
    </row>
    <row r="1084" spans="1:4" x14ac:dyDescent="0.25">
      <c r="A1084">
        <v>45693</v>
      </c>
      <c r="B1084" t="s">
        <v>785</v>
      </c>
      <c r="C1084">
        <v>57.38</v>
      </c>
      <c r="D1084">
        <v>55811.34</v>
      </c>
    </row>
    <row r="1085" spans="1:4" x14ac:dyDescent="0.25">
      <c r="A1085">
        <v>45693</v>
      </c>
      <c r="B1085" t="s">
        <v>857</v>
      </c>
      <c r="C1085">
        <v>-367.19</v>
      </c>
      <c r="D1085">
        <v>55444.15</v>
      </c>
    </row>
    <row r="1086" spans="1:4" x14ac:dyDescent="0.25">
      <c r="A1086">
        <v>45694</v>
      </c>
      <c r="B1086" t="s">
        <v>785</v>
      </c>
      <c r="C1086">
        <v>12149.9</v>
      </c>
      <c r="D1086">
        <v>67594.05</v>
      </c>
    </row>
    <row r="1087" spans="1:4" x14ac:dyDescent="0.25">
      <c r="A1087">
        <v>45695</v>
      </c>
      <c r="B1087" t="s">
        <v>785</v>
      </c>
      <c r="C1087">
        <v>2247.5</v>
      </c>
      <c r="D1087">
        <v>69841.55</v>
      </c>
    </row>
    <row r="1088" spans="1:4" x14ac:dyDescent="0.25">
      <c r="A1088">
        <v>45695</v>
      </c>
      <c r="B1088" t="s">
        <v>22</v>
      </c>
      <c r="C1088">
        <v>1750</v>
      </c>
      <c r="D1088">
        <v>71591.55</v>
      </c>
    </row>
    <row r="1089" spans="1:4" x14ac:dyDescent="0.25">
      <c r="A1089">
        <v>45695</v>
      </c>
      <c r="B1089" t="s">
        <v>22</v>
      </c>
      <c r="C1089">
        <v>1005.8</v>
      </c>
      <c r="D1089">
        <v>72597.350000000006</v>
      </c>
    </row>
    <row r="1090" spans="1:4" x14ac:dyDescent="0.25">
      <c r="A1090">
        <v>45695</v>
      </c>
      <c r="B1090" t="s">
        <v>22</v>
      </c>
      <c r="C1090">
        <v>912</v>
      </c>
      <c r="D1090">
        <v>73509.350000000006</v>
      </c>
    </row>
    <row r="1091" spans="1:4" x14ac:dyDescent="0.25">
      <c r="A1091">
        <v>45695</v>
      </c>
      <c r="B1091" t="s">
        <v>22</v>
      </c>
      <c r="C1091">
        <v>100</v>
      </c>
      <c r="D1091">
        <v>73609.350000000006</v>
      </c>
    </row>
    <row r="1092" spans="1:4" x14ac:dyDescent="0.25">
      <c r="A1092">
        <v>45695</v>
      </c>
      <c r="B1092" t="s">
        <v>858</v>
      </c>
      <c r="C1092">
        <v>-250</v>
      </c>
      <c r="D1092">
        <v>73359.350000000006</v>
      </c>
    </row>
    <row r="1093" spans="1:4" x14ac:dyDescent="0.25">
      <c r="A1093">
        <v>45695</v>
      </c>
      <c r="B1093" t="s">
        <v>859</v>
      </c>
      <c r="C1093">
        <v>-26101.68</v>
      </c>
      <c r="D1093">
        <v>47257.67</v>
      </c>
    </row>
    <row r="1094" spans="1:4" x14ac:dyDescent="0.25">
      <c r="A1094">
        <v>45695</v>
      </c>
      <c r="B1094" t="s">
        <v>860</v>
      </c>
      <c r="C1094">
        <v>-7728.43</v>
      </c>
      <c r="D1094">
        <v>39529.24</v>
      </c>
    </row>
    <row r="1095" spans="1:4" x14ac:dyDescent="0.25">
      <c r="A1095">
        <v>45695</v>
      </c>
      <c r="B1095" t="s">
        <v>861</v>
      </c>
      <c r="C1095">
        <v>-653.54999999999995</v>
      </c>
      <c r="D1095">
        <v>38875.69</v>
      </c>
    </row>
    <row r="1096" spans="1:4" x14ac:dyDescent="0.25">
      <c r="A1096">
        <v>45698</v>
      </c>
      <c r="B1096" t="s">
        <v>862</v>
      </c>
      <c r="C1096">
        <v>22337</v>
      </c>
      <c r="D1096">
        <v>61212.69</v>
      </c>
    </row>
    <row r="1097" spans="1:4" x14ac:dyDescent="0.25">
      <c r="A1097">
        <v>45698</v>
      </c>
      <c r="B1097" t="s">
        <v>785</v>
      </c>
      <c r="C1097">
        <v>400</v>
      </c>
      <c r="D1097">
        <v>61612.69</v>
      </c>
    </row>
    <row r="1098" spans="1:4" x14ac:dyDescent="0.25">
      <c r="A1098">
        <v>45698</v>
      </c>
      <c r="B1098" t="s">
        <v>863</v>
      </c>
      <c r="C1098">
        <v>-510.24</v>
      </c>
      <c r="D1098">
        <v>61102.45</v>
      </c>
    </row>
    <row r="1099" spans="1:4" x14ac:dyDescent="0.25">
      <c r="A1099">
        <v>45698</v>
      </c>
      <c r="B1099" t="s">
        <v>864</v>
      </c>
      <c r="C1099">
        <v>-27</v>
      </c>
      <c r="D1099">
        <v>61075.45</v>
      </c>
    </row>
    <row r="1100" spans="1:4" x14ac:dyDescent="0.25">
      <c r="A1100">
        <v>45700</v>
      </c>
      <c r="B1100" t="s">
        <v>785</v>
      </c>
      <c r="C1100">
        <v>394.6</v>
      </c>
      <c r="D1100">
        <v>61470.05</v>
      </c>
    </row>
    <row r="1101" spans="1:4" x14ac:dyDescent="0.25">
      <c r="A1101">
        <v>45700</v>
      </c>
      <c r="B1101" t="s">
        <v>44</v>
      </c>
      <c r="C1101">
        <v>-126.43</v>
      </c>
      <c r="D1101">
        <v>61343.62</v>
      </c>
    </row>
    <row r="1102" spans="1:4" x14ac:dyDescent="0.25">
      <c r="A1102">
        <v>45702</v>
      </c>
      <c r="B1102" t="s">
        <v>865</v>
      </c>
      <c r="C1102">
        <v>-400</v>
      </c>
      <c r="D1102">
        <v>60943.62</v>
      </c>
    </row>
    <row r="1103" spans="1:4" x14ac:dyDescent="0.25">
      <c r="A1103">
        <v>45706</v>
      </c>
      <c r="B1103" t="s">
        <v>866</v>
      </c>
      <c r="C1103">
        <v>3200</v>
      </c>
      <c r="D1103">
        <v>64143.62</v>
      </c>
    </row>
    <row r="1104" spans="1:4" x14ac:dyDescent="0.25">
      <c r="A1104">
        <v>45706</v>
      </c>
      <c r="B1104" t="s">
        <v>785</v>
      </c>
      <c r="C1104">
        <v>179.5</v>
      </c>
      <c r="D1104">
        <v>64323.12</v>
      </c>
    </row>
    <row r="1105" spans="1:4" x14ac:dyDescent="0.25">
      <c r="A1105">
        <v>45706</v>
      </c>
      <c r="B1105" t="s">
        <v>867</v>
      </c>
      <c r="C1105">
        <v>-81.67</v>
      </c>
      <c r="D1105">
        <v>64241.45</v>
      </c>
    </row>
    <row r="1106" spans="1:4" x14ac:dyDescent="0.25">
      <c r="A1106">
        <v>45706</v>
      </c>
      <c r="B1106" t="s">
        <v>868</v>
      </c>
      <c r="C1106">
        <v>-6126.56</v>
      </c>
      <c r="D1106">
        <v>58114.89</v>
      </c>
    </row>
    <row r="1107" spans="1:4" x14ac:dyDescent="0.25">
      <c r="A1107">
        <v>45706</v>
      </c>
      <c r="B1107" t="s">
        <v>869</v>
      </c>
      <c r="C1107">
        <v>-1275.9100000000001</v>
      </c>
      <c r="D1107">
        <v>56838.98</v>
      </c>
    </row>
    <row r="1108" spans="1:4" x14ac:dyDescent="0.25">
      <c r="A1108">
        <v>45706</v>
      </c>
      <c r="B1108" t="s">
        <v>110</v>
      </c>
      <c r="C1108">
        <v>-50</v>
      </c>
      <c r="D1108">
        <v>56788.98</v>
      </c>
    </row>
    <row r="1109" spans="1:4" x14ac:dyDescent="0.25">
      <c r="A1109">
        <v>45707</v>
      </c>
      <c r="B1109" t="s">
        <v>785</v>
      </c>
      <c r="C1109">
        <v>434</v>
      </c>
      <c r="D1109">
        <v>57222.98</v>
      </c>
    </row>
    <row r="1110" spans="1:4" x14ac:dyDescent="0.25">
      <c r="A1110">
        <v>45707</v>
      </c>
      <c r="B1110" t="s">
        <v>870</v>
      </c>
      <c r="C1110">
        <v>-99.48</v>
      </c>
      <c r="D1110">
        <v>57123.5</v>
      </c>
    </row>
    <row r="1111" spans="1:4" x14ac:dyDescent="0.25">
      <c r="A1111">
        <v>45707</v>
      </c>
      <c r="B1111" t="s">
        <v>871</v>
      </c>
      <c r="C1111">
        <v>-469.44</v>
      </c>
      <c r="D1111">
        <v>56654.06</v>
      </c>
    </row>
    <row r="1112" spans="1:4" x14ac:dyDescent="0.25">
      <c r="A1112">
        <v>45707</v>
      </c>
      <c r="B1112" t="s">
        <v>872</v>
      </c>
      <c r="C1112">
        <v>-772.37</v>
      </c>
      <c r="D1112">
        <v>55881.69</v>
      </c>
    </row>
    <row r="1113" spans="1:4" x14ac:dyDescent="0.25">
      <c r="A1113">
        <v>45707</v>
      </c>
      <c r="B1113" t="s">
        <v>873</v>
      </c>
      <c r="C1113">
        <v>-88.75</v>
      </c>
      <c r="D1113">
        <v>55792.94</v>
      </c>
    </row>
    <row r="1114" spans="1:4" x14ac:dyDescent="0.25">
      <c r="A1114">
        <v>45707</v>
      </c>
      <c r="B1114" t="s">
        <v>874</v>
      </c>
      <c r="C1114">
        <v>-4221.88</v>
      </c>
      <c r="D1114">
        <v>51571.06</v>
      </c>
    </row>
    <row r="1115" spans="1:4" x14ac:dyDescent="0.25">
      <c r="A1115">
        <v>45707</v>
      </c>
      <c r="B1115" t="s">
        <v>875</v>
      </c>
      <c r="C1115">
        <v>-31.2</v>
      </c>
      <c r="D1115">
        <v>51539.86</v>
      </c>
    </row>
    <row r="1116" spans="1:4" x14ac:dyDescent="0.25">
      <c r="A1116">
        <v>45708</v>
      </c>
      <c r="B1116" t="s">
        <v>876</v>
      </c>
      <c r="C1116">
        <v>8360.7000000000007</v>
      </c>
      <c r="D1116">
        <v>59900.56</v>
      </c>
    </row>
    <row r="1117" spans="1:4" x14ac:dyDescent="0.25">
      <c r="A1117">
        <v>45708</v>
      </c>
      <c r="B1117" t="s">
        <v>785</v>
      </c>
      <c r="C1117">
        <v>101</v>
      </c>
      <c r="D1117">
        <v>60001.56</v>
      </c>
    </row>
    <row r="1118" spans="1:4" x14ac:dyDescent="0.25">
      <c r="A1118">
        <v>45708</v>
      </c>
      <c r="B1118" t="s">
        <v>877</v>
      </c>
      <c r="C1118">
        <v>-1733.18</v>
      </c>
      <c r="D1118">
        <v>58268.38</v>
      </c>
    </row>
    <row r="1119" spans="1:4" x14ac:dyDescent="0.25">
      <c r="A1119">
        <v>45709</v>
      </c>
      <c r="B1119" t="s">
        <v>785</v>
      </c>
      <c r="C1119">
        <v>4076.7</v>
      </c>
      <c r="D1119">
        <v>62345.08</v>
      </c>
    </row>
    <row r="1120" spans="1:4" x14ac:dyDescent="0.25">
      <c r="A1120">
        <v>45709</v>
      </c>
      <c r="B1120" t="s">
        <v>22</v>
      </c>
      <c r="C1120">
        <v>1500</v>
      </c>
      <c r="D1120">
        <v>63845.08</v>
      </c>
    </row>
    <row r="1121" spans="1:4" x14ac:dyDescent="0.25">
      <c r="A1121">
        <v>45709</v>
      </c>
      <c r="B1121" t="s">
        <v>22</v>
      </c>
      <c r="C1121">
        <v>360.18</v>
      </c>
      <c r="D1121">
        <v>64205.26</v>
      </c>
    </row>
    <row r="1122" spans="1:4" x14ac:dyDescent="0.25">
      <c r="A1122">
        <v>45709</v>
      </c>
      <c r="B1122" t="s">
        <v>22</v>
      </c>
      <c r="C1122">
        <v>326.10000000000002</v>
      </c>
      <c r="D1122">
        <v>64531.360000000001</v>
      </c>
    </row>
    <row r="1123" spans="1:4" x14ac:dyDescent="0.25">
      <c r="A1123">
        <v>45709</v>
      </c>
      <c r="B1123" t="s">
        <v>878</v>
      </c>
      <c r="C1123">
        <v>-273.25</v>
      </c>
      <c r="D1123">
        <v>64258.11</v>
      </c>
    </row>
    <row r="1124" spans="1:4" x14ac:dyDescent="0.25">
      <c r="A1124">
        <v>45709</v>
      </c>
      <c r="B1124" t="s">
        <v>879</v>
      </c>
      <c r="C1124">
        <v>-19855.04</v>
      </c>
      <c r="D1124">
        <v>44403.07</v>
      </c>
    </row>
    <row r="1125" spans="1:4" x14ac:dyDescent="0.25">
      <c r="A1125">
        <v>45709</v>
      </c>
      <c r="B1125" t="s">
        <v>880</v>
      </c>
      <c r="C1125">
        <v>-4005.53</v>
      </c>
      <c r="D1125">
        <v>40397.54</v>
      </c>
    </row>
    <row r="1126" spans="1:4" x14ac:dyDescent="0.25">
      <c r="A1126">
        <v>45709</v>
      </c>
      <c r="B1126" t="s">
        <v>881</v>
      </c>
      <c r="C1126">
        <v>-386.02</v>
      </c>
      <c r="D1126">
        <v>40011.519999999997</v>
      </c>
    </row>
    <row r="1127" spans="1:4" x14ac:dyDescent="0.25">
      <c r="A1127">
        <v>45712</v>
      </c>
      <c r="B1127" t="s">
        <v>882</v>
      </c>
      <c r="C1127">
        <v>18306</v>
      </c>
      <c r="D1127">
        <v>58317.52</v>
      </c>
    </row>
    <row r="1128" spans="1:4" x14ac:dyDescent="0.25">
      <c r="A1128">
        <v>45712</v>
      </c>
      <c r="B1128" t="s">
        <v>785</v>
      </c>
      <c r="C1128">
        <v>4664</v>
      </c>
      <c r="D1128">
        <v>62981.52</v>
      </c>
    </row>
    <row r="1129" spans="1:4" x14ac:dyDescent="0.25">
      <c r="A1129">
        <v>45712</v>
      </c>
      <c r="B1129" t="s">
        <v>883</v>
      </c>
      <c r="C1129">
        <v>-1136.1400000000001</v>
      </c>
      <c r="D1129">
        <v>61845.38</v>
      </c>
    </row>
    <row r="1130" spans="1:4" x14ac:dyDescent="0.25">
      <c r="A1130">
        <v>45712</v>
      </c>
      <c r="B1130" t="s">
        <v>884</v>
      </c>
      <c r="C1130">
        <v>-460.89</v>
      </c>
      <c r="D1130">
        <v>61384.49</v>
      </c>
    </row>
    <row r="1131" spans="1:4" x14ac:dyDescent="0.25">
      <c r="A1131">
        <v>45712</v>
      </c>
      <c r="B1131" t="s">
        <v>885</v>
      </c>
      <c r="C1131">
        <v>-27</v>
      </c>
      <c r="D1131">
        <v>61357.49</v>
      </c>
    </row>
    <row r="1132" spans="1:4" x14ac:dyDescent="0.25">
      <c r="A1132">
        <v>45714</v>
      </c>
      <c r="B1132" t="s">
        <v>886</v>
      </c>
      <c r="C1132">
        <v>-5000</v>
      </c>
      <c r="D1132">
        <v>56357.49</v>
      </c>
    </row>
    <row r="1133" spans="1:4" x14ac:dyDescent="0.25">
      <c r="A1133">
        <v>45715</v>
      </c>
      <c r="B1133" t="s">
        <v>887</v>
      </c>
      <c r="C1133">
        <v>9250.5</v>
      </c>
      <c r="D1133">
        <v>65607.990000000005</v>
      </c>
    </row>
    <row r="1134" spans="1:4" x14ac:dyDescent="0.25">
      <c r="A1134">
        <v>45715</v>
      </c>
      <c r="B1134" t="s">
        <v>785</v>
      </c>
      <c r="C1134">
        <v>46.8</v>
      </c>
      <c r="D1134">
        <v>65654.789999999994</v>
      </c>
    </row>
    <row r="1135" spans="1:4" x14ac:dyDescent="0.25">
      <c r="A1135">
        <v>45716</v>
      </c>
      <c r="B1135" t="s">
        <v>785</v>
      </c>
      <c r="C1135">
        <v>425.98</v>
      </c>
      <c r="D1135">
        <v>66080.77</v>
      </c>
    </row>
    <row r="1136" spans="1:4" x14ac:dyDescent="0.25">
      <c r="A1136">
        <v>45716</v>
      </c>
      <c r="B1136" t="s">
        <v>827</v>
      </c>
      <c r="C1136">
        <v>-4801</v>
      </c>
      <c r="D1136">
        <v>61279.77</v>
      </c>
    </row>
    <row r="1137" spans="1:4" x14ac:dyDescent="0.25">
      <c r="A1137">
        <v>45719</v>
      </c>
      <c r="B1137" t="s">
        <v>785</v>
      </c>
      <c r="C1137">
        <v>24105</v>
      </c>
      <c r="D1137">
        <v>85384.77</v>
      </c>
    </row>
    <row r="1138" spans="1:4" x14ac:dyDescent="0.25">
      <c r="A1138">
        <v>45719</v>
      </c>
      <c r="B1138" t="s">
        <v>888</v>
      </c>
      <c r="C1138">
        <v>4892</v>
      </c>
      <c r="D1138">
        <v>90276.77</v>
      </c>
    </row>
    <row r="1139" spans="1:4" x14ac:dyDescent="0.25">
      <c r="A1139">
        <v>45719</v>
      </c>
      <c r="B1139" t="s">
        <v>785</v>
      </c>
      <c r="C1139">
        <v>164</v>
      </c>
      <c r="D1139">
        <v>90440.77</v>
      </c>
    </row>
    <row r="1140" spans="1:4" x14ac:dyDescent="0.25">
      <c r="A1140">
        <v>45719</v>
      </c>
      <c r="B1140" t="s">
        <v>889</v>
      </c>
      <c r="C1140">
        <v>-3696.57</v>
      </c>
      <c r="D1140">
        <v>86744.2</v>
      </c>
    </row>
    <row r="1141" spans="1:4" x14ac:dyDescent="0.25">
      <c r="A1141">
        <v>45719</v>
      </c>
      <c r="B1141" t="s">
        <v>890</v>
      </c>
      <c r="C1141">
        <v>-250</v>
      </c>
      <c r="D1141">
        <v>86494.2</v>
      </c>
    </row>
    <row r="1142" spans="1:4" x14ac:dyDescent="0.25">
      <c r="A1142">
        <v>45719</v>
      </c>
      <c r="B1142" t="s">
        <v>891</v>
      </c>
      <c r="C1142">
        <v>-421.82</v>
      </c>
      <c r="D1142">
        <v>86072.38</v>
      </c>
    </row>
    <row r="1143" spans="1:4" x14ac:dyDescent="0.25">
      <c r="A1143">
        <v>45719</v>
      </c>
      <c r="B1143" t="s">
        <v>892</v>
      </c>
      <c r="C1143">
        <v>-2826.26</v>
      </c>
      <c r="D1143">
        <v>83246.12</v>
      </c>
    </row>
    <row r="1144" spans="1:4" x14ac:dyDescent="0.25">
      <c r="A1144">
        <v>45719</v>
      </c>
      <c r="B1144" t="s">
        <v>893</v>
      </c>
      <c r="C1144">
        <v>-2317.94</v>
      </c>
      <c r="D1144">
        <v>80928.179999999993</v>
      </c>
    </row>
    <row r="1145" spans="1:4" x14ac:dyDescent="0.25">
      <c r="A1145">
        <v>45719</v>
      </c>
      <c r="B1145" t="s">
        <v>819</v>
      </c>
      <c r="C1145">
        <v>-1316.64</v>
      </c>
      <c r="D1145">
        <v>79611.539999999994</v>
      </c>
    </row>
    <row r="1146" spans="1:4" x14ac:dyDescent="0.25">
      <c r="A1146">
        <v>45720</v>
      </c>
      <c r="B1146" t="s">
        <v>894</v>
      </c>
      <c r="C1146">
        <v>-286.05</v>
      </c>
      <c r="D1146">
        <v>79325.490000000005</v>
      </c>
    </row>
    <row r="1147" spans="1:4" x14ac:dyDescent="0.25">
      <c r="A1147">
        <v>45720</v>
      </c>
      <c r="B1147" t="s">
        <v>110</v>
      </c>
      <c r="C1147">
        <v>-50</v>
      </c>
      <c r="D1147">
        <v>79275.490000000005</v>
      </c>
    </row>
    <row r="1148" spans="1:4" x14ac:dyDescent="0.25">
      <c r="A1148">
        <v>45721</v>
      </c>
      <c r="B1148" t="s">
        <v>785</v>
      </c>
      <c r="C1148">
        <v>125</v>
      </c>
      <c r="D1148">
        <v>79400.490000000005</v>
      </c>
    </row>
    <row r="1149" spans="1:4" x14ac:dyDescent="0.25">
      <c r="A1149">
        <v>45722</v>
      </c>
      <c r="B1149" t="s">
        <v>785</v>
      </c>
      <c r="C1149">
        <v>179.6</v>
      </c>
      <c r="D1149">
        <v>79580.09</v>
      </c>
    </row>
    <row r="1150" spans="1:4" x14ac:dyDescent="0.25">
      <c r="A1150">
        <v>45722</v>
      </c>
      <c r="B1150" t="s">
        <v>895</v>
      </c>
      <c r="C1150">
        <v>-27.53</v>
      </c>
      <c r="D1150">
        <v>79552.56</v>
      </c>
    </row>
    <row r="1151" spans="1:4" x14ac:dyDescent="0.25">
      <c r="A1151">
        <v>45722</v>
      </c>
      <c r="B1151" t="s">
        <v>896</v>
      </c>
      <c r="C1151">
        <v>-1921.38</v>
      </c>
      <c r="D1151">
        <v>77631.179999999993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gorsmiles-18mo-mar7</vt:lpstr>
      <vt:lpstr>2024-CR</vt:lpstr>
      <vt:lpstr>2024-DB</vt:lpstr>
      <vt:lpstr>PIV1</vt:lpstr>
      <vt:lpstr>cln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kavitha sathya</dc:creator>
  <cp:lastModifiedBy>kavitha sathya</cp:lastModifiedBy>
  <dcterms:created xsi:type="dcterms:W3CDTF">2025-03-07T17:41:39Z</dcterms:created>
  <dcterms:modified xsi:type="dcterms:W3CDTF">2025-03-07T18:16:48Z</dcterms:modified>
</cp:coreProperties>
</file>